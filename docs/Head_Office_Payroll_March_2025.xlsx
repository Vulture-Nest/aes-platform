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ay Sheet" sheetId="1" state="visible" r:id="rId3"/>
    <sheet name="Payslip" sheetId="2" state="visible" r:id="rId4"/>
    <sheet name="Bank Schedule" sheetId="3" state="visible" r:id="rId5"/>
    <sheet name="NSSA" sheetId="4" state="visible" r:id="rId6"/>
    <sheet name="PAYE" sheetId="5" state="visible" r:id="rId7"/>
    <sheet name="ZIMDEF" sheetId="6" state="visible" r:id="rId8"/>
    <sheet name="Sage Journal Ent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<sst xmlns="http://schemas.openxmlformats.org/spreadsheetml/2006/main" count="480" uniqueCount="202">
  <si>
    <t xml:space="preserve"> rate </t>
  </si>
  <si>
    <t xml:space="preserve">USD/ZWL</t>
  </si>
  <si>
    <t xml:space="preserve">Basic</t>
  </si>
  <si>
    <t xml:space="preserve">OT &amp; Allowances</t>
  </si>
  <si>
    <t xml:space="preserve">CILL</t>
  </si>
  <si>
    <t xml:space="preserve">Bonus</t>
  </si>
  <si>
    <t xml:space="preserve">Gross</t>
  </si>
  <si>
    <t xml:space="preserve">Allowable Deductions</t>
  </si>
  <si>
    <t xml:space="preserve">Taxable Income</t>
  </si>
  <si>
    <t xml:space="preserve">Total Taxable in</t>
  </si>
  <si>
    <t xml:space="preserve">PAYE in</t>
  </si>
  <si>
    <t xml:space="preserve">Tax Credits</t>
  </si>
  <si>
    <t xml:space="preserve">Net PAYE </t>
  </si>
  <si>
    <t xml:space="preserve">PAYE USD</t>
  </si>
  <si>
    <t xml:space="preserve">PAYE ZWL</t>
  </si>
  <si>
    <t xml:space="preserve">Salary After Tax</t>
  </si>
  <si>
    <t xml:space="preserve">Other Deductions</t>
  </si>
  <si>
    <t xml:space="preserve">Net Salary</t>
  </si>
  <si>
    <t xml:space="preserve">Tax Table USD</t>
  </si>
  <si>
    <t xml:space="preserve">Bank </t>
  </si>
  <si>
    <t xml:space="preserve">Branch</t>
  </si>
  <si>
    <t xml:space="preserve">Account Number</t>
  </si>
  <si>
    <t xml:space="preserve">Leave Days</t>
  </si>
  <si>
    <t xml:space="preserve">Netsai</t>
  </si>
  <si>
    <t xml:space="preserve">Nhemachena</t>
  </si>
  <si>
    <t xml:space="preserve">78-171262Y32</t>
  </si>
  <si>
    <t xml:space="preserve">Occupation</t>
  </si>
  <si>
    <t xml:space="preserve">NSSA Number</t>
  </si>
  <si>
    <t xml:space="preserve">Station</t>
  </si>
  <si>
    <t xml:space="preserve">Pay Date</t>
  </si>
  <si>
    <t xml:space="preserve"> RATIO</t>
  </si>
  <si>
    <t xml:space="preserve">Period</t>
  </si>
  <si>
    <t xml:space="preserve">Hours Worked</t>
  </si>
  <si>
    <t xml:space="preserve">Total Basic USD</t>
  </si>
  <si>
    <t xml:space="preserve">Total Basic ZWL</t>
  </si>
  <si>
    <t xml:space="preserve">USD</t>
  </si>
  <si>
    <t xml:space="preserve">ZWL</t>
  </si>
  <si>
    <t xml:space="preserve">Total</t>
  </si>
  <si>
    <t xml:space="preserve">usd</t>
  </si>
  <si>
    <t xml:space="preserve">NSSA</t>
  </si>
  <si>
    <t xml:space="preserve">NSSA USD</t>
  </si>
  <si>
    <t xml:space="preserve">NSSA ZWG</t>
  </si>
  <si>
    <t xml:space="preserve">MIPF </t>
  </si>
  <si>
    <t xml:space="preserve">NEC</t>
  </si>
  <si>
    <t xml:space="preserve">Non Taxable Bonus</t>
  </si>
  <si>
    <t xml:space="preserve">PAYE  </t>
  </si>
  <si>
    <t xml:space="preserve">AIDS LEVY</t>
  </si>
  <si>
    <t xml:space="preserve">Nyaradzo</t>
  </si>
  <si>
    <t xml:space="preserve">May Day</t>
  </si>
  <si>
    <t xml:space="preserve">Maintenance</t>
  </si>
  <si>
    <t xml:space="preserve">Funeral Assistance</t>
  </si>
  <si>
    <t xml:space="preserve">Loan Repayment</t>
  </si>
  <si>
    <t xml:space="preserve">0-100</t>
  </si>
  <si>
    <t xml:space="preserve">101-300</t>
  </si>
  <si>
    <t xml:space="preserve">300.01-1000</t>
  </si>
  <si>
    <t xml:space="preserve">1000.01-2000</t>
  </si>
  <si>
    <t xml:space="preserve">2000.01-3000</t>
  </si>
  <si>
    <t xml:space="preserve">3000 and Above</t>
  </si>
  <si>
    <t xml:space="preserve">Opening</t>
  </si>
  <si>
    <t xml:space="preserve">Acrued </t>
  </si>
  <si>
    <t xml:space="preserve">Taken</t>
  </si>
  <si>
    <t xml:space="preserve">Closing</t>
  </si>
  <si>
    <t xml:space="preserve">AES-E007</t>
  </si>
  <si>
    <t xml:space="preserve">Talent</t>
  </si>
  <si>
    <t xml:space="preserve">Hungwe</t>
  </si>
  <si>
    <t xml:space="preserve">04-885408T08</t>
  </si>
  <si>
    <t xml:space="preserve">I.T Assistant</t>
  </si>
  <si>
    <t xml:space="preserve">4185957K</t>
  </si>
  <si>
    <t xml:space="preserve">Gweru</t>
  </si>
  <si>
    <t xml:space="preserve">3/25</t>
  </si>
  <si>
    <t xml:space="preserve">FBC</t>
  </si>
  <si>
    <t xml:space="preserve">4944283045955</t>
  </si>
  <si>
    <t xml:space="preserve">3037694702002</t>
  </si>
  <si>
    <t xml:space="preserve">AES-E008</t>
  </si>
  <si>
    <t xml:space="preserve">Knowledge</t>
  </si>
  <si>
    <t xml:space="preserve">Zvobgo</t>
  </si>
  <si>
    <t xml:space="preserve">10-919182X07</t>
  </si>
  <si>
    <t xml:space="preserve">Production Engineer</t>
  </si>
  <si>
    <t xml:space="preserve">4965789F</t>
  </si>
  <si>
    <t xml:space="preserve">Head Office</t>
  </si>
  <si>
    <t xml:space="preserve">Gweru BS</t>
  </si>
  <si>
    <t xml:space="preserve">1548700253549</t>
  </si>
  <si>
    <t xml:space="preserve">5690134581994</t>
  </si>
  <si>
    <t xml:space="preserve">AES-E009</t>
  </si>
  <si>
    <t xml:space="preserve">Chipo</t>
  </si>
  <si>
    <t xml:space="preserve">Mhlanga</t>
  </si>
  <si>
    <t xml:space="preserve">33-309044A21</t>
  </si>
  <si>
    <t xml:space="preserve">Accounts Clerk</t>
  </si>
  <si>
    <t xml:space="preserve">4652414B</t>
  </si>
  <si>
    <t xml:space="preserve">3221522634754</t>
  </si>
  <si>
    <t xml:space="preserve">3002178920001</t>
  </si>
  <si>
    <t xml:space="preserve">AES-E002</t>
  </si>
  <si>
    <t xml:space="preserve">Tonderayi</t>
  </si>
  <si>
    <t xml:space="preserve">Zendera</t>
  </si>
  <si>
    <t xml:space="preserve">62-801978D74</t>
  </si>
  <si>
    <t xml:space="preserve">Refreg Technician</t>
  </si>
  <si>
    <t xml:space="preserve">9075854G</t>
  </si>
  <si>
    <t xml:space="preserve">4835181413465</t>
  </si>
  <si>
    <t xml:space="preserve">3037698131452</t>
  </si>
  <si>
    <t xml:space="preserve">AES-E003</t>
  </si>
  <si>
    <t xml:space="preserve">Tadiwanashe </t>
  </si>
  <si>
    <t xml:space="preserve">61-833442J49</t>
  </si>
  <si>
    <t xml:space="preserve">2022698L</t>
  </si>
  <si>
    <t xml:space="preserve">GWERU/BS</t>
  </si>
  <si>
    <t xml:space="preserve">3881146960064</t>
  </si>
  <si>
    <t xml:space="preserve">'5690128271998</t>
  </si>
  <si>
    <t xml:space="preserve">AES-E004</t>
  </si>
  <si>
    <t xml:space="preserve">Nokutenda</t>
  </si>
  <si>
    <t xml:space="preserve">Marimo</t>
  </si>
  <si>
    <t xml:space="preserve">Driver/Messenger</t>
  </si>
  <si>
    <t xml:space="preserve">9997381Q</t>
  </si>
  <si>
    <t xml:space="preserve">GWERU</t>
  </si>
  <si>
    <t xml:space="preserve">6475931779276</t>
  </si>
  <si>
    <t xml:space="preserve">3037699612501</t>
  </si>
  <si>
    <t xml:space="preserve">AES-E006</t>
  </si>
  <si>
    <t xml:space="preserve">Lovemore </t>
  </si>
  <si>
    <t xml:space="preserve">Makoni</t>
  </si>
  <si>
    <t xml:space="preserve">15-706794A41</t>
  </si>
  <si>
    <t xml:space="preserve">Operations Director</t>
  </si>
  <si>
    <t xml:space="preserve">4214348G</t>
  </si>
  <si>
    <t xml:space="preserve">7976638819817</t>
  </si>
  <si>
    <t xml:space="preserve">Totals</t>
  </si>
  <si>
    <t xml:space="preserve"> </t>
  </si>
  <si>
    <t xml:space="preserve">Withholding Tax</t>
  </si>
  <si>
    <t xml:space="preserve">Net Payable</t>
  </si>
  <si>
    <t xml:space="preserve">AES-E001</t>
  </si>
  <si>
    <t xml:space="preserve">Learnmore </t>
  </si>
  <si>
    <t xml:space="preserve">Director</t>
  </si>
  <si>
    <t xml:space="preserve">AES-E005</t>
  </si>
  <si>
    <t xml:space="preserve">Ruvarashe </t>
  </si>
  <si>
    <t xml:space="preserve">Lovemore Nssa</t>
  </si>
  <si>
    <t xml:space="preserve">AIRFLOW ENVIRONMENTAL SOLUTIONS PRIVATE LIMITED  PAYSLIP</t>
  </si>
  <si>
    <t xml:space="preserve">Rate</t>
  </si>
  <si>
    <t xml:space="preserve">Employee Details</t>
  </si>
  <si>
    <t xml:space="preserve">Earnings
Details</t>
  </si>
  <si>
    <t xml:space="preserve">Units</t>
  </si>
  <si>
    <t xml:space="preserve">Earning Amounts</t>
  </si>
  <si>
    <t xml:space="preserve">Deduction
Details</t>
  </si>
  <si>
    <t xml:space="preserve">Deduction Amounts</t>
  </si>
  <si>
    <t xml:space="preserve">AES</t>
  </si>
  <si>
    <t xml:space="preserve">USD </t>
  </si>
  <si>
    <t xml:space="preserve">ZIG</t>
  </si>
  <si>
    <t xml:space="preserve">Employee NO</t>
  </si>
  <si>
    <t xml:space="preserve">Basic Pay</t>
  </si>
  <si>
    <t xml:space="preserve">PAYE</t>
  </si>
  <si>
    <t xml:space="preserve">Housing Allowance</t>
  </si>
  <si>
    <t xml:space="preserve">Nat ID</t>
  </si>
  <si>
    <t xml:space="preserve">Overtime 1.5</t>
  </si>
  <si>
    <t xml:space="preserve">Pay Method</t>
  </si>
  <si>
    <t xml:space="preserve">Transfer</t>
  </si>
  <si>
    <t xml:space="preserve">Overtime 2.0</t>
  </si>
  <si>
    <t xml:space="preserve">Grade</t>
  </si>
  <si>
    <t xml:space="preserve">TBA</t>
  </si>
  <si>
    <t xml:space="preserve">Loan/Advance</t>
  </si>
  <si>
    <t xml:space="preserve">Repayment</t>
  </si>
  <si>
    <t xml:space="preserve">C.I.L.O.L</t>
  </si>
  <si>
    <t xml:space="preserve">Food Allowance</t>
  </si>
  <si>
    <t xml:space="preserve">NSSA No</t>
  </si>
  <si>
    <t xml:space="preserve">Airtime Allowance</t>
  </si>
  <si>
    <t xml:space="preserve">Checking</t>
  </si>
  <si>
    <t xml:space="preserve">Underground Allowance</t>
  </si>
  <si>
    <t xml:space="preserve">CBZ Fund</t>
  </si>
  <si>
    <t xml:space="preserve">usd </t>
  </si>
  <si>
    <t xml:space="preserve">Night Shift Allowance</t>
  </si>
  <si>
    <t xml:space="preserve">zwl</t>
  </si>
  <si>
    <t xml:space="preserve">Gross </t>
  </si>
  <si>
    <t xml:space="preserve">Total Deductions</t>
  </si>
  <si>
    <t xml:space="preserve">ZIG Banked</t>
  </si>
  <si>
    <t xml:space="preserve">Tax Credit</t>
  </si>
  <si>
    <t xml:space="preserve">NET PAY</t>
  </si>
  <si>
    <t xml:space="preserve">USD Banked</t>
  </si>
  <si>
    <t xml:space="preserve">ZWL Banked</t>
  </si>
  <si>
    <t xml:space="preserve">Amount</t>
  </si>
  <si>
    <t xml:space="preserve">Virtual</t>
  </si>
  <si>
    <t xml:space="preserve">Consultancy Services</t>
  </si>
  <si>
    <t xml:space="preserve">Beaven </t>
  </si>
  <si>
    <t xml:space="preserve">Muchingami</t>
  </si>
  <si>
    <t xml:space="preserve">ZB</t>
  </si>
  <si>
    <t xml:space="preserve">Bessie </t>
  </si>
  <si>
    <t xml:space="preserve">Bonga</t>
  </si>
  <si>
    <t xml:space="preserve">Employee 
Contribution (USD)</t>
  </si>
  <si>
    <t xml:space="preserve">Employee 
Contribution(ZWG)</t>
  </si>
  <si>
    <t xml:space="preserve">Employer
 Contribution(USD)</t>
  </si>
  <si>
    <t xml:space="preserve">Employer
 Contribution(ZWG)</t>
  </si>
  <si>
    <t xml:space="preserve">Total(USD)</t>
  </si>
  <si>
    <t xml:space="preserve">Total(ZWG)</t>
  </si>
  <si>
    <t xml:space="preserve">WCIF</t>
  </si>
  <si>
    <t xml:space="preserve">Payable</t>
  </si>
  <si>
    <t xml:space="preserve">Details</t>
  </si>
  <si>
    <t xml:space="preserve">Zimdef Schedule September 2025</t>
  </si>
  <si>
    <t xml:space="preserve">Rate </t>
  </si>
  <si>
    <t xml:space="preserve">Works #</t>
  </si>
  <si>
    <t xml:space="preserve">NSSA </t>
  </si>
  <si>
    <t xml:space="preserve">USD CONVERTED</t>
  </si>
  <si>
    <t xml:space="preserve">TOTAL</t>
  </si>
  <si>
    <t xml:space="preserve">ZIMDEF</t>
  </si>
  <si>
    <t xml:space="preserve">Debit </t>
  </si>
  <si>
    <t xml:space="preserve">Credit</t>
  </si>
  <si>
    <t xml:space="preserve">Gross Salaries</t>
  </si>
  <si>
    <t xml:space="preserve">Garnish</t>
  </si>
  <si>
    <t xml:space="preserve">Net</t>
  </si>
  <si>
    <t xml:space="preserve">MIPF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</si>
</sst>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_-* #,##0.00_-;\-* #,##0.00_-;_-* \-??_-;_-@_-"/>
    <numFmt numFmtId="166" formatCode="_(* #,##0.00_);_(* \(#,##0.00\);_(* \-??_);_(@_)"/>
    <numFmt numFmtId="167" formatCode="_(* #,##0.0000_);_(* \(#,##0.0000\);_(* \-??_);_(@_)"/>
    <numFmt numFmtId="168" formatCode="_(* #,##0.00000_);_(* \(#,##0.00000\);_(* \-??_);_(@_)"/>
    <numFmt numFmtId="169" formatCode="General"/>
    <numFmt numFmtId="170" formatCode="m/d/yyyy"/>
    <numFmt numFmtId="171" formatCode="# ??/??"/>
    <numFmt numFmtId="172" formatCode="_(* #,##0_);_(* \(#,##0\);_(* \-??_);_(@_)"/>
    <numFmt numFmtId="173" formatCode="_(* #,##0.000_);_(* \(#,##0.000\);_(* \-??_);_(@_)"/>
    <numFmt numFmtId="174" formatCode="_-* #,##0_-;\-* #,##0_-;_-* \-??_-;_-@_-"/>
    <numFmt numFmtId="175" formatCode="_(\$* #,##0.00_);_(\$* \(#,##0.00\);_(\$* \-??_);_(@_)"/>
    <numFmt numFmtId="176" formatCode="_(\$* #,##0.00_);_(\$* \(#,##0.00\);_(\$* \-??_);_(@_)"/>
    <numFmt numFmtId="177" formatCode="_([$USD]\ * #,##0.00_);_([$USD]\ * \(#,##0.00\);_([$USD]\ * \-??_);_(@_)"/>
    <numFmt numFmtId="178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2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2"/>
      <name val="Calibri"/>
      <family val="2"/>
      <charset val="1"/>
    </font>
    <font>
      <sz val="1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i val="true"/>
      <sz val="12"/>
      <color rgb="FFFF000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theme="4" tint="0.5999"/>
        <bgColor rgb="FFBFBFBF"/>
      </patternFill>
    </fill>
    <fill>
      <patternFill patternType="solid">
        <fgColor rgb="FF92D050"/>
        <bgColor rgb="FFBFBFBF"/>
      </patternFill>
    </fill>
    <fill>
      <patternFill patternType="solid">
        <fgColor theme="5" tint="0.3999"/>
        <bgColor rgb="FFFF99CC"/>
      </patternFill>
    </fill>
    <fill>
      <patternFill patternType="solid">
        <fgColor theme="5" tint="-0.25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theme="5" tint="0.5999"/>
        <bgColor rgb="FFBFBFBF"/>
      </patternFill>
    </fill>
    <fill>
      <patternFill patternType="solid">
        <fgColor theme="0" tint="-0.25"/>
        <bgColor rgb="FFB9CDE5"/>
      </patternFill>
    </fill>
    <fill>
      <patternFill patternType="solid">
        <fgColor theme="8" tint="0.3999"/>
        <bgColor rgb="FFB9CDE5"/>
      </patternFill>
    </fill>
    <fill>
      <patternFill patternType="solid">
        <fgColor rgb="FF00B0F0"/>
        <bgColor rgb="FF33CCCC"/>
      </patternFill>
    </fill>
    <fill>
      <patternFill patternType="solid">
        <fgColor theme="6" tint="0.5999"/>
        <bgColor rgb="FFB9CDE5"/>
      </patternFill>
    </fill>
    <fill>
      <patternFill patternType="solid">
        <fgColor rgb="FFFFFF00"/>
        <bgColor rgb="FFFFFF00"/>
      </patternFill>
    </fill>
    <fill>
      <patternFill patternType="solid">
        <fgColor theme="6" tint="-0.25"/>
        <bgColor rgb="FF808080"/>
      </patternFill>
    </fill>
  </fills>
  <borders count="2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 diagonalUp="false" diagonalDown="false">
      <left style="thin">
        <color rgb="FF00B050"/>
      </left>
      <right style="thin">
        <color rgb="FF00B050"/>
      </right>
      <top/>
      <bottom/>
      <diagonal/>
    </border>
    <border diagonalUp="false" diagonalDown="false">
      <left/>
      <right style="thin">
        <color rgb="FF00B050"/>
      </right>
      <top/>
      <bottom/>
      <diagonal/>
    </border>
    <border diagonalUp="false" diagonalDown="false">
      <left style="thin">
        <color rgb="FF00B050"/>
      </left>
      <right/>
      <top style="thin">
        <color rgb="FF00B050"/>
      </top>
      <bottom/>
      <diagonal/>
    </border>
    <border diagonalUp="false" diagonalDown="false">
      <left/>
      <right/>
      <top style="thin">
        <color rgb="FF00B050"/>
      </top>
      <bottom/>
      <diagonal/>
    </border>
    <border diagonalUp="false" diagonalDown="false">
      <left/>
      <right/>
      <top style="thin"/>
      <bottom style="double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7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3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5" borderId="4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6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7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8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3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1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9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2" borderId="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2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5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5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6" fillId="0" borderId="5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1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6" fillId="0" borderId="11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6" fillId="0" borderId="2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0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6" fillId="0" borderId="10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3" borderId="1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1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1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3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0" xfId="2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6" fillId="0" borderId="0" xfId="2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11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14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2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2" fillId="4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2" fillId="0" borderId="2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2" fillId="0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2" fillId="4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2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11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10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4" borderId="12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15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6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9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4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1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3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3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7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4" borderId="1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4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8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4" borderId="18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2" xfId="1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4" fillId="0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4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0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6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2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9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0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1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1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4" borderId="16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4" borderId="1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3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5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15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Comma 4" xfId="22"/>
    <cellStyle name="Normal 2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BFBFBF"/>
      <rgbColor rgb="FF808080"/>
      <rgbColor rgb="FF9999FF"/>
      <rgbColor rgb="FF953735"/>
      <rgbColor rgb="FFFFFFCC"/>
      <rgbColor rgb="FFCCFFFF"/>
      <rgbColor rgb="FF660066"/>
      <rgbColor rgb="FFD99694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7E4BD"/>
      <rgbColor rgb="FFFFFF99"/>
      <rgbColor rgb="FF93CDDD"/>
      <rgbColor rgb="FFFF99CC"/>
      <rgbColor rgb="FFCC99FF"/>
      <rgbColor rgb="FFE6B9B8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18" activePane="bottomLeft" state="frozen"/>
      <selection pane="topLeft" activeCell="A1" activeCellId="0" sqref="A1"/>
      <selection pane="bottomLeft" activeCell="AR12" activeCellId="0" sqref="AR1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85"/>
    <col collapsed="false" customWidth="true" hidden="false" outlineLevel="0" max="2" min="2" style="1" width="14.86"/>
    <col collapsed="false" customWidth="true" hidden="false" outlineLevel="0" max="3" min="3" style="1" width="23.14"/>
    <col collapsed="false" customWidth="true" hidden="false" outlineLevel="0" max="5" min="4" style="1" width="22.42"/>
    <col collapsed="false" customWidth="true" hidden="false" outlineLevel="0" max="9" min="6" style="1" width="14.14"/>
    <col collapsed="false" customWidth="true" hidden="false" outlineLevel="0" max="11" min="10" style="1" width="10.57"/>
    <col collapsed="false" customWidth="true" hidden="false" outlineLevel="0" max="12" min="12" style="1" width="13.71"/>
    <col collapsed="false" customWidth="true" hidden="false" outlineLevel="0" max="14" min="13" style="1" width="14.29"/>
    <col collapsed="false" customWidth="true" hidden="false" outlineLevel="0" max="15" min="15" style="1" width="15.85"/>
    <col collapsed="false" customWidth="true" hidden="false" outlineLevel="0" max="16" min="16" style="2" width="11.71"/>
    <col collapsed="false" customWidth="true" hidden="false" outlineLevel="0" max="17" min="17" style="2" width="14.42"/>
    <col collapsed="false" customWidth="true" hidden="false" outlineLevel="0" max="18" min="18" style="2" width="16.29"/>
    <col collapsed="false" customWidth="true" hidden="false" outlineLevel="0" max="19" min="19" style="2" width="13.86"/>
    <col collapsed="false" customWidth="true" hidden="false" outlineLevel="0" max="20" min="20" style="2" width="11.71"/>
    <col collapsed="false" customWidth="true" hidden="false" outlineLevel="0" max="21" min="21" style="2" width="15"/>
    <col collapsed="false" customWidth="true" hidden="false" outlineLevel="0" max="22" min="22" style="2" width="10.29"/>
    <col collapsed="false" customWidth="true" hidden="false" outlineLevel="0" max="23" min="23" style="2" width="11.43"/>
    <col collapsed="false" customWidth="true" hidden="false" outlineLevel="0" max="24" min="24" style="2" width="14.86"/>
    <col collapsed="false" customWidth="true" hidden="false" outlineLevel="0" max="27" min="25" style="2" width="12.29"/>
    <col collapsed="false" customWidth="true" hidden="false" outlineLevel="0" max="28" min="28" style="2" width="11.57"/>
    <col collapsed="false" customWidth="true" hidden="false" outlineLevel="0" max="29" min="29" style="2" width="10.71"/>
    <col collapsed="false" customWidth="true" hidden="false" outlineLevel="0" max="30" min="30" style="2" width="19"/>
    <col collapsed="false" customWidth="true" hidden="false" outlineLevel="0" max="31" min="31" style="2" width="11"/>
    <col collapsed="false" customWidth="true" hidden="false" outlineLevel="0" max="32" min="32" style="2" width="15.85"/>
    <col collapsed="false" customWidth="true" hidden="false" outlineLevel="0" max="33" min="33" style="2" width="16.71"/>
    <col collapsed="false" customWidth="true" hidden="false" outlineLevel="0" max="34" min="34" style="2" width="15.85"/>
    <col collapsed="false" customWidth="true" hidden="false" outlineLevel="0" max="35" min="35" style="2" width="11.71"/>
    <col collapsed="false" customWidth="true" hidden="false" outlineLevel="0" max="36" min="36" style="2" width="13.29"/>
    <col collapsed="false" customWidth="true" hidden="false" outlineLevel="0" max="37" min="37" style="2" width="11.29"/>
    <col collapsed="false" customWidth="true" hidden="false" outlineLevel="0" max="38" min="38" style="2" width="10.71"/>
    <col collapsed="false" customWidth="true" hidden="false" outlineLevel="0" max="39" min="39" style="2" width="15.14"/>
    <col collapsed="false" customWidth="true" hidden="false" outlineLevel="0" max="40" min="40" style="2" width="12"/>
    <col collapsed="false" customWidth="true" hidden="false" outlineLevel="0" max="41" min="41" style="2" width="13"/>
    <col collapsed="false" customWidth="true" hidden="false" outlineLevel="0" max="42" min="42" style="2" width="16.85"/>
    <col collapsed="false" customWidth="true" hidden="false" outlineLevel="0" max="43" min="43" style="2" width="11.71"/>
    <col collapsed="false" customWidth="true" hidden="false" outlineLevel="0" max="44" min="44" style="2" width="10.42"/>
    <col collapsed="false" customWidth="true" hidden="false" outlineLevel="0" max="45" min="45" style="2" width="13.71"/>
    <col collapsed="false" customWidth="true" hidden="false" outlineLevel="0" max="46" min="46" style="2" width="18.57"/>
    <col collapsed="false" customWidth="true" hidden="false" outlineLevel="0" max="47" min="47" style="2" width="22.42"/>
    <col collapsed="false" customWidth="true" hidden="false" outlineLevel="0" max="48" min="48" style="2" width="14.86"/>
    <col collapsed="false" customWidth="true" hidden="false" outlineLevel="0" max="49" min="49" style="2" width="18"/>
    <col collapsed="false" customWidth="true" hidden="false" outlineLevel="0" max="50" min="50" style="2" width="15.42"/>
    <col collapsed="false" customWidth="true" hidden="false" outlineLevel="0" max="51" min="51" style="2" width="14.86"/>
    <col collapsed="false" customWidth="true" hidden="false" outlineLevel="0" max="52" min="52" style="2" width="14.14"/>
    <col collapsed="false" customWidth="true" hidden="false" outlineLevel="0" max="53" min="53" style="2" width="15"/>
    <col collapsed="false" customWidth="true" hidden="false" outlineLevel="0" max="54" min="54" style="1" width="15.85"/>
    <col collapsed="false" customWidth="true" hidden="false" outlineLevel="0" max="55" min="55" style="1" width="17"/>
    <col collapsed="false" customWidth="true" hidden="false" outlineLevel="0" max="56" min="56" style="1" width="13.42"/>
    <col collapsed="false" customWidth="true" hidden="false" outlineLevel="0" max="57" min="57" style="1" width="11.85"/>
    <col collapsed="false" customWidth="true" hidden="false" outlineLevel="0" max="59" min="58" style="1" width="15.14"/>
    <col collapsed="false" customWidth="true" hidden="false" outlineLevel="0" max="61" min="60" style="1" width="15.71"/>
    <col collapsed="false" customWidth="true" hidden="false" outlineLevel="0" max="62" min="62" style="1" width="20.29"/>
    <col collapsed="false" customWidth="true" hidden="false" outlineLevel="0" max="63" min="63" style="1" width="9.57"/>
    <col collapsed="false" customWidth="true" hidden="false" outlineLevel="0" max="64" min="64" style="1" width="10.14"/>
    <col collapsed="false" customWidth="true" hidden="false" outlineLevel="0" max="65" min="65" style="1" width="10.29"/>
    <col collapsed="false" customWidth="true" hidden="false" outlineLevel="0" max="66" min="66" style="1" width="10"/>
  </cols>
  <sheetData>
    <row r="1" customFormat="false" ht="15" hidden="false" customHeight="false" outlineLevel="0" collapsed="false">
      <c r="Z1" s="3" t="n">
        <f aca="false">C2</f>
        <v>26.6951</v>
      </c>
    </row>
    <row r="2" customFormat="false" ht="15" hidden="false" customHeight="false" outlineLevel="0" collapsed="false">
      <c r="A2" s="4" t="s">
        <v>0</v>
      </c>
      <c r="B2" s="4"/>
      <c r="C2" s="3" t="n">
        <v>26.6951</v>
      </c>
      <c r="J2" s="5" t="s">
        <v>1</v>
      </c>
      <c r="K2" s="5"/>
      <c r="L2" s="5"/>
      <c r="M2" s="5"/>
      <c r="N2" s="5"/>
      <c r="O2" s="5"/>
      <c r="P2" s="6" t="s">
        <v>2</v>
      </c>
      <c r="Q2" s="6"/>
      <c r="R2" s="7" t="s">
        <v>3</v>
      </c>
      <c r="S2" s="7" t="s">
        <v>4</v>
      </c>
      <c r="T2" s="7" t="s">
        <v>4</v>
      </c>
      <c r="U2" s="8" t="s">
        <v>5</v>
      </c>
      <c r="V2" s="9" t="s">
        <v>6</v>
      </c>
      <c r="W2" s="9"/>
      <c r="X2" s="9"/>
      <c r="Y2" s="10" t="s">
        <v>7</v>
      </c>
      <c r="Z2" s="10"/>
      <c r="AA2" s="10"/>
      <c r="AB2" s="10"/>
      <c r="AC2" s="10"/>
      <c r="AD2" s="11"/>
      <c r="AE2" s="12" t="s">
        <v>8</v>
      </c>
      <c r="AF2" s="12"/>
      <c r="AG2" s="13" t="s">
        <v>9</v>
      </c>
      <c r="AH2" s="14" t="s">
        <v>10</v>
      </c>
      <c r="AI2" s="15" t="s">
        <v>11</v>
      </c>
      <c r="AJ2" s="15" t="s">
        <v>12</v>
      </c>
      <c r="AK2" s="15" t="s">
        <v>13</v>
      </c>
      <c r="AL2" s="15"/>
      <c r="AM2" s="15" t="s">
        <v>14</v>
      </c>
      <c r="AN2" s="15"/>
      <c r="AO2" s="15" t="s">
        <v>15</v>
      </c>
      <c r="AP2" s="15"/>
      <c r="AQ2" s="16" t="s">
        <v>16</v>
      </c>
      <c r="AR2" s="16"/>
      <c r="AS2" s="16"/>
      <c r="AT2" s="16"/>
      <c r="AU2" s="16"/>
      <c r="AV2" s="9" t="s">
        <v>17</v>
      </c>
      <c r="AW2" s="9"/>
      <c r="AX2" s="17"/>
      <c r="AY2" s="17" t="s">
        <v>18</v>
      </c>
      <c r="AZ2" s="17"/>
      <c r="BA2" s="17"/>
      <c r="BB2" s="18"/>
      <c r="BC2" s="18"/>
      <c r="BD2" s="18"/>
      <c r="BE2" s="19" t="s">
        <v>19</v>
      </c>
      <c r="BF2" s="19"/>
      <c r="BG2" s="20" t="s">
        <v>20</v>
      </c>
      <c r="BH2" s="20"/>
      <c r="BI2" s="21" t="s">
        <v>21</v>
      </c>
      <c r="BK2" s="22" t="s">
        <v>22</v>
      </c>
      <c r="BL2" s="22"/>
      <c r="BM2" s="22"/>
      <c r="BN2" s="22"/>
    </row>
    <row r="3" customFormat="false" ht="15" hidden="false" customHeight="false" outlineLevel="0" collapsed="false">
      <c r="A3" s="23"/>
      <c r="B3" s="24" t="s">
        <v>23</v>
      </c>
      <c r="C3" s="21" t="s">
        <v>24</v>
      </c>
      <c r="D3" s="21" t="s">
        <v>25</v>
      </c>
      <c r="E3" s="21" t="s">
        <v>26</v>
      </c>
      <c r="F3" s="21" t="s">
        <v>22</v>
      </c>
      <c r="G3" s="24" t="s">
        <v>27</v>
      </c>
      <c r="H3" s="21" t="s">
        <v>28</v>
      </c>
      <c r="I3" s="21" t="s">
        <v>29</v>
      </c>
      <c r="J3" s="21" t="s">
        <v>30</v>
      </c>
      <c r="K3" s="21" t="s">
        <v>31</v>
      </c>
      <c r="L3" s="21" t="s">
        <v>32</v>
      </c>
      <c r="M3" s="21" t="s">
        <v>33</v>
      </c>
      <c r="N3" s="21"/>
      <c r="O3" s="21" t="s">
        <v>34</v>
      </c>
      <c r="P3" s="25" t="s">
        <v>35</v>
      </c>
      <c r="Q3" s="26" t="s">
        <v>36</v>
      </c>
      <c r="R3" s="25" t="s">
        <v>35</v>
      </c>
      <c r="S3" s="25" t="s">
        <v>35</v>
      </c>
      <c r="T3" s="25" t="s">
        <v>36</v>
      </c>
      <c r="U3" s="27" t="s">
        <v>35</v>
      </c>
      <c r="V3" s="25" t="s">
        <v>37</v>
      </c>
      <c r="W3" s="25" t="s">
        <v>38</v>
      </c>
      <c r="X3" s="25" t="s">
        <v>36</v>
      </c>
      <c r="Y3" s="28" t="s">
        <v>39</v>
      </c>
      <c r="Z3" s="28" t="s">
        <v>40</v>
      </c>
      <c r="AA3" s="28" t="s">
        <v>41</v>
      </c>
      <c r="AB3" s="28" t="s">
        <v>42</v>
      </c>
      <c r="AC3" s="28" t="s">
        <v>43</v>
      </c>
      <c r="AD3" s="28" t="s">
        <v>44</v>
      </c>
      <c r="AE3" s="29" t="s">
        <v>35</v>
      </c>
      <c r="AF3" s="30" t="s">
        <v>36</v>
      </c>
      <c r="AG3" s="13" t="s">
        <v>35</v>
      </c>
      <c r="AH3" s="14" t="s">
        <v>35</v>
      </c>
      <c r="AI3" s="15" t="s">
        <v>35</v>
      </c>
      <c r="AJ3" s="15" t="s">
        <v>35</v>
      </c>
      <c r="AK3" s="31" t="s">
        <v>45</v>
      </c>
      <c r="AL3" s="31" t="s">
        <v>46</v>
      </c>
      <c r="AM3" s="31" t="s">
        <v>45</v>
      </c>
      <c r="AN3" s="31" t="s">
        <v>46</v>
      </c>
      <c r="AO3" s="15" t="s">
        <v>35</v>
      </c>
      <c r="AP3" s="15" t="s">
        <v>36</v>
      </c>
      <c r="AQ3" s="32" t="s">
        <v>47</v>
      </c>
      <c r="AR3" s="32" t="s">
        <v>48</v>
      </c>
      <c r="AS3" s="32" t="s">
        <v>49</v>
      </c>
      <c r="AT3" s="32" t="s">
        <v>50</v>
      </c>
      <c r="AU3" s="32" t="s">
        <v>51</v>
      </c>
      <c r="AV3" s="25" t="s">
        <v>35</v>
      </c>
      <c r="AW3" s="25" t="s">
        <v>36</v>
      </c>
      <c r="AX3" s="32" t="s">
        <v>52</v>
      </c>
      <c r="AY3" s="32" t="s">
        <v>53</v>
      </c>
      <c r="AZ3" s="32" t="s">
        <v>54</v>
      </c>
      <c r="BA3" s="32" t="s">
        <v>55</v>
      </c>
      <c r="BB3" s="32" t="s">
        <v>56</v>
      </c>
      <c r="BC3" s="32" t="s">
        <v>57</v>
      </c>
      <c r="BD3" s="25" t="s">
        <v>37</v>
      </c>
      <c r="BE3" s="33" t="s">
        <v>35</v>
      </c>
      <c r="BF3" s="32" t="s">
        <v>36</v>
      </c>
      <c r="BG3" s="33" t="s">
        <v>35</v>
      </c>
      <c r="BH3" s="32" t="s">
        <v>36</v>
      </c>
      <c r="BI3" s="32" t="s">
        <v>35</v>
      </c>
      <c r="BJ3" s="32" t="s">
        <v>36</v>
      </c>
      <c r="BK3" s="34" t="s">
        <v>58</v>
      </c>
      <c r="BL3" s="35" t="s">
        <v>59</v>
      </c>
      <c r="BM3" s="35" t="s">
        <v>60</v>
      </c>
      <c r="BN3" s="35" t="s">
        <v>61</v>
      </c>
    </row>
    <row r="4" customFormat="false" ht="15.75" hidden="false" customHeight="true" outlineLevel="0" collapsed="false">
      <c r="A4" s="23" t="s">
        <v>62</v>
      </c>
      <c r="B4" s="36" t="s">
        <v>63</v>
      </c>
      <c r="C4" s="37" t="s">
        <v>64</v>
      </c>
      <c r="D4" s="38" t="s">
        <v>65</v>
      </c>
      <c r="E4" s="38" t="s">
        <v>66</v>
      </c>
      <c r="F4" s="39" t="n">
        <f aca="false">BN4</f>
        <v>7.5</v>
      </c>
      <c r="G4" s="37" t="s">
        <v>67</v>
      </c>
      <c r="H4" s="40" t="s">
        <v>68</v>
      </c>
      <c r="I4" s="41" t="n">
        <v>45747</v>
      </c>
      <c r="J4" s="42"/>
      <c r="K4" s="43" t="s">
        <v>69</v>
      </c>
      <c r="L4" s="44" t="n">
        <v>208</v>
      </c>
      <c r="M4" s="45" t="n">
        <v>400</v>
      </c>
      <c r="N4" s="42"/>
      <c r="O4" s="42" t="n">
        <f aca="false">(P4*$C$2)+Q4</f>
        <v>10678.04</v>
      </c>
      <c r="P4" s="46" t="n">
        <f aca="false">M4*0.5</f>
        <v>200</v>
      </c>
      <c r="Q4" s="47" t="n">
        <f aca="false">M4*0.5*C2</f>
        <v>5339.02</v>
      </c>
      <c r="R4" s="46"/>
      <c r="S4" s="46"/>
      <c r="T4" s="46"/>
      <c r="U4" s="48"/>
      <c r="V4" s="46" t="n">
        <f aca="false">P4+R4+S4+U4</f>
        <v>200</v>
      </c>
      <c r="W4" s="46" t="n">
        <f aca="false">V4</f>
        <v>200</v>
      </c>
      <c r="X4" s="47" t="n">
        <f aca="false">Q4</f>
        <v>5339.02</v>
      </c>
      <c r="Y4" s="49" t="n">
        <f aca="false">IF(O4&gt;18519.27,0.045*18519.27,O4*0.045)</f>
        <v>480.5118</v>
      </c>
      <c r="Z4" s="49" t="n">
        <f aca="false">(Y4*0.5)/$Z$1</f>
        <v>9</v>
      </c>
      <c r="AA4" s="49" t="n">
        <f aca="false">Y4*0.5</f>
        <v>240.2559</v>
      </c>
      <c r="AB4" s="50"/>
      <c r="AC4" s="50"/>
      <c r="AD4" s="50"/>
      <c r="AE4" s="46" t="n">
        <f aca="false">W4-Z4-AD4</f>
        <v>191</v>
      </c>
      <c r="AF4" s="51" t="n">
        <f aca="false">X4-AA4-AB4-AC4</f>
        <v>5098.7641</v>
      </c>
      <c r="AG4" s="52" t="n">
        <f aca="false">AE4+(AF4/$C$2)</f>
        <v>382</v>
      </c>
      <c r="AH4" s="46" t="n">
        <f aca="false">BD4</f>
        <v>60.5</v>
      </c>
      <c r="AI4" s="46" t="n">
        <v>0</v>
      </c>
      <c r="AJ4" s="46" t="n">
        <f aca="false">AH4-AI4</f>
        <v>60.5</v>
      </c>
      <c r="AK4" s="53" t="n">
        <f aca="false">(AE4/AG4)*AH4</f>
        <v>30.25</v>
      </c>
      <c r="AL4" s="53" t="n">
        <f aca="false">AK4*0.03</f>
        <v>0.9075</v>
      </c>
      <c r="AM4" s="47" t="n">
        <f aca="false">(AJ4-AK4)*$C$2</f>
        <v>807.526775</v>
      </c>
      <c r="AN4" s="46" t="n">
        <f aca="false">AM4*0.03</f>
        <v>24.22580325</v>
      </c>
      <c r="AO4" s="46" t="n">
        <f aca="false">AE4-AK4-AL4</f>
        <v>159.8425</v>
      </c>
      <c r="AP4" s="46" t="n">
        <f aca="false">AF4-AM4-AN4</f>
        <v>4267.01152175</v>
      </c>
      <c r="AQ4" s="46"/>
      <c r="AR4" s="46" t="n">
        <v>12.5</v>
      </c>
      <c r="AS4" s="46"/>
      <c r="AT4" s="46"/>
      <c r="AU4" s="46"/>
      <c r="AV4" s="46" t="n">
        <f aca="false">AO4-AU4-AR4</f>
        <v>147.3425</v>
      </c>
      <c r="AW4" s="47" t="n">
        <f aca="false">AP4-AQ4-AS4-AT4</f>
        <v>4267.01152175</v>
      </c>
      <c r="AX4" s="46" t="n">
        <f aca="false">IF(AG4&lt;100,0,0)</f>
        <v>0</v>
      </c>
      <c r="AY4" s="46" t="n">
        <f aca="false">IF(AG4&lt;100,0,IF(AG4&lt;=300,AG4*0.2-20,))</f>
        <v>0</v>
      </c>
      <c r="AZ4" s="46" t="n">
        <f aca="false">IF(AG4&lt;300.01,0,IF(AG4&lt;=1000,AG4*0.25-35,))</f>
        <v>60.5</v>
      </c>
      <c r="BA4" s="46" t="n">
        <f aca="false">IF(AG4&lt;1000.01,0,IF(AG4&lt;=2000,AG4*0.3-85,))</f>
        <v>0</v>
      </c>
      <c r="BB4" s="46" t="str">
        <f aca="false">IF(AG4&lt;2000.01,"",IF(AG4&lt;=3000,AG4*0.35-185,))</f>
        <v/>
      </c>
      <c r="BC4" s="46" t="str">
        <f aca="false">IF(AG4&lt;3000.01,"",IF(AG4&gt;3000,AG4*0.4-335,))</f>
        <v/>
      </c>
      <c r="BD4" s="54" t="n">
        <f aca="false">SUM(AX4:BC4)</f>
        <v>60.5</v>
      </c>
      <c r="BE4" s="55" t="s">
        <v>70</v>
      </c>
      <c r="BF4" s="23" t="s">
        <v>70</v>
      </c>
      <c r="BG4" s="23" t="s">
        <v>68</v>
      </c>
      <c r="BH4" s="23" t="s">
        <v>68</v>
      </c>
      <c r="BI4" s="23" t="s">
        <v>71</v>
      </c>
      <c r="BJ4" s="23" t="s">
        <v>72</v>
      </c>
      <c r="BK4" s="23" t="n">
        <v>5</v>
      </c>
      <c r="BL4" s="23" t="n">
        <v>2.5</v>
      </c>
      <c r="BM4" s="23"/>
      <c r="BN4" s="23" t="n">
        <f aca="false">BK4+BL4-BM4</f>
        <v>7.5</v>
      </c>
    </row>
    <row r="5" customFormat="false" ht="15.75" hidden="false" customHeight="true" outlineLevel="0" collapsed="false">
      <c r="A5" s="23" t="s">
        <v>73</v>
      </c>
      <c r="B5" s="36" t="s">
        <v>74</v>
      </c>
      <c r="C5" s="37" t="s">
        <v>75</v>
      </c>
      <c r="D5" s="38" t="s">
        <v>76</v>
      </c>
      <c r="E5" s="38" t="s">
        <v>77</v>
      </c>
      <c r="F5" s="39" t="n">
        <f aca="false">BN5</f>
        <v>7.5</v>
      </c>
      <c r="G5" s="37" t="s">
        <v>78</v>
      </c>
      <c r="H5" s="40" t="s">
        <v>68</v>
      </c>
      <c r="I5" s="41" t="n">
        <f aca="false">I4</f>
        <v>45747</v>
      </c>
      <c r="J5" s="42" t="n">
        <v>0</v>
      </c>
      <c r="K5" s="43" t="str">
        <f aca="false">K4</f>
        <v>3/25</v>
      </c>
      <c r="L5" s="44" t="n">
        <v>208</v>
      </c>
      <c r="M5" s="42" t="n">
        <v>990.08</v>
      </c>
      <c r="N5" s="42"/>
      <c r="O5" s="42" t="n">
        <f aca="false">(P5*$C$2)+Q5</f>
        <v>26430.284608</v>
      </c>
      <c r="P5" s="46" t="n">
        <f aca="false">M5*0.5</f>
        <v>495.04</v>
      </c>
      <c r="Q5" s="47" t="n">
        <f aca="false">M5*0.5*C2</f>
        <v>13215.142304</v>
      </c>
      <c r="R5" s="46"/>
      <c r="S5" s="46" t="n">
        <v>0</v>
      </c>
      <c r="T5" s="46"/>
      <c r="U5" s="48"/>
      <c r="V5" s="46" t="n">
        <f aca="false">P5+R5+S5+U5</f>
        <v>495.04</v>
      </c>
      <c r="W5" s="46" t="n">
        <f aca="false">V5</f>
        <v>495.04</v>
      </c>
      <c r="X5" s="47" t="n">
        <f aca="false">Q5</f>
        <v>13215.142304</v>
      </c>
      <c r="Y5" s="49" t="n">
        <f aca="false">IF(O5&gt;18519.27,0.045*18519.27,O5*0.045)</f>
        <v>833.36715</v>
      </c>
      <c r="Z5" s="49" t="n">
        <f aca="false">(Y5*0.5)/$Z$1</f>
        <v>15.608990975872</v>
      </c>
      <c r="AA5" s="49" t="n">
        <f aca="false">Y5*0.5</f>
        <v>416.683575</v>
      </c>
      <c r="AB5" s="50"/>
      <c r="AC5" s="50"/>
      <c r="AD5" s="50" t="n">
        <f aca="false">IF(U5&gt;320,320,U5)</f>
        <v>0</v>
      </c>
      <c r="AE5" s="46" t="n">
        <f aca="false">W5-Z5-AD5</f>
        <v>479.431009024128</v>
      </c>
      <c r="AF5" s="51" t="n">
        <f aca="false">X5-AA5-AB5-AC5</f>
        <v>12798.458729</v>
      </c>
      <c r="AG5" s="52" t="n">
        <f aca="false">AE5+(AF5/$C$2)</f>
        <v>958.862018048256</v>
      </c>
      <c r="AH5" s="46" t="n">
        <f aca="false">BD5</f>
        <v>204.715504512064</v>
      </c>
      <c r="AI5" s="46" t="n">
        <v>0</v>
      </c>
      <c r="AJ5" s="53" t="n">
        <f aca="false">AH5-AI5</f>
        <v>204.715504512064</v>
      </c>
      <c r="AK5" s="53" t="n">
        <f aca="false">(AE5/AG5)*AH5</f>
        <v>102.357752256032</v>
      </c>
      <c r="AL5" s="53" t="n">
        <f aca="false">AK5*0.03</f>
        <v>3.07073256768096</v>
      </c>
      <c r="AM5" s="47" t="n">
        <f aca="false">(AJ5-AK5)*$C$2</f>
        <v>2732.45043225</v>
      </c>
      <c r="AN5" s="46" t="n">
        <f aca="false">AM5*0.03</f>
        <v>81.9735129675</v>
      </c>
      <c r="AO5" s="46" t="n">
        <f aca="false">AE5-AK5-AL5</f>
        <v>374.002524200415</v>
      </c>
      <c r="AP5" s="46" t="n">
        <f aca="false">AF5-AM5-AN5</f>
        <v>9984.0347837825</v>
      </c>
      <c r="AQ5" s="46"/>
      <c r="AR5" s="46" t="n">
        <v>12.5</v>
      </c>
      <c r="AS5" s="46"/>
      <c r="AT5" s="46"/>
      <c r="AU5" s="46"/>
      <c r="AV5" s="46" t="n">
        <f aca="false">AO5-AU5-AR5</f>
        <v>361.502524200415</v>
      </c>
      <c r="AW5" s="47" t="n">
        <f aca="false">AP5-AQ5-AS5-AT5</f>
        <v>9984.0347837825</v>
      </c>
      <c r="AX5" s="46" t="n">
        <f aca="false">IF(AG5&lt;100,0,0)</f>
        <v>0</v>
      </c>
      <c r="AY5" s="46" t="n">
        <f aca="false">IF(AG5&lt;100,0,IF(AG5&lt;=300,AG5*0.2-20,))</f>
        <v>0</v>
      </c>
      <c r="AZ5" s="46" t="n">
        <f aca="false">IF(AG5&lt;300.01,0,IF(AG5&lt;=1000,AG5*0.25-35,))</f>
        <v>204.715504512064</v>
      </c>
      <c r="BA5" s="46" t="n">
        <f aca="false">IF(AG5&lt;1000.01,0,IF(AG5&lt;=2000,AG5*0.3-85,))</f>
        <v>0</v>
      </c>
      <c r="BB5" s="46" t="str">
        <f aca="false">IF(AG5&lt;2000.01,"",IF(AG5&lt;=3000,AG5*0.35-185,))</f>
        <v/>
      </c>
      <c r="BC5" s="46" t="str">
        <f aca="false">IF(AG5&lt;3000.01,"",IF(AG5&gt;3000,AG5*0.4-335,))</f>
        <v/>
      </c>
      <c r="BD5" s="56" t="n">
        <f aca="false">SUM(AX5:BC5)</f>
        <v>204.715504512064</v>
      </c>
      <c r="BE5" s="55" t="s">
        <v>70</v>
      </c>
      <c r="BF5" s="23" t="s">
        <v>70</v>
      </c>
      <c r="BG5" s="23" t="s">
        <v>79</v>
      </c>
      <c r="BH5" s="23" t="s">
        <v>80</v>
      </c>
      <c r="BI5" s="23" t="s">
        <v>81</v>
      </c>
      <c r="BJ5" s="23" t="s">
        <v>82</v>
      </c>
      <c r="BK5" s="23" t="n">
        <v>5</v>
      </c>
      <c r="BL5" s="23" t="n">
        <v>2.5</v>
      </c>
      <c r="BM5" s="23"/>
      <c r="BN5" s="23" t="n">
        <f aca="false">BK5+BL5-BM5</f>
        <v>7.5</v>
      </c>
    </row>
    <row r="6" customFormat="false" ht="15.75" hidden="false" customHeight="true" outlineLevel="0" collapsed="false">
      <c r="A6" s="23" t="s">
        <v>83</v>
      </c>
      <c r="B6" s="57" t="s">
        <v>84</v>
      </c>
      <c r="C6" s="58" t="s">
        <v>85</v>
      </c>
      <c r="D6" s="59" t="s">
        <v>86</v>
      </c>
      <c r="E6" s="59" t="s">
        <v>87</v>
      </c>
      <c r="F6" s="39" t="n">
        <f aca="false">BN6</f>
        <v>7.5</v>
      </c>
      <c r="G6" s="37" t="s">
        <v>88</v>
      </c>
      <c r="H6" s="60" t="s">
        <v>68</v>
      </c>
      <c r="I6" s="41" t="n">
        <f aca="false">I5</f>
        <v>45747</v>
      </c>
      <c r="J6" s="61" t="n">
        <v>0</v>
      </c>
      <c r="K6" s="43" t="str">
        <f aca="false">K5</f>
        <v>3/25</v>
      </c>
      <c r="L6" s="62" t="n">
        <v>208</v>
      </c>
      <c r="M6" s="61" t="n">
        <v>748.8</v>
      </c>
      <c r="N6" s="61"/>
      <c r="O6" s="42" t="n">
        <f aca="false">(P6*$C$2)+Q6</f>
        <v>19989.29088</v>
      </c>
      <c r="P6" s="63" t="n">
        <f aca="false">748.8*0.5</f>
        <v>374.4</v>
      </c>
      <c r="Q6" s="64" t="n">
        <f aca="false">M6*0.5*C2</f>
        <v>9994.64544</v>
      </c>
      <c r="R6" s="51"/>
      <c r="S6" s="46"/>
      <c r="T6" s="65"/>
      <c r="U6" s="48"/>
      <c r="V6" s="46" t="n">
        <f aca="false">P6+R6+S6+U6</f>
        <v>374.4</v>
      </c>
      <c r="W6" s="46" t="n">
        <f aca="false">V6</f>
        <v>374.4</v>
      </c>
      <c r="X6" s="47" t="n">
        <f aca="false">Q6+T6</f>
        <v>9994.64544</v>
      </c>
      <c r="Y6" s="49" t="n">
        <f aca="false">IF(O6&gt;18519.27,0.045*18519.27,O6*0.045)</f>
        <v>833.36715</v>
      </c>
      <c r="Z6" s="49" t="n">
        <f aca="false">(Y6*0.5)/$Z$1</f>
        <v>15.608990975872</v>
      </c>
      <c r="AA6" s="49" t="n">
        <f aca="false">Y6*0.5</f>
        <v>416.683575</v>
      </c>
      <c r="AB6" s="50"/>
      <c r="AC6" s="50"/>
      <c r="AD6" s="50" t="n">
        <f aca="false">IF(U6&gt;320,320,U6)</f>
        <v>0</v>
      </c>
      <c r="AE6" s="46" t="n">
        <f aca="false">W6-Z6-AD6</f>
        <v>358.791009024128</v>
      </c>
      <c r="AF6" s="51" t="n">
        <f aca="false">X6-AA6-AB6-AC6</f>
        <v>9577.961865</v>
      </c>
      <c r="AG6" s="52" t="n">
        <f aca="false">AE6+(AF6/$C$2)</f>
        <v>717.582018048256</v>
      </c>
      <c r="AH6" s="46" t="n">
        <f aca="false">BD6</f>
        <v>144.395504512064</v>
      </c>
      <c r="AI6" s="46" t="n">
        <v>0</v>
      </c>
      <c r="AJ6" s="46" t="n">
        <f aca="false">AH6-AI6</f>
        <v>144.395504512064</v>
      </c>
      <c r="AK6" s="53" t="n">
        <f aca="false">(AE6/AG6)*AH6</f>
        <v>72.197752256032</v>
      </c>
      <c r="AL6" s="53" t="n">
        <f aca="false">AK6*0.03</f>
        <v>2.16593256768096</v>
      </c>
      <c r="AM6" s="47" t="n">
        <f aca="false">(AJ6-AK6)*$C$2</f>
        <v>1927.32621625</v>
      </c>
      <c r="AN6" s="46" t="n">
        <f aca="false">AM6*0.03</f>
        <v>57.8197864875</v>
      </c>
      <c r="AO6" s="46" t="n">
        <f aca="false">AE6-AK6-AL6</f>
        <v>284.427324200415</v>
      </c>
      <c r="AP6" s="46" t="n">
        <f aca="false">AF6-AM6-AN6</f>
        <v>7592.8158622625</v>
      </c>
      <c r="AQ6" s="46"/>
      <c r="AR6" s="46" t="n">
        <v>12.5</v>
      </c>
      <c r="AS6" s="46"/>
      <c r="AT6" s="46"/>
      <c r="AU6" s="46"/>
      <c r="AV6" s="46" t="n">
        <f aca="false">AO6-AU6-AR6</f>
        <v>271.927324200415</v>
      </c>
      <c r="AW6" s="50" t="n">
        <f aca="false">AP6-AQ6-AS6-AT6</f>
        <v>7592.8158622625</v>
      </c>
      <c r="AX6" s="46" t="n">
        <f aca="false">IF(AG6&lt;100,0,0)</f>
        <v>0</v>
      </c>
      <c r="AY6" s="46" t="n">
        <f aca="false">IF(AG6&lt;100,0,IF(AG6&lt;=300,AG6*0.2-20,))</f>
        <v>0</v>
      </c>
      <c r="AZ6" s="46" t="n">
        <f aca="false">IF(AG6&lt;300.01,0,IF(AG6&lt;=1000,AG6*0.25-35,))</f>
        <v>144.395504512064</v>
      </c>
      <c r="BA6" s="46" t="n">
        <f aca="false">IF(AG6&lt;1000.01,0,IF(AG6&lt;=2000,AG6*0.3-85,))</f>
        <v>0</v>
      </c>
      <c r="BB6" s="46" t="str">
        <f aca="false">IF(AG6&lt;2000.01,"",IF(AG6&lt;=3000,AG6*0.35-185,))</f>
        <v/>
      </c>
      <c r="BC6" s="46" t="str">
        <f aca="false">IF(AG6&lt;3000.01,"",IF(AG6&gt;3000,AG6*0.4-335,))</f>
        <v/>
      </c>
      <c r="BD6" s="54" t="n">
        <f aca="false">SUM(AX6:BC6)</f>
        <v>144.395504512064</v>
      </c>
      <c r="BE6" s="55" t="s">
        <v>70</v>
      </c>
      <c r="BF6" s="23" t="s">
        <v>70</v>
      </c>
      <c r="BG6" s="23" t="s">
        <v>68</v>
      </c>
      <c r="BH6" s="23" t="s">
        <v>68</v>
      </c>
      <c r="BI6" s="23" t="s">
        <v>89</v>
      </c>
      <c r="BJ6" s="23" t="s">
        <v>90</v>
      </c>
      <c r="BK6" s="23" t="n">
        <v>5</v>
      </c>
      <c r="BL6" s="23" t="n">
        <v>2.5</v>
      </c>
      <c r="BM6" s="23"/>
      <c r="BN6" s="23" t="n">
        <f aca="false">BK6+BL6-BM6</f>
        <v>7.5</v>
      </c>
    </row>
    <row r="7" customFormat="false" ht="15.75" hidden="false" customHeight="true" outlineLevel="0" collapsed="false">
      <c r="A7" s="23" t="s">
        <v>91</v>
      </c>
      <c r="B7" s="66" t="s">
        <v>92</v>
      </c>
      <c r="C7" s="37" t="s">
        <v>93</v>
      </c>
      <c r="D7" s="67" t="s">
        <v>94</v>
      </c>
      <c r="E7" s="67" t="s">
        <v>95</v>
      </c>
      <c r="F7" s="39" t="n">
        <f aca="false">BN7</f>
        <v>7.5</v>
      </c>
      <c r="G7" s="37" t="s">
        <v>96</v>
      </c>
      <c r="H7" s="68" t="s">
        <v>68</v>
      </c>
      <c r="I7" s="41" t="n">
        <f aca="false">I6</f>
        <v>45747</v>
      </c>
      <c r="J7" s="69"/>
      <c r="K7" s="43" t="str">
        <f aca="false">K6</f>
        <v>3/25</v>
      </c>
      <c r="L7" s="70" t="n">
        <v>208</v>
      </c>
      <c r="M7" s="69" t="n">
        <f aca="false">800*0.9</f>
        <v>720</v>
      </c>
      <c r="N7" s="69"/>
      <c r="O7" s="42" t="n">
        <f aca="false">(P7*$C$2)+Q7</f>
        <v>19220.472</v>
      </c>
      <c r="P7" s="46" t="n">
        <f aca="false">M7*0.5</f>
        <v>360</v>
      </c>
      <c r="Q7" s="47" t="n">
        <f aca="false">M7*0.5*C2</f>
        <v>9610.236</v>
      </c>
      <c r="R7" s="71"/>
      <c r="S7" s="46"/>
      <c r="T7" s="71"/>
      <c r="U7" s="48"/>
      <c r="V7" s="65" t="n">
        <f aca="false">P7+R7+S7+U7</f>
        <v>360</v>
      </c>
      <c r="W7" s="46" t="n">
        <f aca="false">V7</f>
        <v>360</v>
      </c>
      <c r="X7" s="47" t="n">
        <f aca="false">Q7</f>
        <v>9610.236</v>
      </c>
      <c r="Y7" s="49" t="n">
        <f aca="false">IF(O7&gt;18519.27,0.045*18519.27,O7*0.045)</f>
        <v>833.36715</v>
      </c>
      <c r="Z7" s="49" t="n">
        <f aca="false">(Y7*0.5)/$Z$1</f>
        <v>15.608990975872</v>
      </c>
      <c r="AA7" s="49" t="n">
        <f aca="false">Y7*0.5</f>
        <v>416.683575</v>
      </c>
      <c r="AB7" s="72"/>
      <c r="AC7" s="50"/>
      <c r="AD7" s="73"/>
      <c r="AE7" s="46" t="n">
        <f aca="false">W7-Z7-AD7</f>
        <v>344.391009024128</v>
      </c>
      <c r="AF7" s="51" t="n">
        <f aca="false">X7-AA7-AB7-AC7</f>
        <v>9193.552425</v>
      </c>
      <c r="AG7" s="52" t="n">
        <f aca="false">AE7+(AF7/$C$2)</f>
        <v>688.782018048256</v>
      </c>
      <c r="AH7" s="53" t="n">
        <f aca="false">BD7</f>
        <v>137.195504512064</v>
      </c>
      <c r="AI7" s="46"/>
      <c r="AJ7" s="53" t="n">
        <f aca="false">AH7-AI7</f>
        <v>137.195504512064</v>
      </c>
      <c r="AK7" s="53" t="n">
        <f aca="false">(AE7/AG7)*AH7</f>
        <v>68.597752256032</v>
      </c>
      <c r="AL7" s="53" t="n">
        <f aca="false">AK7*0.03</f>
        <v>2.05793256768096</v>
      </c>
      <c r="AM7" s="47" t="n">
        <f aca="false">(AJ7-AK7)*$C$2</f>
        <v>1831.22385625</v>
      </c>
      <c r="AN7" s="46" t="n">
        <f aca="false">AM7*0.03</f>
        <v>54.9367156875</v>
      </c>
      <c r="AO7" s="46" t="n">
        <f aca="false">AE7-AK7-AL7</f>
        <v>273.735324200415</v>
      </c>
      <c r="AP7" s="46" t="n">
        <f aca="false">AF7-AM7-AN7</f>
        <v>7307.3918530625</v>
      </c>
      <c r="AQ7" s="46"/>
      <c r="AR7" s="46" t="n">
        <v>12.5</v>
      </c>
      <c r="AS7" s="46"/>
      <c r="AT7" s="46"/>
      <c r="AU7" s="46"/>
      <c r="AV7" s="46" t="n">
        <f aca="false">AO7-AU7-AR7</f>
        <v>261.235324200415</v>
      </c>
      <c r="AW7" s="47" t="n">
        <f aca="false">AP7-AQ7-AS7-AT7</f>
        <v>7307.3918530625</v>
      </c>
      <c r="AX7" s="46" t="n">
        <f aca="false">IF(AG7&lt;100,0,0)</f>
        <v>0</v>
      </c>
      <c r="AY7" s="46" t="n">
        <f aca="false">IF(AG7&lt;100,0,IF(AG7&lt;=300,AG7*0.2-20,))</f>
        <v>0</v>
      </c>
      <c r="AZ7" s="46" t="n">
        <f aca="false">IF(AG7&lt;300.01,0,IF(AG7&lt;=1000,AG7*0.25-35,))</f>
        <v>137.195504512064</v>
      </c>
      <c r="BA7" s="46" t="n">
        <f aca="false">IF(AG7&lt;1000.01,0,IF(AG7&lt;=2000,AG7*0.3-85,))</f>
        <v>0</v>
      </c>
      <c r="BB7" s="46" t="str">
        <f aca="false">IF(AG7&lt;2000.01,"",IF(AG7&lt;=3000,AG7*0.35-185,))</f>
        <v/>
      </c>
      <c r="BC7" s="46" t="str">
        <f aca="false">IF(AG7&lt;3000.01,"",IF(AG7&gt;3000,AG7*0.4-335,))</f>
        <v/>
      </c>
      <c r="BD7" s="56" t="n">
        <f aca="false">SUM(AX7:BC7)</f>
        <v>137.195504512064</v>
      </c>
      <c r="BE7" s="55" t="s">
        <v>70</v>
      </c>
      <c r="BF7" s="23" t="s">
        <v>70</v>
      </c>
      <c r="BG7" s="23" t="s">
        <v>68</v>
      </c>
      <c r="BH7" s="23" t="s">
        <v>68</v>
      </c>
      <c r="BI7" s="23" t="s">
        <v>97</v>
      </c>
      <c r="BJ7" s="23" t="s">
        <v>98</v>
      </c>
      <c r="BK7" s="23" t="n">
        <v>5</v>
      </c>
      <c r="BL7" s="23" t="n">
        <v>2.5</v>
      </c>
      <c r="BM7" s="23"/>
      <c r="BN7" s="23" t="n">
        <f aca="false">BK7+BL7-BM7</f>
        <v>7.5</v>
      </c>
    </row>
    <row r="8" customFormat="false" ht="15.75" hidden="false" customHeight="true" outlineLevel="0" collapsed="false">
      <c r="A8" s="23" t="s">
        <v>99</v>
      </c>
      <c r="B8" s="74" t="s">
        <v>100</v>
      </c>
      <c r="C8" s="58" t="s">
        <v>64</v>
      </c>
      <c r="D8" s="75" t="s">
        <v>101</v>
      </c>
      <c r="E8" s="75" t="s">
        <v>87</v>
      </c>
      <c r="F8" s="39" t="n">
        <f aca="false">BN8</f>
        <v>7.5</v>
      </c>
      <c r="G8" s="37" t="s">
        <v>102</v>
      </c>
      <c r="H8" s="76" t="s">
        <v>68</v>
      </c>
      <c r="I8" s="41" t="n">
        <f aca="false">I7</f>
        <v>45747</v>
      </c>
      <c r="J8" s="77"/>
      <c r="K8" s="43" t="str">
        <f aca="false">K7</f>
        <v>3/25</v>
      </c>
      <c r="L8" s="78" t="n">
        <v>208</v>
      </c>
      <c r="M8" s="77" t="n">
        <v>748.8</v>
      </c>
      <c r="N8" s="77"/>
      <c r="O8" s="61" t="n">
        <f aca="false">(P8*$C$2)+Q8</f>
        <v>19989.29088</v>
      </c>
      <c r="P8" s="63" t="n">
        <f aca="false">748.8*0.5</f>
        <v>374.4</v>
      </c>
      <c r="Q8" s="64" t="n">
        <f aca="false">M8*0.5*C2</f>
        <v>9994.64544</v>
      </c>
      <c r="R8" s="71"/>
      <c r="S8" s="63"/>
      <c r="T8" s="71"/>
      <c r="U8" s="79"/>
      <c r="V8" s="80" t="n">
        <f aca="false">P8+R8+S8+U8</f>
        <v>374.4</v>
      </c>
      <c r="W8" s="46" t="n">
        <f aca="false">V8</f>
        <v>374.4</v>
      </c>
      <c r="X8" s="47" t="n">
        <f aca="false">Q8+T8</f>
        <v>9994.64544</v>
      </c>
      <c r="Y8" s="49" t="n">
        <f aca="false">IF(O8&gt;18519.27,0.045*18519.27,O8*0.045)</f>
        <v>833.36715</v>
      </c>
      <c r="Z8" s="49" t="n">
        <f aca="false">(Y8*0.5)/$Z$1</f>
        <v>15.608990975872</v>
      </c>
      <c r="AA8" s="49" t="n">
        <f aca="false">Y8*0.5</f>
        <v>416.683575</v>
      </c>
      <c r="AB8" s="73"/>
      <c r="AC8" s="81"/>
      <c r="AD8" s="81"/>
      <c r="AE8" s="46" t="n">
        <f aca="false">W8-Z8-AD8</f>
        <v>358.791009024128</v>
      </c>
      <c r="AF8" s="51" t="n">
        <f aca="false">X8-AA8-AB8-AC8</f>
        <v>9577.961865</v>
      </c>
      <c r="AG8" s="82" t="n">
        <f aca="false">AE8+(AF8/$C$2)</f>
        <v>717.582018048256</v>
      </c>
      <c r="AH8" s="83" t="n">
        <f aca="false">BD8</f>
        <v>144.395504512064</v>
      </c>
      <c r="AI8" s="63"/>
      <c r="AJ8" s="83" t="n">
        <f aca="false">AH8-AI8</f>
        <v>144.395504512064</v>
      </c>
      <c r="AK8" s="83" t="n">
        <f aca="false">(AE8/AG8)*AH8</f>
        <v>72.197752256032</v>
      </c>
      <c r="AL8" s="83" t="n">
        <f aca="false">AK8*0.03</f>
        <v>2.16593256768096</v>
      </c>
      <c r="AM8" s="47" t="n">
        <f aca="false">(AJ8-AK8)*$C$2</f>
        <v>1927.32621625</v>
      </c>
      <c r="AN8" s="46" t="n">
        <f aca="false">AM8*0.03</f>
        <v>57.8197864875</v>
      </c>
      <c r="AO8" s="63" t="n">
        <f aca="false">AE8-AK8-AL8</f>
        <v>284.427324200415</v>
      </c>
      <c r="AP8" s="46" t="n">
        <f aca="false">AF8-AM8-AN8</f>
        <v>7592.8158622625</v>
      </c>
      <c r="AQ8" s="71"/>
      <c r="AR8" s="46" t="n">
        <v>12.5</v>
      </c>
      <c r="AS8" s="63"/>
      <c r="AT8" s="63"/>
      <c r="AU8" s="63"/>
      <c r="AV8" s="46" t="n">
        <f aca="false">AO8-AU8-AR8</f>
        <v>271.927324200415</v>
      </c>
      <c r="AW8" s="47" t="n">
        <f aca="false">AP8-AQ8-AS8-AT8</f>
        <v>7592.8158622625</v>
      </c>
      <c r="AX8" s="63" t="n">
        <f aca="false">IF(AG8&lt;100,0,0)</f>
        <v>0</v>
      </c>
      <c r="AY8" s="63" t="n">
        <f aca="false">IF(AG8&lt;100,0,IF(AG8&lt;=300,AG8*0.2-20,))</f>
        <v>0</v>
      </c>
      <c r="AZ8" s="63" t="n">
        <f aca="false">IF(AG8&lt;300.01,0,IF(AG8&lt;=1000,AG8*0.25-35,))</f>
        <v>144.395504512064</v>
      </c>
      <c r="BA8" s="63" t="n">
        <f aca="false">IF(AG8&lt;1000.01,0,IF(AG8&lt;=2000,AG8*0.3-85,))</f>
        <v>0</v>
      </c>
      <c r="BB8" s="63" t="str">
        <f aca="false">IF(AG8&lt;2000.01,"",IF(AG8&lt;=3000,AG8*0.35-185,))</f>
        <v/>
      </c>
      <c r="BC8" s="63" t="str">
        <f aca="false">IF(AG8&lt;3000.01,"",IF(AG8&gt;3000,AG8*0.4-335,))</f>
        <v/>
      </c>
      <c r="BD8" s="84" t="n">
        <f aca="false">SUM(AX8:BC8)</f>
        <v>144.395504512064</v>
      </c>
      <c r="BE8" s="85" t="s">
        <v>70</v>
      </c>
      <c r="BF8" s="86" t="s">
        <v>70</v>
      </c>
      <c r="BG8" s="86" t="s">
        <v>68</v>
      </c>
      <c r="BH8" s="86" t="s">
        <v>103</v>
      </c>
      <c r="BI8" s="23" t="s">
        <v>104</v>
      </c>
      <c r="BJ8" s="86" t="s">
        <v>105</v>
      </c>
      <c r="BK8" s="23" t="n">
        <v>5</v>
      </c>
      <c r="BL8" s="23" t="n">
        <v>2.5</v>
      </c>
      <c r="BM8" s="23"/>
      <c r="BN8" s="23" t="n">
        <f aca="false">BK8+BL8-BM8</f>
        <v>7.5</v>
      </c>
    </row>
    <row r="9" customFormat="false" ht="15.75" hidden="false" customHeight="true" outlineLevel="0" collapsed="false">
      <c r="A9" s="87" t="s">
        <v>106</v>
      </c>
      <c r="B9" s="66" t="s">
        <v>107</v>
      </c>
      <c r="C9" s="37" t="s">
        <v>108</v>
      </c>
      <c r="D9" s="67"/>
      <c r="E9" s="67" t="s">
        <v>109</v>
      </c>
      <c r="F9" s="39" t="n">
        <f aca="false">BN9</f>
        <v>7.5</v>
      </c>
      <c r="G9" s="37" t="s">
        <v>110</v>
      </c>
      <c r="H9" s="68" t="s">
        <v>68</v>
      </c>
      <c r="I9" s="41" t="n">
        <f aca="false">I8</f>
        <v>45747</v>
      </c>
      <c r="J9" s="69"/>
      <c r="K9" s="43" t="str">
        <f aca="false">K8</f>
        <v>3/25</v>
      </c>
      <c r="L9" s="70" t="n">
        <v>208</v>
      </c>
      <c r="M9" s="69" t="n">
        <v>336.96</v>
      </c>
      <c r="N9" s="69"/>
      <c r="O9" s="69" t="n">
        <f aca="false">(P9*$C$2)+Q9</f>
        <v>8995.180896</v>
      </c>
      <c r="P9" s="46" t="n">
        <f aca="false">M9*0.5</f>
        <v>168.48</v>
      </c>
      <c r="Q9" s="47" t="n">
        <f aca="false">M9*0.5*C2</f>
        <v>4497.590448</v>
      </c>
      <c r="R9" s="46"/>
      <c r="S9" s="46"/>
      <c r="T9" s="46"/>
      <c r="U9" s="48"/>
      <c r="V9" s="80" t="n">
        <f aca="false">P9+(R9*0.5)+S9+U9</f>
        <v>168.48</v>
      </c>
      <c r="W9" s="46" t="n">
        <f aca="false">V9</f>
        <v>168.48</v>
      </c>
      <c r="X9" s="47" t="n">
        <f aca="false">Q9+(R9*0.5*C2)</f>
        <v>4497.590448</v>
      </c>
      <c r="Y9" s="49" t="n">
        <f aca="false">IF(O9&gt;18519.27,0.045*18519.27,O9*0.045)</f>
        <v>404.78314032</v>
      </c>
      <c r="Z9" s="49" t="n">
        <f aca="false">(Y9*0.5)/$Z$1</f>
        <v>7.5816</v>
      </c>
      <c r="AA9" s="49" t="n">
        <f aca="false">Y9*0.5</f>
        <v>202.39157016</v>
      </c>
      <c r="AB9" s="50"/>
      <c r="AC9" s="50"/>
      <c r="AD9" s="50"/>
      <c r="AE9" s="46" t="n">
        <f aca="false">W9-Z9-AD9</f>
        <v>160.8984</v>
      </c>
      <c r="AF9" s="51" t="n">
        <f aca="false">X9-AA9-AB9-AC9</f>
        <v>4295.19887784</v>
      </c>
      <c r="AG9" s="82" t="n">
        <f aca="false">AE9+(AF9/$C$2)</f>
        <v>321.7968</v>
      </c>
      <c r="AH9" s="83" t="n">
        <f aca="false">BD9</f>
        <v>45.4492</v>
      </c>
      <c r="AI9" s="46"/>
      <c r="AJ9" s="83" t="n">
        <f aca="false">AH9-AI9</f>
        <v>45.4492</v>
      </c>
      <c r="AK9" s="83" t="n">
        <f aca="false">(AE9/AG9)*AH9</f>
        <v>22.7246</v>
      </c>
      <c r="AL9" s="83" t="n">
        <f aca="false">AK9*0.03</f>
        <v>0.681738</v>
      </c>
      <c r="AM9" s="47" t="n">
        <f aca="false">(AJ9-AK9)*$C$2</f>
        <v>606.63546946</v>
      </c>
      <c r="AN9" s="46" t="n">
        <f aca="false">AM9*0.03</f>
        <v>18.1990640838</v>
      </c>
      <c r="AO9" s="63" t="n">
        <f aca="false">AE9-AK9-AL9</f>
        <v>137.492062</v>
      </c>
      <c r="AP9" s="46" t="n">
        <f aca="false">AF9-AM9-AN9</f>
        <v>3670.3643442962</v>
      </c>
      <c r="AQ9" s="46"/>
      <c r="AR9" s="46" t="n">
        <v>12.5</v>
      </c>
      <c r="AS9" s="46"/>
      <c r="AT9" s="46"/>
      <c r="AU9" s="46"/>
      <c r="AV9" s="46" t="n">
        <f aca="false">AO9-AU9-AR9</f>
        <v>124.992062</v>
      </c>
      <c r="AW9" s="47" t="n">
        <f aca="false">AP9-AQ9-AS9-AT9</f>
        <v>3670.3643442962</v>
      </c>
      <c r="AX9" s="46" t="n">
        <f aca="false">IF(AG9&lt;100,0,0)</f>
        <v>0</v>
      </c>
      <c r="AY9" s="46" t="n">
        <f aca="false">IF(AG9&lt;100,0,IF(AG9&lt;=300,AG9*0.2-20,))</f>
        <v>0</v>
      </c>
      <c r="AZ9" s="46" t="n">
        <f aca="false">IF(AG9&lt;300.01,0,IF(AG9&lt;=1000,AG9*0.25-35,))</f>
        <v>45.4492</v>
      </c>
      <c r="BA9" s="46" t="n">
        <f aca="false">IF(AG9&lt;1000.01,0,IF(AG9&lt;=2000,AG9*0.3-85,))</f>
        <v>0</v>
      </c>
      <c r="BB9" s="46" t="str">
        <f aca="false">IF(AG9&lt;2000.01,"",IF(AG9&lt;=3000,AG9*0.35-185,))</f>
        <v/>
      </c>
      <c r="BC9" s="46" t="str">
        <f aca="false">IF(AG9&lt;3000.01,"",IF(AG9&gt;3000,AG9*0.4-335,))</f>
        <v/>
      </c>
      <c r="BD9" s="84" t="n">
        <f aca="false">SUM(AX9:BC9)</f>
        <v>45.4492</v>
      </c>
      <c r="BE9" s="55" t="s">
        <v>70</v>
      </c>
      <c r="BF9" s="23" t="s">
        <v>70</v>
      </c>
      <c r="BG9" s="23" t="s">
        <v>68</v>
      </c>
      <c r="BH9" s="23" t="s">
        <v>111</v>
      </c>
      <c r="BI9" s="23" t="s">
        <v>112</v>
      </c>
      <c r="BJ9" s="23" t="s">
        <v>113</v>
      </c>
      <c r="BK9" s="23" t="n">
        <v>5</v>
      </c>
      <c r="BL9" s="23" t="n">
        <v>2.5</v>
      </c>
      <c r="BM9" s="23"/>
      <c r="BN9" s="23" t="n">
        <f aca="false">BK9+BL9-BM9</f>
        <v>7.5</v>
      </c>
    </row>
    <row r="10" customFormat="false" ht="15.75" hidden="false" customHeight="true" outlineLevel="0" collapsed="false">
      <c r="A10" s="23" t="s">
        <v>114</v>
      </c>
      <c r="B10" s="36" t="s">
        <v>115</v>
      </c>
      <c r="C10" s="37" t="s">
        <v>116</v>
      </c>
      <c r="D10" s="38" t="s">
        <v>117</v>
      </c>
      <c r="E10" s="38" t="s">
        <v>118</v>
      </c>
      <c r="F10" s="88"/>
      <c r="G10" s="39" t="s">
        <v>119</v>
      </c>
      <c r="H10" s="68" t="s">
        <v>68</v>
      </c>
      <c r="I10" s="41" t="n">
        <f aca="false">I9</f>
        <v>45747</v>
      </c>
      <c r="J10" s="89"/>
      <c r="K10" s="43" t="str">
        <f aca="false">K9</f>
        <v>3/25</v>
      </c>
      <c r="L10" s="70" t="n">
        <v>208</v>
      </c>
      <c r="M10" s="69" t="n">
        <v>900</v>
      </c>
      <c r="N10" s="69"/>
      <c r="O10" s="69" t="n">
        <f aca="false">(P10*$C$2)+Q10</f>
        <v>44344.597258</v>
      </c>
      <c r="P10" s="46" t="n">
        <v>1291.58</v>
      </c>
      <c r="Q10" s="47" t="n">
        <v>9865.74</v>
      </c>
      <c r="U10" s="90"/>
      <c r="V10" s="80" t="n">
        <f aca="false">P10+R10+S10+U10</f>
        <v>1291.58</v>
      </c>
      <c r="W10" s="46" t="n">
        <f aca="false">V10</f>
        <v>1291.58</v>
      </c>
      <c r="X10" s="47" t="n">
        <f aca="false">Q10+T10</f>
        <v>9865.74</v>
      </c>
      <c r="Y10" s="49" t="n">
        <f aca="false">IF(O10&gt;18519.27,0.045*18519.27,O10*0.045)</f>
        <v>833.36715</v>
      </c>
      <c r="Z10" s="49" t="n">
        <f aca="false">(Y10*0.5)/$Z$1</f>
        <v>15.608990975872</v>
      </c>
      <c r="AA10" s="49" t="n">
        <f aca="false">Y10*0.5</f>
        <v>416.683575</v>
      </c>
      <c r="AB10" s="50"/>
      <c r="AC10" s="50"/>
      <c r="AD10" s="50"/>
      <c r="AE10" s="46" t="n">
        <f aca="false">W10-Z10-AD10</f>
        <v>1275.97100902413</v>
      </c>
      <c r="AF10" s="51" t="n">
        <f aca="false">X10-AA10-AB10-AC10</f>
        <v>9449.056425</v>
      </c>
      <c r="AG10" s="82" t="n">
        <f aca="false">AE10+(AF10/$C$2)</f>
        <v>1629.93321276189</v>
      </c>
      <c r="AH10" s="83" t="n">
        <f aca="false">BD10</f>
        <v>403.979963828568</v>
      </c>
      <c r="AI10" s="46"/>
      <c r="AJ10" s="83" t="n">
        <f aca="false">AH10-AI10</f>
        <v>403.979963828568</v>
      </c>
      <c r="AK10" s="83" t="n">
        <f aca="false">(AE10/AG10)*AH10</f>
        <v>316.250210766869</v>
      </c>
      <c r="AL10" s="83" t="n">
        <f aca="false">AK10*0.03</f>
        <v>9.48750632300607</v>
      </c>
      <c r="AM10" s="47" t="n">
        <f aca="false">(AJ10-AK10)*$C$2</f>
        <v>2341.95453095736</v>
      </c>
      <c r="AN10" s="46" t="n">
        <f aca="false">AM10*0.03</f>
        <v>70.2586359287207</v>
      </c>
      <c r="AO10" s="63" t="n">
        <f aca="false">AE10-AK10-AL10</f>
        <v>950.233291934253</v>
      </c>
      <c r="AP10" s="46" t="n">
        <f aca="false">AF10-AM10-AN10</f>
        <v>7036.84325811392</v>
      </c>
      <c r="AR10" s="46"/>
      <c r="AV10" s="46" t="n">
        <f aca="false">AO10-AU10-AR10</f>
        <v>950.233291934253</v>
      </c>
      <c r="AW10" s="47" t="n">
        <f aca="false">AP10-AQ10-AS10-AT10</f>
        <v>7036.84325811392</v>
      </c>
      <c r="AX10" s="46" t="n">
        <f aca="false">IF(AG10&lt;100,0,0)</f>
        <v>0</v>
      </c>
      <c r="AY10" s="46" t="n">
        <f aca="false">IF(AG10&lt;100,0,IF(AG10&lt;=300,AG10*0.2-20,))</f>
        <v>0</v>
      </c>
      <c r="AZ10" s="46" t="n">
        <f aca="false">IF(AG10&lt;300.01,0,IF(AG10&lt;=1000,AG10*0.25-35,))</f>
        <v>0</v>
      </c>
      <c r="BA10" s="46" t="n">
        <f aca="false">IF(AG10&lt;1000.01,0,IF(AG10&lt;=2000,AG10*0.3-85,))</f>
        <v>403.979963828568</v>
      </c>
      <c r="BB10" s="46" t="str">
        <f aca="false">IF(AG10&lt;2000.01,"",IF(AG10&lt;=3000,AG10*0.35-185,))</f>
        <v/>
      </c>
      <c r="BC10" s="2"/>
      <c r="BD10" s="84" t="n">
        <f aca="false">SUM(AX10:BC10)</f>
        <v>403.979963828568</v>
      </c>
      <c r="BE10" s="55" t="s">
        <v>70</v>
      </c>
      <c r="BF10" s="23" t="s">
        <v>70</v>
      </c>
      <c r="BG10" s="23" t="s">
        <v>68</v>
      </c>
      <c r="BH10" s="23" t="s">
        <v>111</v>
      </c>
      <c r="BI10" s="23" t="s">
        <v>120</v>
      </c>
      <c r="BJ10" s="23" t="s">
        <v>113</v>
      </c>
      <c r="BK10" s="23" t="n">
        <v>5</v>
      </c>
      <c r="BL10" s="23" t="n">
        <v>2.5</v>
      </c>
      <c r="BM10" s="23"/>
      <c r="BN10" s="23" t="n">
        <f aca="false">BK10+BL10-BM10</f>
        <v>7.5</v>
      </c>
    </row>
    <row r="11" customFormat="false" ht="15.75" hidden="false" customHeight="true" outlineLevel="0" collapsed="false">
      <c r="B11" s="91"/>
      <c r="C11" s="92"/>
      <c r="D11" s="93"/>
      <c r="E11" s="93"/>
      <c r="F11" s="88"/>
      <c r="G11" s="88"/>
      <c r="H11" s="88"/>
      <c r="I11" s="94"/>
      <c r="J11" s="89"/>
      <c r="K11" s="95"/>
      <c r="L11" s="96"/>
      <c r="M11" s="89"/>
      <c r="N11" s="89"/>
      <c r="O11" s="89"/>
      <c r="Q11" s="97"/>
      <c r="U11" s="90"/>
      <c r="X11" s="97"/>
      <c r="Y11" s="98"/>
      <c r="Z11" s="98"/>
      <c r="AA11" s="98"/>
      <c r="AB11" s="99"/>
      <c r="AC11" s="99"/>
      <c r="AD11" s="99"/>
      <c r="AG11" s="100"/>
      <c r="AH11" s="101"/>
      <c r="AJ11" s="101"/>
      <c r="AK11" s="101"/>
      <c r="AL11" s="101"/>
      <c r="AM11" s="97"/>
      <c r="AW11" s="97"/>
      <c r="AX11" s="46" t="n">
        <f aca="false">IF(AG11&lt;100,0,0)</f>
        <v>0</v>
      </c>
      <c r="AY11" s="46" t="n">
        <f aca="false">IF(AG11&lt;100,0,IF(AG11&lt;=300,AG11*0.2-20,))</f>
        <v>0</v>
      </c>
      <c r="AZ11" s="46" t="n">
        <f aca="false">IF(AG11&lt;300.01,0,IF(AG11&lt;=1000,AG11*0.25-35,))</f>
        <v>0</v>
      </c>
      <c r="BA11" s="46" t="n">
        <f aca="false">IF(AG11&lt;1000.01,0,IF(AG11&lt;=2000,AG11*0.3-85,))</f>
        <v>0</v>
      </c>
      <c r="BB11" s="46" t="str">
        <f aca="false">IF(AG11&lt;2000.01,"",IF(AG11&lt;=3000,AG11*0.35-185,))</f>
        <v/>
      </c>
      <c r="BC11" s="2"/>
      <c r="BD11" s="84" t="n">
        <f aca="false">SUM(AX11:BC11)</f>
        <v>0</v>
      </c>
      <c r="BE11" s="102"/>
    </row>
    <row r="12" customFormat="false" ht="15.75" hidden="false" customHeight="true" outlineLevel="0" collapsed="false">
      <c r="B12" s="91"/>
      <c r="C12" s="92"/>
      <c r="D12" s="93"/>
      <c r="E12" s="93"/>
      <c r="F12" s="88"/>
      <c r="G12" s="88"/>
      <c r="H12" s="88"/>
      <c r="I12" s="94"/>
      <c r="J12" s="89"/>
      <c r="K12" s="95"/>
      <c r="L12" s="96"/>
      <c r="M12" s="89"/>
      <c r="N12" s="89"/>
      <c r="O12" s="89"/>
      <c r="Q12" s="97"/>
      <c r="U12" s="90"/>
      <c r="X12" s="97"/>
      <c r="Y12" s="98"/>
      <c r="Z12" s="98"/>
      <c r="AA12" s="98"/>
      <c r="AB12" s="99"/>
      <c r="AC12" s="99"/>
      <c r="AD12" s="99"/>
      <c r="AG12" s="100"/>
      <c r="AH12" s="101"/>
      <c r="AJ12" s="101"/>
      <c r="AK12" s="101"/>
      <c r="AL12" s="101"/>
      <c r="AM12" s="97"/>
      <c r="AW12" s="97"/>
      <c r="AX12" s="46" t="n">
        <f aca="false">IF(AG12&lt;100,0,0)</f>
        <v>0</v>
      </c>
      <c r="AY12" s="46" t="n">
        <f aca="false">IF(AG12&lt;100,0,IF(AG12&lt;=300,AG12*0.2-20,))</f>
        <v>0</v>
      </c>
      <c r="AZ12" s="46" t="n">
        <f aca="false">IF(AG12&lt;300.01,0,IF(AG12&lt;=1000,AG12*0.25-35,))</f>
        <v>0</v>
      </c>
      <c r="BA12" s="46" t="n">
        <f aca="false">IF(AG12&lt;1000.01,0,IF(AG12&lt;=2000,AG12*0.3-85,))</f>
        <v>0</v>
      </c>
      <c r="BB12" s="46" t="str">
        <f aca="false">IF(AG12&lt;2000.01,"",IF(AG12&lt;=3000,AG12*0.35-185,))</f>
        <v/>
      </c>
      <c r="BC12" s="2"/>
      <c r="BD12" s="103" t="n">
        <f aca="false">SUM(BD4:BD11)</f>
        <v>1140.63118187682</v>
      </c>
      <c r="BE12" s="102"/>
    </row>
    <row r="13" customFormat="false" ht="16.5" hidden="false" customHeight="true" outlineLevel="0" collapsed="false">
      <c r="C13" s="104" t="s">
        <v>121</v>
      </c>
      <c r="D13" s="105"/>
      <c r="E13" s="105"/>
      <c r="F13" s="105"/>
      <c r="G13" s="105"/>
      <c r="H13" s="105"/>
      <c r="I13" s="105"/>
      <c r="J13" s="21"/>
      <c r="K13" s="21"/>
      <c r="L13" s="21"/>
      <c r="M13" s="21"/>
      <c r="N13" s="21"/>
      <c r="O13" s="21"/>
      <c r="P13" s="106" t="n">
        <f aca="false">SUM(P4:P8)</f>
        <v>1803.84</v>
      </c>
      <c r="Q13" s="106" t="n">
        <f aca="false">SUM(Q4:Q8)</f>
        <v>48153.689184</v>
      </c>
      <c r="R13" s="106" t="n">
        <f aca="false">SUM(R4:R9)</f>
        <v>0</v>
      </c>
      <c r="S13" s="106" t="n">
        <f aca="false">SUM(S4:S8)</f>
        <v>0</v>
      </c>
      <c r="T13" s="106" t="n">
        <f aca="false">SUM(T4:T8)</f>
        <v>0</v>
      </c>
      <c r="U13" s="106" t="n">
        <f aca="false">SUM(U4:U8)</f>
        <v>0</v>
      </c>
      <c r="V13" s="106" t="n">
        <f aca="false">SUM(V4:V9)</f>
        <v>1972.32</v>
      </c>
      <c r="W13" s="106" t="n">
        <f aca="false">SUM(W4:W9)</f>
        <v>1972.32</v>
      </c>
      <c r="X13" s="106" t="n">
        <f aca="false">SUM(X4:X9)</f>
        <v>52651.279632</v>
      </c>
      <c r="Y13" s="106" t="n">
        <f aca="false">SUM(Y4:Y9)</f>
        <v>4218.76354032</v>
      </c>
      <c r="Z13" s="106" t="n">
        <f aca="false">SUM(Z4:Z9)</f>
        <v>79.0175639034879</v>
      </c>
      <c r="AA13" s="106" t="n">
        <f aca="false">SUM(AA4:AA9)</f>
        <v>2109.38177016</v>
      </c>
      <c r="AB13" s="106" t="n">
        <f aca="false">SUM(AB4:AB9)</f>
        <v>0</v>
      </c>
      <c r="AC13" s="106" t="n">
        <f aca="false">SUM(AC4:AC9)</f>
        <v>0</v>
      </c>
      <c r="AD13" s="106" t="n">
        <f aca="false">SUM(AD4:AD9)</f>
        <v>0</v>
      </c>
      <c r="AE13" s="106" t="n">
        <f aca="false">SUM(AE4:AE9)</f>
        <v>1893.30243609651</v>
      </c>
      <c r="AF13" s="106" t="n">
        <f aca="false">SUM(AF4:AF9)</f>
        <v>50541.89786184</v>
      </c>
      <c r="AG13" s="106" t="n">
        <f aca="false">SUM(AG4:AG9)</f>
        <v>3786.60487219302</v>
      </c>
      <c r="AH13" s="106" t="n">
        <f aca="false">SUM(AH4:AH9)</f>
        <v>736.651218048256</v>
      </c>
      <c r="AI13" s="106" t="n">
        <f aca="false">SUM(AI4:AI9)</f>
        <v>0</v>
      </c>
      <c r="AJ13" s="106" t="n">
        <f aca="false">SUM(AJ4:AJ9)</f>
        <v>736.651218048256</v>
      </c>
      <c r="AK13" s="106" t="n">
        <f aca="false">SUM(AK4:AK9)</f>
        <v>368.325609024128</v>
      </c>
      <c r="AL13" s="106" t="n">
        <f aca="false">SUM(AL4:AL9)</f>
        <v>11.0497682707238</v>
      </c>
      <c r="AM13" s="106" t="n">
        <f aca="false">SUM(AM4:AM9)</f>
        <v>9832.48896546</v>
      </c>
      <c r="AN13" s="106" t="n">
        <f aca="false">SUM(AN4:AN9)</f>
        <v>294.9746689638</v>
      </c>
      <c r="AO13" s="106" t="n">
        <f aca="false">SUM(AO4:AO9)</f>
        <v>1513.92705880166</v>
      </c>
      <c r="AP13" s="106" t="n">
        <f aca="false">SUM(AP4:AP9)</f>
        <v>40414.4342274162</v>
      </c>
      <c r="AQ13" s="106" t="n">
        <f aca="false">SUM(AQ4:AQ9)</f>
        <v>0</v>
      </c>
      <c r="AR13" s="106" t="n">
        <f aca="false">SUM(AR4:AR9)</f>
        <v>75</v>
      </c>
      <c r="AS13" s="106" t="n">
        <f aca="false">SUM(AS4:AS9)</f>
        <v>0</v>
      </c>
      <c r="AT13" s="106" t="n">
        <f aca="false">SUM(AT4:AT9)</f>
        <v>0</v>
      </c>
      <c r="AU13" s="106" t="n">
        <f aca="false">SUM(AU4:AU9)</f>
        <v>0</v>
      </c>
      <c r="AV13" s="106" t="n">
        <f aca="false">SUM(AV4:AV12)</f>
        <v>2389.16035073591</v>
      </c>
      <c r="AW13" s="106" t="n">
        <f aca="false">SUM(AW4:AW12)</f>
        <v>47451.2774855301</v>
      </c>
    </row>
    <row r="14" customFormat="false" ht="15.75" hidden="false" customHeight="true" outlineLevel="0" collapsed="false">
      <c r="AW14" s="2" t="s">
        <v>122</v>
      </c>
      <c r="BD14" s="102"/>
      <c r="BE14" s="102"/>
    </row>
    <row r="15" customFormat="false" ht="15" hidden="false" customHeight="false" outlineLevel="0" collapsed="false">
      <c r="O15" s="102"/>
      <c r="AM15" s="107"/>
    </row>
    <row r="17" customFormat="false" ht="15" hidden="false" customHeight="false" outlineLevel="0" collapsed="false">
      <c r="A17" s="4" t="s">
        <v>0</v>
      </c>
      <c r="B17" s="4"/>
      <c r="C17" s="108" t="n">
        <f aca="false">C2</f>
        <v>26.6951</v>
      </c>
      <c r="J17" s="5" t="s">
        <v>1</v>
      </c>
      <c r="K17" s="5"/>
      <c r="L17" s="5"/>
      <c r="M17" s="5"/>
      <c r="N17" s="5"/>
      <c r="O17" s="5"/>
      <c r="P17" s="109" t="s">
        <v>2</v>
      </c>
      <c r="Q17" s="109"/>
      <c r="R17" s="109" t="s">
        <v>123</v>
      </c>
      <c r="S17" s="109"/>
      <c r="T17" s="109" t="s">
        <v>124</v>
      </c>
      <c r="U17" s="109"/>
      <c r="V17" s="110"/>
      <c r="W17" s="110"/>
      <c r="X17" s="110"/>
      <c r="Y17" s="110"/>
      <c r="Z17" s="110"/>
      <c r="AA17" s="110"/>
      <c r="AB17" s="110"/>
      <c r="AC17" s="110"/>
      <c r="AD17" s="111"/>
      <c r="AE17" s="110"/>
      <c r="AF17" s="110"/>
      <c r="AG17" s="112"/>
      <c r="AH17" s="112"/>
      <c r="AI17" s="112"/>
      <c r="AJ17" s="112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BE17" s="110"/>
      <c r="BF17" s="110"/>
      <c r="BG17" s="4"/>
      <c r="BH17" s="4"/>
      <c r="BI17" s="21"/>
    </row>
    <row r="18" customFormat="false" ht="15" hidden="false" customHeight="false" outlineLevel="0" collapsed="false">
      <c r="A18" s="23"/>
      <c r="B18" s="24" t="s">
        <v>23</v>
      </c>
      <c r="C18" s="113" t="s">
        <v>24</v>
      </c>
      <c r="D18" s="114" t="s">
        <v>25</v>
      </c>
      <c r="E18" s="114" t="s">
        <v>26</v>
      </c>
      <c r="F18" s="114" t="s">
        <v>22</v>
      </c>
      <c r="G18" s="114" t="s">
        <v>27</v>
      </c>
      <c r="H18" s="114" t="s">
        <v>28</v>
      </c>
      <c r="I18" s="114" t="s">
        <v>29</v>
      </c>
      <c r="J18" s="114" t="s">
        <v>30</v>
      </c>
      <c r="K18" s="114" t="s">
        <v>31</v>
      </c>
      <c r="L18" s="114" t="s">
        <v>32</v>
      </c>
      <c r="M18" s="114" t="s">
        <v>33</v>
      </c>
      <c r="N18" s="114"/>
      <c r="O18" s="115" t="s">
        <v>34</v>
      </c>
      <c r="P18" s="116" t="s">
        <v>35</v>
      </c>
      <c r="Q18" s="116" t="s">
        <v>36</v>
      </c>
      <c r="R18" s="116" t="s">
        <v>35</v>
      </c>
      <c r="S18" s="116" t="s">
        <v>36</v>
      </c>
      <c r="T18" s="116" t="s">
        <v>35</v>
      </c>
      <c r="U18" s="116" t="s">
        <v>36</v>
      </c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2"/>
      <c r="AH18" s="112"/>
      <c r="AI18" s="112"/>
      <c r="AJ18" s="112"/>
      <c r="AK18" s="117"/>
      <c r="AL18" s="117"/>
      <c r="AM18" s="117"/>
      <c r="AN18" s="117"/>
      <c r="AO18" s="112"/>
      <c r="AP18" s="112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7"/>
      <c r="BF18" s="117"/>
      <c r="BG18" s="117"/>
      <c r="BH18" s="117"/>
      <c r="BI18" s="117"/>
      <c r="BJ18" s="117"/>
    </row>
    <row r="19" customFormat="false" ht="15.75" hidden="false" customHeight="true" outlineLevel="0" collapsed="false">
      <c r="A19" s="23" t="s">
        <v>125</v>
      </c>
      <c r="B19" s="36" t="s">
        <v>126</v>
      </c>
      <c r="C19" s="37" t="s">
        <v>116</v>
      </c>
      <c r="D19" s="39"/>
      <c r="E19" s="38" t="s">
        <v>127</v>
      </c>
      <c r="F19" s="39"/>
      <c r="G19" s="39"/>
      <c r="H19" s="39" t="s">
        <v>68</v>
      </c>
      <c r="I19" s="41" t="n">
        <f aca="false">I9</f>
        <v>45747</v>
      </c>
      <c r="J19" s="42" t="n">
        <v>0.57</v>
      </c>
      <c r="K19" s="43" t="str">
        <f aca="false">K4</f>
        <v>3/25</v>
      </c>
      <c r="L19" s="44" t="n">
        <v>208</v>
      </c>
      <c r="M19" s="42" t="n">
        <v>1000</v>
      </c>
      <c r="N19" s="42" t="n">
        <v>745.81</v>
      </c>
      <c r="O19" s="42" t="n">
        <f aca="false">(P19*$C$2)+Q19</f>
        <v>49570.665092</v>
      </c>
      <c r="P19" s="118" t="n">
        <v>1111.11</v>
      </c>
      <c r="Q19" s="46" t="n">
        <f aca="false">N19*$C$17</f>
        <v>19909.472531</v>
      </c>
      <c r="R19" s="46" t="n">
        <f aca="false">P19*0.1</f>
        <v>111.111</v>
      </c>
      <c r="S19" s="46" t="n">
        <f aca="false">Q19*0.1</f>
        <v>1990.9472531</v>
      </c>
      <c r="T19" s="46" t="n">
        <f aca="false">P19-R19</f>
        <v>999.999</v>
      </c>
      <c r="U19" s="46" t="n">
        <f aca="false">Q19-S19</f>
        <v>17918.5252779</v>
      </c>
      <c r="Y19" s="119"/>
      <c r="Z19" s="119"/>
      <c r="AA19" s="119"/>
      <c r="BB19" s="2"/>
      <c r="BC19" s="2"/>
      <c r="BD19" s="102"/>
      <c r="BE19" s="102"/>
    </row>
    <row r="20" customFormat="false" ht="15.75" hidden="false" customHeight="true" outlineLevel="0" collapsed="false">
      <c r="A20" s="23" t="s">
        <v>128</v>
      </c>
      <c r="B20" s="36" t="s">
        <v>129</v>
      </c>
      <c r="C20" s="37" t="s">
        <v>116</v>
      </c>
      <c r="D20" s="39"/>
      <c r="E20" s="38" t="s">
        <v>127</v>
      </c>
      <c r="F20" s="39"/>
      <c r="G20" s="39"/>
      <c r="H20" s="39" t="s">
        <v>68</v>
      </c>
      <c r="I20" s="41" t="n">
        <f aca="false">I19</f>
        <v>45747</v>
      </c>
      <c r="J20" s="42" t="n">
        <v>0.69</v>
      </c>
      <c r="K20" s="43" t="str">
        <f aca="false">K19</f>
        <v>3/25</v>
      </c>
      <c r="L20" s="44" t="n">
        <v>208</v>
      </c>
      <c r="M20" s="42" t="n">
        <f aca="false">1000+447.49</f>
        <v>1447.49</v>
      </c>
      <c r="N20" s="42" t="n">
        <v>447.49</v>
      </c>
      <c r="O20" s="42" t="n">
        <f aca="false">(P20*$C$2)+Q20</f>
        <v>41606.98286</v>
      </c>
      <c r="P20" s="46" t="n">
        <v>1111.11</v>
      </c>
      <c r="Q20" s="46" t="n">
        <f aca="false">N20*$C$17</f>
        <v>11945.790299</v>
      </c>
      <c r="R20" s="46" t="n">
        <f aca="false">P20*0.1</f>
        <v>111.111</v>
      </c>
      <c r="S20" s="46" t="n">
        <f aca="false">Q20*0.1</f>
        <v>1194.5790299</v>
      </c>
      <c r="T20" s="46" t="n">
        <f aca="false">P20-R20</f>
        <v>999.999</v>
      </c>
      <c r="U20" s="46" t="n">
        <f aca="false">Q20-S20</f>
        <v>10751.2112691</v>
      </c>
      <c r="Y20" s="119"/>
      <c r="Z20" s="119"/>
      <c r="AA20" s="119"/>
      <c r="BB20" s="2"/>
      <c r="BC20" s="2"/>
      <c r="BD20" s="102"/>
      <c r="BE20" s="102"/>
    </row>
    <row r="21" customFormat="false" ht="16.5" hidden="false" customHeight="true" outlineLevel="0" collapsed="false">
      <c r="C21" s="104" t="s">
        <v>121</v>
      </c>
      <c r="D21" s="105"/>
      <c r="E21" s="105"/>
      <c r="F21" s="105"/>
      <c r="G21" s="105"/>
      <c r="H21" s="105"/>
      <c r="I21" s="105"/>
      <c r="J21" s="21"/>
      <c r="K21" s="21"/>
      <c r="L21" s="21"/>
      <c r="M21" s="21"/>
      <c r="N21" s="21"/>
      <c r="O21" s="21"/>
      <c r="P21" s="106" t="n">
        <f aca="false">SUM(P19:P20)</f>
        <v>2222.22</v>
      </c>
      <c r="Q21" s="106" t="n">
        <f aca="false">SUM(Q19:Q20)</f>
        <v>31855.26283</v>
      </c>
      <c r="R21" s="106" t="n">
        <f aca="false">SUM(R19:R20)</f>
        <v>222.222</v>
      </c>
      <c r="S21" s="106" t="n">
        <f aca="false">SUM(S19:S20)</f>
        <v>3185.526283</v>
      </c>
      <c r="T21" s="106" t="n">
        <f aca="false">SUM(T19:T20)</f>
        <v>1999.998</v>
      </c>
      <c r="U21" s="106" t="n">
        <f aca="false">SUM(U19:U20)</f>
        <v>28669.736547</v>
      </c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</row>
    <row r="22" customFormat="false" ht="15.75" hidden="false" customHeight="true" outlineLevel="0" collapsed="false"/>
    <row r="23" customFormat="false" ht="15" hidden="false" customHeight="false" outlineLevel="0" collapsed="false">
      <c r="M23" s="1" t="s">
        <v>130</v>
      </c>
      <c r="N23" s="49" t="e">
        <f aca="false">IF(#REF!&gt;18382.98,0.045*18382.98,#REF!*0.045)</f>
        <v>#REF!</v>
      </c>
    </row>
  </sheetData>
  <mergeCells count="27">
    <mergeCell ref="A2:B2"/>
    <mergeCell ref="P2:Q2"/>
    <mergeCell ref="V2:X2"/>
    <mergeCell ref="Y2:AC2"/>
    <mergeCell ref="AE2:AF2"/>
    <mergeCell ref="AK2:AL2"/>
    <mergeCell ref="AM2:AN2"/>
    <mergeCell ref="AO2:AP2"/>
    <mergeCell ref="AQ2:AU2"/>
    <mergeCell ref="AV2:AW2"/>
    <mergeCell ref="BE2:BF2"/>
    <mergeCell ref="BG2:BH2"/>
    <mergeCell ref="BK2:BN2"/>
    <mergeCell ref="A17:B17"/>
    <mergeCell ref="P17:Q17"/>
    <mergeCell ref="R17:S17"/>
    <mergeCell ref="T17:U17"/>
    <mergeCell ref="V17:X17"/>
    <mergeCell ref="Y17:AC17"/>
    <mergeCell ref="AE17:AF17"/>
    <mergeCell ref="AK17:AL17"/>
    <mergeCell ref="AM17:AN17"/>
    <mergeCell ref="AO17:AP17"/>
    <mergeCell ref="AQ17:AU17"/>
    <mergeCell ref="AV17:AW17"/>
    <mergeCell ref="BE17:BF17"/>
    <mergeCell ref="BG17:BH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0" activeCellId="0" sqref="N2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.14"/>
    <col collapsed="false" customWidth="true" hidden="false" outlineLevel="0" max="2" min="2" style="1" width="18.71"/>
    <col collapsed="false" customWidth="true" hidden="false" outlineLevel="0" max="3" min="3" style="1" width="1.14"/>
    <col collapsed="false" customWidth="true" hidden="false" outlineLevel="0" max="4" min="4" style="1" width="23.29"/>
    <col collapsed="false" customWidth="true" hidden="false" outlineLevel="0" max="5" min="5" style="1" width="6.29"/>
    <col collapsed="false" customWidth="true" hidden="false" outlineLevel="0" max="6" min="6" style="1" width="10.29"/>
    <col collapsed="false" customWidth="true" hidden="false" outlineLevel="0" max="7" min="7" style="2" width="11.43"/>
    <col collapsed="false" customWidth="true" hidden="false" outlineLevel="0" max="8" min="8" style="2" width="1.14"/>
    <col collapsed="false" customWidth="true" hidden="false" outlineLevel="0" max="9" min="9" style="2" width="17.71"/>
    <col collapsed="false" customWidth="true" hidden="false" outlineLevel="0" max="10" min="10" style="2" width="8.86"/>
    <col collapsed="false" customWidth="true" hidden="false" outlineLevel="0" max="11" min="11" style="1" width="10.57"/>
    <col collapsed="false" customWidth="true" hidden="false" outlineLevel="0" max="13" min="12" style="1" width="12.29"/>
    <col collapsed="false" customWidth="true" hidden="false" outlineLevel="0" max="14" min="14" style="1" width="13.29"/>
    <col collapsed="false" customWidth="true" hidden="false" outlineLevel="0" max="15" min="15" style="1" width="9.14"/>
  </cols>
  <sheetData>
    <row r="1" customFormat="false" ht="21" hidden="false" customHeight="true" outlineLevel="0" collapsed="false">
      <c r="A1" s="120" t="s">
        <v>131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M1" s="121" t="s">
        <v>132</v>
      </c>
      <c r="N1" s="122" t="n">
        <f aca="false">'Pay Sheet'!C2</f>
        <v>26.6951</v>
      </c>
    </row>
    <row r="2" customFormat="false" ht="15.75" hidden="false" customHeight="true" outlineLevel="0" collapsed="false">
      <c r="A2" s="123" t="s">
        <v>133</v>
      </c>
      <c r="B2" s="123"/>
      <c r="C2" s="124"/>
      <c r="D2" s="125" t="s">
        <v>134</v>
      </c>
      <c r="E2" s="126" t="s">
        <v>135</v>
      </c>
      <c r="F2" s="127" t="s">
        <v>136</v>
      </c>
      <c r="G2" s="127"/>
      <c r="H2" s="128"/>
      <c r="I2" s="129" t="s">
        <v>137</v>
      </c>
      <c r="J2" s="127" t="s">
        <v>138</v>
      </c>
      <c r="K2" s="127"/>
      <c r="M2" s="130" t="s">
        <v>139</v>
      </c>
      <c r="N2" s="1" t="n">
        <v>12</v>
      </c>
      <c r="O2" s="1" t="str">
        <f aca="false">CONCATENATE(M2,N2)</f>
        <v>AES12</v>
      </c>
    </row>
    <row r="3" customFormat="false" ht="15.75" hidden="false" customHeight="true" outlineLevel="0" collapsed="false">
      <c r="A3" s="131" t="e">
        <f aca="false">VLOOKUP(B4,'Pay Sheet'!$A$2:$BJ$9, COLUMN('Pay Sheet'!B4), FALSE())</f>
        <v>#N/A</v>
      </c>
      <c r="B3" s="131" t="e">
        <f aca="false">VLOOKUP($B$4,'Pay Sheet'!$A$2:$BJ$9, COLUMN('Pay Sheet'!C4), FALSE())</f>
        <v>#N/A</v>
      </c>
      <c r="C3" s="132"/>
      <c r="D3" s="125"/>
      <c r="E3" s="133"/>
      <c r="F3" s="134" t="s">
        <v>140</v>
      </c>
      <c r="G3" s="135" t="s">
        <v>141</v>
      </c>
      <c r="H3" s="136"/>
      <c r="I3" s="129"/>
      <c r="J3" s="137" t="s">
        <v>35</v>
      </c>
      <c r="K3" s="138" t="s">
        <v>141</v>
      </c>
      <c r="M3" s="139" t="s">
        <v>139</v>
      </c>
      <c r="N3" s="1" t="n">
        <v>10</v>
      </c>
      <c r="O3" s="1" t="str">
        <f aca="false">CONCATENATE(M3,N3)</f>
        <v>AES10</v>
      </c>
    </row>
    <row r="4" customFormat="false" ht="15.75" hidden="false" customHeight="true" outlineLevel="0" collapsed="false">
      <c r="A4" s="140" t="s">
        <v>142</v>
      </c>
      <c r="B4" s="141" t="str">
        <f aca="false">O2</f>
        <v>AES12</v>
      </c>
      <c r="C4" s="142"/>
      <c r="D4" s="143" t="s">
        <v>143</v>
      </c>
      <c r="E4" s="144" t="e">
        <f aca="false">VLOOKUP($B$4,'Pay Sheet'!$A$2:$BJ$9, COLUMN('pay sheet'!#ref!), FALSE())</f>
        <v>#VALUE!</v>
      </c>
      <c r="F4" s="145" t="e">
        <f aca="false">VLOOKUP($B$4,'Pay Sheet'!$A$2:$BJ$9, COLUMN('pay sheet'!#ref!), FALSE())</f>
        <v>#VALUE!</v>
      </c>
      <c r="G4" s="146" t="e">
        <f aca="false">VLOOKUP($B$4,'Pay Sheet'!$A$2:$BJ$9, COLUMN('pay sheet'!#ref!), FALSE())</f>
        <v>#VALUE!</v>
      </c>
      <c r="H4" s="147"/>
      <c r="I4" s="145" t="s">
        <v>144</v>
      </c>
      <c r="J4" s="146" t="e">
        <f aca="false">VLOOKUP($B$4,'Pay Sheet'!$A$2:$BJ$9, COLUMN('pay sheet'!#ref!), FALSE())</f>
        <v>#VALUE!</v>
      </c>
      <c r="K4" s="148" t="e">
        <f aca="false">VLOOKUP($B$4,'Pay Sheet'!$A$2:$BJ$9, COLUMN('pay sheet'!#ref!), FALSE())</f>
        <v>#VALUE!</v>
      </c>
      <c r="M4" s="139" t="s">
        <v>139</v>
      </c>
      <c r="N4" s="1" t="n">
        <v>11</v>
      </c>
      <c r="O4" s="1" t="str">
        <f aca="false">CONCATENATE(M4,N4)</f>
        <v>AES11</v>
      </c>
    </row>
    <row r="5" customFormat="false" ht="15.75" hidden="false" customHeight="true" outlineLevel="0" collapsed="false">
      <c r="A5" s="149" t="s">
        <v>31</v>
      </c>
      <c r="B5" s="150" t="e">
        <f aca="false">VLOOKUP($B$4,'Pay Sheet'!$A$2:$BJ$9, COLUMN('Pay Sheet'!K4), FALSE())</f>
        <v>#N/A</v>
      </c>
      <c r="C5" s="142"/>
      <c r="D5" s="151" t="s">
        <v>145</v>
      </c>
      <c r="E5" s="152"/>
      <c r="F5" s="153" t="n">
        <v>0</v>
      </c>
      <c r="G5" s="154" t="n">
        <v>0</v>
      </c>
      <c r="H5" s="155"/>
      <c r="I5" s="153" t="s">
        <v>46</v>
      </c>
      <c r="J5" s="154" t="e">
        <f aca="false">VLOOKUP($B$4,'Pay Sheet'!$A$2:$BJ$9, COLUMN('Pay Sheet'!AL5), FALSE())</f>
        <v>#N/A</v>
      </c>
      <c r="K5" s="148" t="e">
        <f aca="false">VLOOKUP($B$4,'Pay Sheet'!$A$2:$BJ$9, COLUMN('Pay Sheet'!AN5), FALSE())</f>
        <v>#N/A</v>
      </c>
    </row>
    <row r="6" customFormat="false" ht="15.75" hidden="false" customHeight="true" outlineLevel="0" collapsed="false">
      <c r="A6" s="149" t="s">
        <v>146</v>
      </c>
      <c r="B6" s="150" t="e">
        <f aca="false">VLOOKUP($B$4,'Pay Sheet'!$A$2:$BJ$9, COLUMN('Pay Sheet'!D6), FALSE())</f>
        <v>#N/A</v>
      </c>
      <c r="C6" s="142"/>
      <c r="D6" s="151" t="s">
        <v>147</v>
      </c>
      <c r="E6" s="156"/>
      <c r="F6" s="153" t="n">
        <v>0</v>
      </c>
      <c r="G6" s="154"/>
      <c r="H6" s="155"/>
      <c r="I6" s="153" t="s">
        <v>39</v>
      </c>
      <c r="J6" s="154" t="n">
        <v>0</v>
      </c>
      <c r="K6" s="148" t="e">
        <f aca="false">VLOOKUP($B$4,'Pay Sheet'!$A$2:$BJ$9, COLUMN('Pay Sheet'!Y6), FALSE())</f>
        <v>#N/A</v>
      </c>
      <c r="N6" s="102"/>
    </row>
    <row r="7" customFormat="false" ht="15.75" hidden="false" customHeight="true" outlineLevel="0" collapsed="false">
      <c r="A7" s="149" t="s">
        <v>148</v>
      </c>
      <c r="B7" s="150" t="s">
        <v>149</v>
      </c>
      <c r="C7" s="142"/>
      <c r="D7" s="151" t="s">
        <v>150</v>
      </c>
      <c r="E7" s="156"/>
      <c r="F7" s="153" t="n">
        <v>0</v>
      </c>
      <c r="G7" s="154"/>
      <c r="H7" s="155"/>
      <c r="I7" s="153" t="s">
        <v>43</v>
      </c>
      <c r="J7" s="154"/>
      <c r="K7" s="148" t="n">
        <v>0</v>
      </c>
      <c r="N7" s="102"/>
    </row>
    <row r="8" customFormat="false" ht="15.75" hidden="false" customHeight="true" outlineLevel="0" collapsed="false">
      <c r="A8" s="149" t="s">
        <v>151</v>
      </c>
      <c r="B8" s="150" t="s">
        <v>152</v>
      </c>
      <c r="C8" s="142"/>
      <c r="D8" s="151" t="s">
        <v>153</v>
      </c>
      <c r="E8" s="152"/>
      <c r="F8" s="153"/>
      <c r="G8" s="154"/>
      <c r="H8" s="155"/>
      <c r="I8" s="153" t="s">
        <v>154</v>
      </c>
      <c r="J8" s="154" t="e">
        <f aca="false">VLOOKUP($B$4,'Pay Sheet'!$A$2:$BJ$9, COLUMN('Pay Sheet'!AU7), FALSE())</f>
        <v>#N/A</v>
      </c>
      <c r="K8" s="148"/>
      <c r="N8" s="102"/>
    </row>
    <row r="9" customFormat="false" ht="15.75" hidden="false" customHeight="true" outlineLevel="0" collapsed="false">
      <c r="A9" s="149" t="s">
        <v>26</v>
      </c>
      <c r="B9" s="150" t="e">
        <f aca="false">VLOOKUP($B$4,'Pay Sheet'!$A$2:$BJ$9, COLUMN('Pay Sheet'!E8), FALSE())</f>
        <v>#N/A</v>
      </c>
      <c r="C9" s="142"/>
      <c r="D9" s="151" t="s">
        <v>155</v>
      </c>
      <c r="E9" s="152"/>
      <c r="F9" s="153" t="e">
        <f aca="false">VLOOKUP($B$4,'Pay Sheet'!$A$2:$BJ$9, COLUMN('Pay Sheet'!S8), FALSE())</f>
        <v>#N/A</v>
      </c>
      <c r="G9" s="154" t="e">
        <f aca="false">VLOOKUP($B$4,'Pay Sheet'!$A$2:$BJ$9, COLUMN('Pay Sheet'!T8), FALSE())</f>
        <v>#N/A</v>
      </c>
      <c r="H9" s="155"/>
      <c r="I9" s="157" t="s">
        <v>49</v>
      </c>
      <c r="J9" s="154" t="n">
        <v>0</v>
      </c>
      <c r="K9" s="148" t="n">
        <v>0</v>
      </c>
      <c r="M9" s="102"/>
      <c r="N9" s="102"/>
    </row>
    <row r="10" customFormat="false" ht="15.75" hidden="false" customHeight="true" outlineLevel="0" collapsed="false">
      <c r="A10" s="149" t="s">
        <v>22</v>
      </c>
      <c r="B10" s="150" t="s">
        <v>152</v>
      </c>
      <c r="C10" s="142"/>
      <c r="D10" s="151" t="s">
        <v>156</v>
      </c>
      <c r="E10" s="152"/>
      <c r="F10" s="153"/>
      <c r="G10" s="154" t="n">
        <v>0</v>
      </c>
      <c r="H10" s="158"/>
      <c r="I10" s="157" t="s">
        <v>47</v>
      </c>
      <c r="J10" s="154"/>
      <c r="K10" s="148" t="n">
        <v>0</v>
      </c>
      <c r="M10" s="102"/>
      <c r="N10" s="102"/>
    </row>
    <row r="11" customFormat="false" ht="15.75" hidden="false" customHeight="true" outlineLevel="0" collapsed="false">
      <c r="A11" s="149" t="s">
        <v>157</v>
      </c>
      <c r="B11" s="150" t="e">
        <f aca="false">VLOOKUP($B$4,'Pay Sheet'!$A$2:$BJ$9, COLUMN('Pay Sheet'!G13), FALSE())</f>
        <v>#N/A</v>
      </c>
      <c r="C11" s="142"/>
      <c r="D11" s="151" t="s">
        <v>158</v>
      </c>
      <c r="E11" s="152"/>
      <c r="F11" s="153"/>
      <c r="G11" s="154" t="n">
        <v>0</v>
      </c>
      <c r="H11" s="155"/>
      <c r="I11" s="157" t="s">
        <v>42</v>
      </c>
      <c r="J11" s="154"/>
      <c r="K11" s="148" t="n">
        <v>0</v>
      </c>
      <c r="M11" s="102" t="s">
        <v>159</v>
      </c>
      <c r="N11" s="102"/>
    </row>
    <row r="12" customFormat="false" ht="15.75" hidden="false" customHeight="true" outlineLevel="0" collapsed="false">
      <c r="A12" s="149" t="s">
        <v>28</v>
      </c>
      <c r="B12" s="150" t="e">
        <f aca="false">VLOOKUP($B$4,'Pay Sheet'!$A$2:$BJ$9, COLUMN('Pay Sheet'!H14), FALSE())</f>
        <v>#N/A</v>
      </c>
      <c r="C12" s="159"/>
      <c r="D12" s="151" t="s">
        <v>160</v>
      </c>
      <c r="E12" s="152"/>
      <c r="F12" s="153" t="n">
        <v>0</v>
      </c>
      <c r="G12" s="154" t="n">
        <v>0</v>
      </c>
      <c r="H12" s="155"/>
      <c r="I12" s="153" t="s">
        <v>161</v>
      </c>
      <c r="J12" s="154"/>
      <c r="K12" s="148" t="n">
        <v>0</v>
      </c>
      <c r="M12" s="102" t="s">
        <v>162</v>
      </c>
      <c r="N12" s="102" t="e">
        <f aca="false">F15-J15</f>
        <v>#N/A</v>
      </c>
    </row>
    <row r="13" customFormat="false" ht="15.75" hidden="false" customHeight="true" outlineLevel="0" collapsed="false">
      <c r="A13" s="160" t="s">
        <v>29</v>
      </c>
      <c r="B13" s="161" t="e">
        <f aca="false">VLOOKUP($B$4,'Pay Sheet'!$A$2:$BJ$9, COLUMN('Pay Sheet'!I15), FALSE())</f>
        <v>#N/A</v>
      </c>
      <c r="C13" s="162"/>
      <c r="D13" s="163" t="s">
        <v>163</v>
      </c>
      <c r="E13" s="164"/>
      <c r="F13" s="165" t="n">
        <v>0</v>
      </c>
      <c r="G13" s="166" t="n">
        <v>0</v>
      </c>
      <c r="H13" s="167"/>
      <c r="I13" s="165" t="s">
        <v>48</v>
      </c>
      <c r="J13" s="166" t="e">
        <f aca="false">VLOOKUP($B$4,'Pay Sheet'!$A$2:$BJ$9, COLUMN('Pay Sheet'!AR14), FALSE())</f>
        <v>#N/A</v>
      </c>
      <c r="K13" s="168"/>
      <c r="M13" s="102" t="s">
        <v>164</v>
      </c>
      <c r="N13" s="102" t="e">
        <f aca="false">G15-K15</f>
        <v>#VALUE!</v>
      </c>
    </row>
    <row r="14" customFormat="false" ht="15.75" hidden="true" customHeight="true" outlineLevel="0" collapsed="false">
      <c r="A14" s="169"/>
      <c r="B14" s="170"/>
      <c r="C14" s="171"/>
      <c r="D14" s="171"/>
      <c r="E14" s="170"/>
      <c r="F14" s="172"/>
      <c r="G14" s="172"/>
      <c r="H14" s="173"/>
      <c r="I14" s="172"/>
      <c r="J14" s="172"/>
      <c r="K14" s="174"/>
    </row>
    <row r="15" customFormat="false" ht="15.75" hidden="false" customHeight="true" outlineLevel="0" collapsed="false">
      <c r="A15" s="175"/>
      <c r="B15" s="176"/>
      <c r="C15" s="177"/>
      <c r="D15" s="178" t="s">
        <v>165</v>
      </c>
      <c r="E15" s="179"/>
      <c r="F15" s="180" t="e">
        <f aca="false">SUM(F4:F14)</f>
        <v>#N/A</v>
      </c>
      <c r="G15" s="181" t="e">
        <f aca="false">SUM(G4:G14)</f>
        <v>#N/A</v>
      </c>
      <c r="H15" s="182"/>
      <c r="I15" s="181" t="s">
        <v>166</v>
      </c>
      <c r="J15" s="181" t="e">
        <f aca="false">SUM(J4:J14)</f>
        <v>#N/A</v>
      </c>
      <c r="K15" s="181" t="e">
        <f aca="false">SUM(K4:K14)</f>
        <v>#VALUE!</v>
      </c>
      <c r="M15" s="102"/>
      <c r="N15" s="102"/>
    </row>
    <row r="16" customFormat="false" ht="15.75" hidden="true" customHeight="true" outlineLevel="0" collapsed="false">
      <c r="A16" s="132"/>
      <c r="B16" s="132"/>
      <c r="C16" s="132"/>
      <c r="D16" s="183"/>
      <c r="E16" s="184"/>
      <c r="F16" s="185"/>
      <c r="G16" s="186"/>
      <c r="H16" s="186"/>
      <c r="I16" s="185"/>
      <c r="J16" s="187"/>
      <c r="K16" s="185"/>
      <c r="M16" s="102"/>
    </row>
    <row r="17" customFormat="false" ht="15.75" hidden="false" customHeight="true" outlineLevel="0" collapsed="false">
      <c r="A17" s="188" t="s">
        <v>167</v>
      </c>
      <c r="B17" s="189" t="e">
        <f aca="false">VLOOKUP($B$4,'Pay Sheet'!$A$2:$BJ$9, COLUMN('Pay Sheet'!BF19), FALSE())</f>
        <v>#N/A</v>
      </c>
      <c r="C17" s="124"/>
      <c r="D17" s="189" t="e">
        <f aca="false">VLOOKUP($B$4,'Pay Sheet'!$A$2:$BJ$9, COLUMN('Pay Sheet'!BJ19), FALSE())</f>
        <v>#N/A</v>
      </c>
      <c r="E17" s="190"/>
      <c r="F17" s="191" t="s">
        <v>168</v>
      </c>
      <c r="G17" s="192"/>
      <c r="H17" s="193"/>
      <c r="I17" s="194" t="s">
        <v>169</v>
      </c>
      <c r="J17" s="195" t="s">
        <v>141</v>
      </c>
      <c r="K17" s="196" t="e">
        <f aca="false">VLOOKUP($B$4,'Pay Sheet'!$A$2:$BJ$9, COLUMN('Pay Sheet'!AW19), FALSE())</f>
        <v>#N/A</v>
      </c>
      <c r="N17" s="102" t="e">
        <f aca="false">K17-N13</f>
        <v>#VALUE!</v>
      </c>
    </row>
    <row r="18" customFormat="false" ht="15.75" hidden="false" customHeight="true" outlineLevel="0" collapsed="false">
      <c r="A18" s="197" t="s">
        <v>170</v>
      </c>
      <c r="B18" s="198" t="e">
        <f aca="false">VLOOKUP($B$4,'Pay Sheet'!$A$2:$BJ$9, COLUMN('Pay Sheet'!BE20), FALSE())</f>
        <v>#N/A</v>
      </c>
      <c r="C18" s="142"/>
      <c r="D18" s="198" t="e">
        <f aca="false">VLOOKUP($B$4,'Pay Sheet'!$A$2:$BJ$9, COLUMN('Pay Sheet'!BI20), FALSE())</f>
        <v>#N/A</v>
      </c>
      <c r="E18" s="199"/>
      <c r="F18" s="200" t="n">
        <v>0</v>
      </c>
      <c r="G18" s="201"/>
      <c r="H18" s="202"/>
      <c r="I18" s="194"/>
      <c r="J18" s="203" t="s">
        <v>35</v>
      </c>
      <c r="K18" s="196" t="e">
        <f aca="false">VLOOKUP($B$4,'Pay Sheet'!$A$2:$BJ$9, COLUMN('Pay Sheet'!AV20), FALSE())</f>
        <v>#N/A</v>
      </c>
    </row>
    <row r="19" customFormat="false" ht="15" hidden="false" customHeight="false" outlineLevel="0" collapsed="false">
      <c r="A19" s="204"/>
      <c r="B19" s="205"/>
      <c r="C19" s="205"/>
      <c r="D19" s="205"/>
      <c r="E19" s="205"/>
      <c r="F19" s="205"/>
      <c r="G19" s="205"/>
      <c r="H19" s="205"/>
      <c r="I19" s="205"/>
      <c r="J19" s="205"/>
      <c r="K19" s="206"/>
      <c r="M19" s="102"/>
    </row>
    <row r="21" customFormat="false" ht="21" hidden="false" customHeight="true" outlineLevel="0" collapsed="false">
      <c r="A21" s="120" t="s">
        <v>131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</row>
    <row r="22" customFormat="false" ht="15.75" hidden="false" customHeight="true" outlineLevel="0" collapsed="false">
      <c r="A22" s="123" t="s">
        <v>133</v>
      </c>
      <c r="B22" s="123"/>
      <c r="C22" s="124"/>
      <c r="D22" s="125" t="s">
        <v>134</v>
      </c>
      <c r="E22" s="126" t="s">
        <v>135</v>
      </c>
      <c r="F22" s="127" t="s">
        <v>136</v>
      </c>
      <c r="G22" s="127"/>
      <c r="H22" s="128"/>
      <c r="I22" s="129" t="s">
        <v>137</v>
      </c>
      <c r="J22" s="127" t="s">
        <v>138</v>
      </c>
      <c r="K22" s="127"/>
    </row>
    <row r="23" customFormat="false" ht="15.75" hidden="false" customHeight="true" outlineLevel="0" collapsed="false">
      <c r="A23" s="207" t="e">
        <f aca="false">VLOOKUP(B24,'Pay Sheet'!$A$2:$BJ$9, COLUMN('Pay Sheet'!B24), FALSE())</f>
        <v>#N/A</v>
      </c>
      <c r="B23" s="208" t="e">
        <f aca="false">VLOOKUP(B24,'Pay Sheet'!$A$2:$BJ$9, COLUMN('Pay Sheet'!C24), FALSE())</f>
        <v>#N/A</v>
      </c>
      <c r="C23" s="132"/>
      <c r="D23" s="125"/>
      <c r="E23" s="133"/>
      <c r="F23" s="134" t="s">
        <v>140</v>
      </c>
      <c r="G23" s="135" t="s">
        <v>141</v>
      </c>
      <c r="H23" s="136"/>
      <c r="I23" s="129"/>
      <c r="J23" s="137" t="s">
        <v>35</v>
      </c>
      <c r="K23" s="138" t="s">
        <v>141</v>
      </c>
    </row>
    <row r="24" customFormat="false" ht="15.75" hidden="false" customHeight="true" outlineLevel="0" collapsed="false">
      <c r="A24" s="140" t="s">
        <v>142</v>
      </c>
      <c r="B24" s="141" t="str">
        <f aca="false">O3</f>
        <v>AES10</v>
      </c>
      <c r="C24" s="142"/>
      <c r="D24" s="143" t="s">
        <v>143</v>
      </c>
      <c r="E24" s="144" t="e">
        <f aca="false">VLOOKUP($B$4,'Pay Sheet'!$A$2:$BJ$9, COLUMN('Pay Sheet'!L25), FALSE())</f>
        <v>#N/A</v>
      </c>
      <c r="F24" s="145" t="e">
        <f aca="false">VLOOKUP(B24,'Pay Sheet'!$A$2:$BJ$9, COLUMN('Pay Sheet'!P25), FALSE())</f>
        <v>#N/A</v>
      </c>
      <c r="G24" s="146" t="e">
        <f aca="false">VLOOKUP(B24,'Pay Sheet'!$A$2:$BJ$9, COLUMN('Pay Sheet'!Q25), FALSE())</f>
        <v>#N/A</v>
      </c>
      <c r="H24" s="147"/>
      <c r="I24" s="145" t="s">
        <v>144</v>
      </c>
      <c r="J24" s="146" t="e">
        <f aca="false">VLOOKUP(B24,'Pay Sheet'!$A$2:$BJ$9, COLUMN('Pay Sheet'!AK25), FALSE())</f>
        <v>#N/A</v>
      </c>
      <c r="K24" s="148" t="e">
        <f aca="false">VLOOKUP(B24,'Pay Sheet'!$A$2:$BJ$9, COLUMN('Pay Sheet'!AM25), FALSE())</f>
        <v>#N/A</v>
      </c>
    </row>
    <row r="25" customFormat="false" ht="15.75" hidden="false" customHeight="true" outlineLevel="0" collapsed="false">
      <c r="A25" s="149" t="s">
        <v>31</v>
      </c>
      <c r="B25" s="150" t="e">
        <f aca="false">VLOOKUP(B24,'Pay Sheet'!$A$2:$BJ$9, COLUMN('Pay Sheet'!K26), FALSE())</f>
        <v>#N/A</v>
      </c>
      <c r="C25" s="142"/>
      <c r="D25" s="151" t="s">
        <v>145</v>
      </c>
      <c r="E25" s="152"/>
      <c r="F25" s="153" t="n">
        <v>0</v>
      </c>
      <c r="G25" s="154" t="n">
        <v>0</v>
      </c>
      <c r="H25" s="155"/>
      <c r="I25" s="153" t="s">
        <v>46</v>
      </c>
      <c r="J25" s="154" t="e">
        <f aca="false">VLOOKUP(B24,'Pay Sheet'!$A$2:$BJ$9, COLUMN('Pay Sheet'!AL26), FALSE())</f>
        <v>#N/A</v>
      </c>
      <c r="K25" s="148" t="e">
        <f aca="false">VLOOKUP(B24,'Pay Sheet'!$A$2:$BJ$9, COLUMN('Pay Sheet'!AN26), FALSE())</f>
        <v>#N/A</v>
      </c>
    </row>
    <row r="26" customFormat="false" ht="15.75" hidden="false" customHeight="true" outlineLevel="0" collapsed="false">
      <c r="A26" s="149" t="s">
        <v>146</v>
      </c>
      <c r="B26" s="150" t="e">
        <f aca="false">VLOOKUP(B24,'Pay Sheet'!$A$2:$BJ$9, COLUMN('Pay Sheet'!D27), FALSE())</f>
        <v>#N/A</v>
      </c>
      <c r="C26" s="142"/>
      <c r="D26" s="151" t="s">
        <v>147</v>
      </c>
      <c r="E26" s="156"/>
      <c r="F26" s="153" t="n">
        <v>0</v>
      </c>
      <c r="G26" s="154"/>
      <c r="H26" s="155"/>
      <c r="I26" s="153" t="s">
        <v>39</v>
      </c>
      <c r="J26" s="154" t="n">
        <v>0</v>
      </c>
      <c r="K26" s="148" t="e">
        <f aca="false">VLOOKUP(B24,'Pay Sheet'!$A$2:$BJ$9, COLUMN('Pay Sheet'!Y27), FALSE())</f>
        <v>#N/A</v>
      </c>
    </row>
    <row r="27" customFormat="false" ht="15.75" hidden="false" customHeight="true" outlineLevel="0" collapsed="false">
      <c r="A27" s="149" t="s">
        <v>148</v>
      </c>
      <c r="B27" s="150" t="s">
        <v>149</v>
      </c>
      <c r="C27" s="142"/>
      <c r="D27" s="151" t="s">
        <v>150</v>
      </c>
      <c r="E27" s="156"/>
      <c r="F27" s="153" t="n">
        <v>0</v>
      </c>
      <c r="G27" s="154"/>
      <c r="H27" s="155"/>
      <c r="I27" s="153" t="s">
        <v>43</v>
      </c>
      <c r="J27" s="154"/>
      <c r="K27" s="148" t="n">
        <v>0</v>
      </c>
    </row>
    <row r="28" customFormat="false" ht="15.75" hidden="false" customHeight="true" outlineLevel="0" collapsed="false">
      <c r="A28" s="149" t="s">
        <v>151</v>
      </c>
      <c r="B28" s="150" t="s">
        <v>152</v>
      </c>
      <c r="C28" s="142"/>
      <c r="D28" s="151" t="s">
        <v>153</v>
      </c>
      <c r="E28" s="152"/>
      <c r="F28" s="153"/>
      <c r="G28" s="154"/>
      <c r="H28" s="155"/>
      <c r="I28" s="153" t="s">
        <v>154</v>
      </c>
      <c r="J28" s="154" t="n">
        <v>0</v>
      </c>
      <c r="K28" s="148"/>
    </row>
    <row r="29" customFormat="false" ht="15.75" hidden="false" customHeight="true" outlineLevel="0" collapsed="false">
      <c r="A29" s="149" t="s">
        <v>26</v>
      </c>
      <c r="B29" s="150" t="e">
        <f aca="false">VLOOKUP(B24,'Pay Sheet'!$A$2:$BJ$9, COLUMN('Pay Sheet'!E8), FALSE())</f>
        <v>#N/A</v>
      </c>
      <c r="C29" s="142"/>
      <c r="D29" s="151" t="s">
        <v>155</v>
      </c>
      <c r="E29" s="152"/>
      <c r="F29" s="153" t="e">
        <f aca="false">VLOOKUP($B$4,'Pay Sheet'!$A$2:$BJ$9, COLUMN('Pay Sheet'!S30), FALSE())</f>
        <v>#N/A</v>
      </c>
      <c r="G29" s="154" t="e">
        <f aca="false">VLOOKUP(B24,'Pay Sheet'!$A$2:$BJ$9, COLUMN('Pay Sheet'!T30), FALSE())</f>
        <v>#N/A</v>
      </c>
      <c r="H29" s="155"/>
      <c r="I29" s="157" t="s">
        <v>49</v>
      </c>
      <c r="J29" s="154" t="n">
        <v>0</v>
      </c>
      <c r="K29" s="148" t="n">
        <v>0</v>
      </c>
    </row>
    <row r="30" customFormat="false" ht="15.75" hidden="false" customHeight="true" outlineLevel="0" collapsed="false">
      <c r="A30" s="149" t="s">
        <v>22</v>
      </c>
      <c r="B30" s="150" t="s">
        <v>152</v>
      </c>
      <c r="C30" s="142"/>
      <c r="D30" s="151" t="s">
        <v>156</v>
      </c>
      <c r="E30" s="152"/>
      <c r="F30" s="153"/>
      <c r="G30" s="154" t="n">
        <v>0</v>
      </c>
      <c r="H30" s="158"/>
      <c r="I30" s="157" t="s">
        <v>47</v>
      </c>
      <c r="J30" s="154"/>
      <c r="K30" s="148" t="n">
        <v>0</v>
      </c>
    </row>
    <row r="31" customFormat="false" ht="15.75" hidden="false" customHeight="true" outlineLevel="0" collapsed="false">
      <c r="A31" s="149" t="s">
        <v>157</v>
      </c>
      <c r="B31" s="150" t="e">
        <f aca="false">VLOOKUP(B24,'Pay Sheet'!$A$2:$BJ$9, COLUMN('Pay Sheet'!G32), FALSE())</f>
        <v>#N/A</v>
      </c>
      <c r="C31" s="142"/>
      <c r="D31" s="151" t="s">
        <v>158</v>
      </c>
      <c r="E31" s="152"/>
      <c r="F31" s="153"/>
      <c r="G31" s="154" t="n">
        <v>0</v>
      </c>
      <c r="H31" s="155"/>
      <c r="I31" s="157" t="s">
        <v>42</v>
      </c>
      <c r="J31" s="154"/>
      <c r="K31" s="148" t="n">
        <v>0</v>
      </c>
      <c r="M31" s="102" t="s">
        <v>159</v>
      </c>
      <c r="N31" s="102"/>
    </row>
    <row r="32" customFormat="false" ht="15.75" hidden="false" customHeight="true" outlineLevel="0" collapsed="false">
      <c r="A32" s="149" t="s">
        <v>28</v>
      </c>
      <c r="B32" s="150" t="e">
        <f aca="false">VLOOKUP(B24,'Pay Sheet'!$A$2:$BJ$9, COLUMN('Pay Sheet'!H33), FALSE())</f>
        <v>#N/A</v>
      </c>
      <c r="C32" s="159"/>
      <c r="D32" s="151" t="s">
        <v>160</v>
      </c>
      <c r="E32" s="152"/>
      <c r="F32" s="153" t="n">
        <v>0</v>
      </c>
      <c r="G32" s="154" t="n">
        <v>0</v>
      </c>
      <c r="H32" s="155"/>
      <c r="I32" s="153" t="s">
        <v>161</v>
      </c>
      <c r="J32" s="154"/>
      <c r="K32" s="148" t="n">
        <v>0</v>
      </c>
      <c r="L32" s="102"/>
      <c r="M32" s="102" t="s">
        <v>162</v>
      </c>
      <c r="N32" s="102" t="e">
        <f aca="false">F35-J35</f>
        <v>#N/A</v>
      </c>
    </row>
    <row r="33" customFormat="false" ht="15.75" hidden="false" customHeight="true" outlineLevel="0" collapsed="false">
      <c r="A33" s="160" t="s">
        <v>29</v>
      </c>
      <c r="B33" s="161" t="e">
        <f aca="false">VLOOKUP(B24,'Pay Sheet'!$A$2:$BJ$9, COLUMN('Pay Sheet'!I34), FALSE())</f>
        <v>#N/A</v>
      </c>
      <c r="C33" s="162"/>
      <c r="D33" s="163" t="s">
        <v>163</v>
      </c>
      <c r="E33" s="164"/>
      <c r="F33" s="165" t="n">
        <v>0</v>
      </c>
      <c r="G33" s="166" t="n">
        <v>0</v>
      </c>
      <c r="H33" s="167"/>
      <c r="I33" s="165" t="s">
        <v>48</v>
      </c>
      <c r="J33" s="154" t="e">
        <f aca="false">VLOOKUP(B24,'Pay Sheet'!$A$2:$BJ$9, COLUMN('Pay Sheet'!AR34), FALSE())</f>
        <v>#N/A</v>
      </c>
      <c r="K33" s="168"/>
      <c r="L33" s="102"/>
      <c r="M33" s="102" t="s">
        <v>164</v>
      </c>
      <c r="N33" s="102" t="e">
        <f aca="false">G35-K35</f>
        <v>#N/A</v>
      </c>
    </row>
    <row r="34" customFormat="false" ht="15.75" hidden="true" customHeight="true" outlineLevel="0" collapsed="false">
      <c r="A34" s="169"/>
      <c r="B34" s="170"/>
      <c r="C34" s="171"/>
      <c r="D34" s="171"/>
      <c r="E34" s="170"/>
      <c r="F34" s="172"/>
      <c r="G34" s="172"/>
      <c r="H34" s="173"/>
      <c r="I34" s="172"/>
      <c r="J34" s="172"/>
      <c r="K34" s="174"/>
    </row>
    <row r="35" customFormat="false" ht="15.75" hidden="false" customHeight="true" outlineLevel="0" collapsed="false">
      <c r="A35" s="175"/>
      <c r="B35" s="176"/>
      <c r="C35" s="177"/>
      <c r="D35" s="178" t="s">
        <v>165</v>
      </c>
      <c r="E35" s="179"/>
      <c r="F35" s="180" t="e">
        <f aca="false">SUM(F24:F34)</f>
        <v>#N/A</v>
      </c>
      <c r="G35" s="181" t="e">
        <f aca="false">SUM(G24:G34)</f>
        <v>#N/A</v>
      </c>
      <c r="H35" s="182"/>
      <c r="I35" s="181" t="s">
        <v>166</v>
      </c>
      <c r="J35" s="181" t="e">
        <f aca="false">SUM(J24:J34)</f>
        <v>#N/A</v>
      </c>
      <c r="K35" s="181" t="e">
        <f aca="false">SUM(K24:K34)</f>
        <v>#N/A</v>
      </c>
      <c r="M35" s="102"/>
    </row>
    <row r="36" customFormat="false" ht="15.75" hidden="true" customHeight="true" outlineLevel="0" collapsed="false">
      <c r="A36" s="132"/>
      <c r="B36" s="132"/>
      <c r="C36" s="132"/>
      <c r="D36" s="183"/>
      <c r="E36" s="184"/>
      <c r="F36" s="185"/>
      <c r="G36" s="186"/>
      <c r="H36" s="186"/>
      <c r="I36" s="185"/>
      <c r="J36" s="187"/>
      <c r="K36" s="185"/>
    </row>
    <row r="37" customFormat="false" ht="15.75" hidden="false" customHeight="true" outlineLevel="0" collapsed="false">
      <c r="A37" s="188" t="s">
        <v>171</v>
      </c>
      <c r="B37" s="209" t="e">
        <f aca="false">VLOOKUP(B24,'Pay Sheet'!$A$2:$BJ$9, COLUMN('Pay Sheet'!BF38), FALSE())</f>
        <v>#N/A</v>
      </c>
      <c r="C37" s="124"/>
      <c r="D37" s="209" t="e">
        <f aca="false">VLOOKUP(B24,'Pay Sheet'!$A$2:$BJ$9, COLUMN('Pay Sheet'!BJ38), FALSE())</f>
        <v>#N/A</v>
      </c>
      <c r="E37" s="190"/>
      <c r="F37" s="191" t="s">
        <v>168</v>
      </c>
      <c r="G37" s="192"/>
      <c r="H37" s="193"/>
      <c r="I37" s="194" t="s">
        <v>169</v>
      </c>
      <c r="J37" s="195" t="s">
        <v>141</v>
      </c>
      <c r="K37" s="196" t="e">
        <f aca="false">VLOOKUP(B24,'Pay Sheet'!$A$2:$BJ$9, COLUMN('Pay Sheet'!AW38), FALSE())</f>
        <v>#N/A</v>
      </c>
      <c r="M37" s="102"/>
      <c r="N37" s="102" t="e">
        <f aca="false">N32-K38</f>
        <v>#N/A</v>
      </c>
    </row>
    <row r="38" customFormat="false" ht="15.75" hidden="false" customHeight="true" outlineLevel="0" collapsed="false">
      <c r="A38" s="197" t="s">
        <v>170</v>
      </c>
      <c r="B38" s="209" t="e">
        <f aca="false">VLOOKUP(B24,'Pay Sheet'!$A$2:$BJ$9, COLUMN('Pay Sheet'!BE39), FALSE())</f>
        <v>#N/A</v>
      </c>
      <c r="C38" s="142"/>
      <c r="D38" s="209" t="e">
        <f aca="false">VLOOKUP(B24,'Pay Sheet'!$A$2:$BJ$9, COLUMN('Pay Sheet'!BI39), FALSE())</f>
        <v>#N/A</v>
      </c>
      <c r="E38" s="199"/>
      <c r="F38" s="200" t="n">
        <v>0</v>
      </c>
      <c r="G38" s="201"/>
      <c r="H38" s="202"/>
      <c r="I38" s="194"/>
      <c r="J38" s="203" t="s">
        <v>35</v>
      </c>
      <c r="K38" s="146" t="e">
        <f aca="false">VLOOKUP(B24,'Pay Sheet'!$A$2:$BJ$9, COLUMN('Pay Sheet'!AV39), FALSE())</f>
        <v>#N/A</v>
      </c>
      <c r="N38" s="102" t="e">
        <f aca="false">K37-N33</f>
        <v>#N/A</v>
      </c>
    </row>
    <row r="39" customFormat="false" ht="15" hidden="false" customHeight="false" outlineLevel="0" collapsed="false">
      <c r="A39" s="204"/>
      <c r="B39" s="205"/>
      <c r="C39" s="205"/>
      <c r="D39" s="205"/>
      <c r="E39" s="205"/>
      <c r="F39" s="205"/>
      <c r="G39" s="205"/>
      <c r="H39" s="205"/>
      <c r="I39" s="205"/>
      <c r="J39" s="205"/>
      <c r="K39" s="206"/>
    </row>
    <row r="41" customFormat="false" ht="21" hidden="false" customHeight="true" outlineLevel="0" collapsed="false">
      <c r="A41" s="210" t="s">
        <v>131</v>
      </c>
      <c r="B41" s="210"/>
      <c r="C41" s="210"/>
      <c r="D41" s="210"/>
      <c r="E41" s="210"/>
      <c r="F41" s="210"/>
      <c r="G41" s="210"/>
      <c r="H41" s="210"/>
      <c r="I41" s="210"/>
      <c r="J41" s="210"/>
      <c r="K41" s="210"/>
    </row>
    <row r="42" customFormat="false" ht="15.75" hidden="false" customHeight="true" outlineLevel="0" collapsed="false">
      <c r="A42" s="123" t="s">
        <v>133</v>
      </c>
      <c r="B42" s="123"/>
      <c r="C42" s="124"/>
      <c r="D42" s="125" t="s">
        <v>134</v>
      </c>
      <c r="E42" s="126" t="s">
        <v>135</v>
      </c>
      <c r="F42" s="127" t="s">
        <v>136</v>
      </c>
      <c r="G42" s="127"/>
      <c r="H42" s="128"/>
      <c r="I42" s="129" t="s">
        <v>137</v>
      </c>
      <c r="J42" s="127" t="s">
        <v>138</v>
      </c>
      <c r="K42" s="127"/>
    </row>
    <row r="43" customFormat="false" ht="15.75" hidden="false" customHeight="true" outlineLevel="0" collapsed="false">
      <c r="A43" s="207" t="e">
        <f aca="false">VLOOKUP(B44,'Pay Sheet'!$A$2:$BJ$9, COLUMN('Pay Sheet'!B4), FALSE())</f>
        <v>#N/A</v>
      </c>
      <c r="B43" s="211" t="e">
        <f aca="false">VLOOKUP(B44,'Pay Sheet'!$A$2:$BJ$9, COLUMN('Pay Sheet'!C4), FALSE())</f>
        <v>#N/A</v>
      </c>
      <c r="C43" s="132"/>
      <c r="D43" s="125"/>
      <c r="E43" s="133"/>
      <c r="F43" s="126" t="s">
        <v>140</v>
      </c>
      <c r="G43" s="135" t="s">
        <v>141</v>
      </c>
      <c r="H43" s="136"/>
      <c r="I43" s="129"/>
      <c r="J43" s="137" t="s">
        <v>35</v>
      </c>
      <c r="K43" s="138" t="s">
        <v>141</v>
      </c>
    </row>
    <row r="44" customFormat="false" ht="15.75" hidden="false" customHeight="true" outlineLevel="0" collapsed="false">
      <c r="A44" s="197" t="s">
        <v>142</v>
      </c>
      <c r="B44" s="212" t="str">
        <f aca="false">O4</f>
        <v>AES11</v>
      </c>
      <c r="C44" s="142"/>
      <c r="D44" s="143" t="s">
        <v>143</v>
      </c>
      <c r="E44" s="144" t="e">
        <f aca="false">VLOOKUP($B$4,'Pay Sheet'!$A$2:$BJ$9, COLUMN('Pay Sheet'!L45), FALSE())</f>
        <v>#N/A</v>
      </c>
      <c r="F44" s="145" t="e">
        <f aca="false">VLOOKUP(B44,'Pay Sheet'!$A$2:$BJ$9, COLUMN('Pay Sheet'!P45), FALSE())</f>
        <v>#N/A</v>
      </c>
      <c r="G44" s="146" t="e">
        <f aca="false">VLOOKUP(B44,'Pay Sheet'!$A$2:$BJ$9, COLUMN('Pay Sheet'!Q45), FALSE())</f>
        <v>#N/A</v>
      </c>
      <c r="H44" s="213"/>
      <c r="I44" s="145" t="s">
        <v>144</v>
      </c>
      <c r="J44" s="146" t="e">
        <f aca="false">VLOOKUP(B44,'Pay Sheet'!$A$2:$BJ$9, COLUMN('Pay Sheet'!AK45), FALSE())</f>
        <v>#N/A</v>
      </c>
      <c r="K44" s="148" t="e">
        <f aca="false">VLOOKUP(B44,'Pay Sheet'!$A$2:$BJ$9, COLUMN('Pay Sheet'!AM45), FALSE())</f>
        <v>#N/A</v>
      </c>
    </row>
    <row r="45" customFormat="false" ht="15.75" hidden="false" customHeight="true" outlineLevel="0" collapsed="false">
      <c r="A45" s="197" t="s">
        <v>31</v>
      </c>
      <c r="B45" s="150" t="e">
        <f aca="false">VLOOKUP(B44,'Pay Sheet'!$A$2:$BJ$9, COLUMN('Pay Sheet'!K46), FALSE())</f>
        <v>#N/A</v>
      </c>
      <c r="C45" s="142"/>
      <c r="D45" s="151" t="s">
        <v>145</v>
      </c>
      <c r="E45" s="152"/>
      <c r="F45" s="153" t="n">
        <v>0</v>
      </c>
      <c r="G45" s="153" t="n">
        <v>0</v>
      </c>
      <c r="H45" s="214"/>
      <c r="I45" s="153" t="s">
        <v>46</v>
      </c>
      <c r="J45" s="154" t="e">
        <f aca="false">VLOOKUP(B44,'Pay Sheet'!$A$2:$BJ$9, COLUMN('Pay Sheet'!AL46), FALSE())</f>
        <v>#N/A</v>
      </c>
      <c r="K45" s="148" t="e">
        <f aca="false">VLOOKUP(B44,'Pay Sheet'!$A$2:$BJ$9, COLUMN('Pay Sheet'!AN46), FALSE())</f>
        <v>#N/A</v>
      </c>
    </row>
    <row r="46" customFormat="false" ht="15.75" hidden="false" customHeight="true" outlineLevel="0" collapsed="false">
      <c r="A46" s="197" t="s">
        <v>146</v>
      </c>
      <c r="B46" s="150" t="e">
        <f aca="false">VLOOKUP(B44,'Pay Sheet'!$A$2:$BJ$9, COLUMN('Pay Sheet'!D47), FALSE())</f>
        <v>#N/A</v>
      </c>
      <c r="C46" s="142"/>
      <c r="D46" s="151" t="s">
        <v>147</v>
      </c>
      <c r="E46" s="156"/>
      <c r="F46" s="153" t="n">
        <v>0</v>
      </c>
      <c r="G46" s="153" t="n">
        <v>0</v>
      </c>
      <c r="H46" s="214"/>
      <c r="I46" s="153" t="s">
        <v>39</v>
      </c>
      <c r="J46" s="154" t="n">
        <v>0</v>
      </c>
      <c r="K46" s="148" t="e">
        <f aca="false">VLOOKUP(B44,'Pay Sheet'!$A$2:$BJ$9, COLUMN('Pay Sheet'!Y47), FALSE())</f>
        <v>#N/A</v>
      </c>
    </row>
    <row r="47" customFormat="false" ht="15.75" hidden="false" customHeight="true" outlineLevel="0" collapsed="false">
      <c r="A47" s="197" t="s">
        <v>148</v>
      </c>
      <c r="B47" s="150" t="s">
        <v>149</v>
      </c>
      <c r="C47" s="142"/>
      <c r="D47" s="151" t="s">
        <v>150</v>
      </c>
      <c r="E47" s="156"/>
      <c r="F47" s="153" t="n">
        <v>0</v>
      </c>
      <c r="G47" s="153" t="n">
        <v>0</v>
      </c>
      <c r="H47" s="214"/>
      <c r="I47" s="153" t="s">
        <v>43</v>
      </c>
      <c r="J47" s="154"/>
      <c r="K47" s="148" t="n">
        <v>0</v>
      </c>
    </row>
    <row r="48" customFormat="false" ht="15.75" hidden="false" customHeight="true" outlineLevel="0" collapsed="false">
      <c r="A48" s="197" t="s">
        <v>151</v>
      </c>
      <c r="B48" s="150" t="s">
        <v>152</v>
      </c>
      <c r="C48" s="142"/>
      <c r="D48" s="151" t="s">
        <v>153</v>
      </c>
      <c r="E48" s="152"/>
      <c r="F48" s="153"/>
      <c r="G48" s="154"/>
      <c r="H48" s="214"/>
      <c r="I48" s="153" t="s">
        <v>154</v>
      </c>
      <c r="J48" s="154" t="n">
        <v>0</v>
      </c>
      <c r="K48" s="148"/>
    </row>
    <row r="49" customFormat="false" ht="15.75" hidden="false" customHeight="true" outlineLevel="0" collapsed="false">
      <c r="A49" s="197" t="s">
        <v>26</v>
      </c>
      <c r="B49" s="150" t="e">
        <f aca="false">VLOOKUP(B44,'Pay Sheet'!$A$2:$BJ$9, COLUMN('Pay Sheet'!E30), FALSE())</f>
        <v>#N/A</v>
      </c>
      <c r="C49" s="142"/>
      <c r="D49" s="151" t="s">
        <v>155</v>
      </c>
      <c r="E49" s="152"/>
      <c r="F49" s="153" t="e">
        <f aca="false">VLOOKUP($B$4,'Pay Sheet'!$A$2:$BJ$9, COLUMN('Pay Sheet'!S50), FALSE())</f>
        <v>#N/A</v>
      </c>
      <c r="G49" s="154" t="e">
        <f aca="false">VLOOKUP(B44,'Pay Sheet'!$A$2:$BJ$9, COLUMN('Pay Sheet'!T50), FALSE())</f>
        <v>#N/A</v>
      </c>
      <c r="H49" s="214"/>
      <c r="I49" s="157" t="s">
        <v>49</v>
      </c>
      <c r="J49" s="154" t="n">
        <v>0</v>
      </c>
      <c r="K49" s="148" t="n">
        <v>0</v>
      </c>
    </row>
    <row r="50" customFormat="false" ht="15.75" hidden="false" customHeight="true" outlineLevel="0" collapsed="false">
      <c r="A50" s="197" t="s">
        <v>22</v>
      </c>
      <c r="B50" s="150" t="s">
        <v>152</v>
      </c>
      <c r="C50" s="142"/>
      <c r="D50" s="151" t="s">
        <v>156</v>
      </c>
      <c r="E50" s="152"/>
      <c r="F50" s="153"/>
      <c r="G50" s="153" t="n">
        <v>0</v>
      </c>
      <c r="H50" s="215"/>
      <c r="I50" s="157" t="s">
        <v>47</v>
      </c>
      <c r="J50" s="154"/>
      <c r="K50" s="148" t="n">
        <v>0</v>
      </c>
    </row>
    <row r="51" customFormat="false" ht="15.75" hidden="false" customHeight="true" outlineLevel="0" collapsed="false">
      <c r="A51" s="197" t="s">
        <v>157</v>
      </c>
      <c r="B51" s="150" t="e">
        <f aca="false">VLOOKUP(B44,'Pay Sheet'!$A$2:$BJ$9, COLUMN('Pay Sheet'!G52), FALSE())</f>
        <v>#N/A</v>
      </c>
      <c r="C51" s="142"/>
      <c r="D51" s="151" t="s">
        <v>158</v>
      </c>
      <c r="E51" s="152"/>
      <c r="F51" s="153"/>
      <c r="G51" s="153" t="n">
        <v>0</v>
      </c>
      <c r="H51" s="214"/>
      <c r="I51" s="157" t="s">
        <v>42</v>
      </c>
      <c r="J51" s="154"/>
      <c r="K51" s="148" t="n">
        <v>0</v>
      </c>
      <c r="L51" s="102"/>
      <c r="M51" s="102" t="s">
        <v>159</v>
      </c>
      <c r="N51" s="102"/>
    </row>
    <row r="52" customFormat="false" ht="15.75" hidden="false" customHeight="true" outlineLevel="0" collapsed="false">
      <c r="A52" s="197" t="s">
        <v>28</v>
      </c>
      <c r="B52" s="150" t="e">
        <f aca="false">VLOOKUP(B44,'Pay Sheet'!$A$2:$BJ$9, COLUMN('Pay Sheet'!H53), FALSE())</f>
        <v>#N/A</v>
      </c>
      <c r="C52" s="159"/>
      <c r="D52" s="151" t="s">
        <v>160</v>
      </c>
      <c r="E52" s="152"/>
      <c r="F52" s="153" t="n">
        <v>0</v>
      </c>
      <c r="G52" s="153" t="n">
        <v>0</v>
      </c>
      <c r="H52" s="214"/>
      <c r="I52" s="153" t="s">
        <v>161</v>
      </c>
      <c r="J52" s="154"/>
      <c r="K52" s="148" t="n">
        <v>0</v>
      </c>
      <c r="L52" s="102"/>
      <c r="M52" s="102" t="s">
        <v>162</v>
      </c>
      <c r="N52" s="102" t="e">
        <f aca="false">F55-J55</f>
        <v>#N/A</v>
      </c>
    </row>
    <row r="53" customFormat="false" ht="15.75" hidden="false" customHeight="true" outlineLevel="0" collapsed="false">
      <c r="A53" s="216" t="s">
        <v>29</v>
      </c>
      <c r="B53" s="161" t="e">
        <f aca="false">VLOOKUP(B44,'Pay Sheet'!$A$2:$BJ$9, COLUMN('Pay Sheet'!I54), FALSE())</f>
        <v>#N/A</v>
      </c>
      <c r="C53" s="162"/>
      <c r="D53" s="163" t="s">
        <v>163</v>
      </c>
      <c r="E53" s="164"/>
      <c r="F53" s="165" t="n">
        <v>0</v>
      </c>
      <c r="G53" s="166" t="n">
        <v>0</v>
      </c>
      <c r="H53" s="217"/>
      <c r="I53" s="165" t="s">
        <v>48</v>
      </c>
      <c r="J53" s="166" t="e">
        <f aca="false">VLOOKUP(B44,'Pay Sheet'!$A$2:$BJ$9, COLUMN('Pay Sheet'!AR54), FALSE())</f>
        <v>#N/A</v>
      </c>
      <c r="K53" s="168"/>
      <c r="L53" s="102"/>
      <c r="M53" s="102" t="s">
        <v>164</v>
      </c>
      <c r="N53" s="102" t="e">
        <f aca="false">G55-K55</f>
        <v>#N/A</v>
      </c>
    </row>
    <row r="54" customFormat="false" ht="15.75" hidden="true" customHeight="true" outlineLevel="0" collapsed="false">
      <c r="A54" s="170"/>
      <c r="B54" s="170"/>
      <c r="C54" s="171"/>
      <c r="D54" s="171"/>
      <c r="E54" s="170"/>
      <c r="F54" s="172"/>
      <c r="G54" s="172"/>
      <c r="H54" s="173"/>
      <c r="I54" s="172"/>
      <c r="J54" s="172"/>
      <c r="K54" s="174"/>
    </row>
    <row r="55" customFormat="false" ht="15.75" hidden="false" customHeight="true" outlineLevel="0" collapsed="false">
      <c r="A55" s="218"/>
      <c r="B55" s="219"/>
      <c r="C55" s="177"/>
      <c r="D55" s="178" t="s">
        <v>165</v>
      </c>
      <c r="E55" s="179"/>
      <c r="F55" s="180" t="e">
        <f aca="false">SUM(F44:F54)</f>
        <v>#N/A</v>
      </c>
      <c r="G55" s="181" t="e">
        <f aca="false">SUM(G44:G54)</f>
        <v>#N/A</v>
      </c>
      <c r="H55" s="182"/>
      <c r="I55" s="181" t="s">
        <v>166</v>
      </c>
      <c r="J55" s="181" t="e">
        <f aca="false">SUM(J44:J54)</f>
        <v>#N/A</v>
      </c>
      <c r="K55" s="181" t="e">
        <f aca="false">SUM(K44:K54)</f>
        <v>#N/A</v>
      </c>
      <c r="L55" s="102"/>
      <c r="M55" s="102"/>
      <c r="N55" s="102" t="e">
        <f aca="false">K57-N53</f>
        <v>#N/A</v>
      </c>
    </row>
    <row r="56" customFormat="false" ht="15.75" hidden="true" customHeight="true" outlineLevel="0" collapsed="false">
      <c r="A56" s="132"/>
      <c r="B56" s="132"/>
      <c r="C56" s="132"/>
      <c r="D56" s="183"/>
      <c r="E56" s="184"/>
      <c r="F56" s="185"/>
      <c r="G56" s="186"/>
      <c r="H56" s="186"/>
      <c r="I56" s="185"/>
      <c r="J56" s="187"/>
      <c r="K56" s="185"/>
    </row>
    <row r="57" customFormat="false" ht="15.75" hidden="false" customHeight="true" outlineLevel="0" collapsed="false">
      <c r="A57" s="188" t="s">
        <v>171</v>
      </c>
      <c r="B57" s="189" t="e">
        <f aca="false">VLOOKUP(B44,'Pay Sheet'!$A$2:$BJ$9, COLUMN('Pay Sheet'!BE58), FALSE())</f>
        <v>#N/A</v>
      </c>
      <c r="C57" s="124"/>
      <c r="D57" s="209" t="e">
        <f aca="false">VLOOKUP(B44,'Pay Sheet'!$A$2:$BJ$9, COLUMN('Pay Sheet'!BJ58), FALSE())</f>
        <v>#N/A</v>
      </c>
      <c r="E57" s="190"/>
      <c r="F57" s="191" t="s">
        <v>168</v>
      </c>
      <c r="G57" s="192"/>
      <c r="H57" s="193"/>
      <c r="I57" s="194" t="s">
        <v>169</v>
      </c>
      <c r="J57" s="195" t="s">
        <v>141</v>
      </c>
      <c r="K57" s="196" t="e">
        <f aca="false">VLOOKUP(B44,'Pay Sheet'!$A$2:$BJ$9, COLUMN('Pay Sheet'!AW58), FALSE())</f>
        <v>#N/A</v>
      </c>
      <c r="L57" s="102"/>
    </row>
    <row r="58" customFormat="false" ht="15.75" hidden="false" customHeight="true" outlineLevel="0" collapsed="false">
      <c r="A58" s="197" t="s">
        <v>170</v>
      </c>
      <c r="B58" s="198" t="e">
        <f aca="false">VLOOKUP(B44,'Pay Sheet'!$A$2:$BJ$9, COLUMN('Pay Sheet'!BE59), FALSE())</f>
        <v>#N/A</v>
      </c>
      <c r="C58" s="142"/>
      <c r="D58" s="209" t="e">
        <f aca="false">VLOOKUP(B44,'Pay Sheet'!$A$2:$BJ$9, COLUMN('Pay Sheet'!BI59), FALSE())</f>
        <v>#N/A</v>
      </c>
      <c r="E58" s="199"/>
      <c r="F58" s="200" t="s">
        <v>35</v>
      </c>
      <c r="G58" s="201"/>
      <c r="H58" s="202"/>
      <c r="I58" s="194"/>
      <c r="J58" s="203" t="s">
        <v>35</v>
      </c>
      <c r="K58" s="196" t="e">
        <f aca="false">VLOOKUP(B44,'Pay Sheet'!$A$2:$BJ$9, COLUMN('Pay Sheet'!AV59), FALSE())</f>
        <v>#N/A</v>
      </c>
    </row>
    <row r="59" customFormat="false" ht="15" hidden="false" customHeight="false" outlineLevel="0" collapsed="false">
      <c r="A59" s="204"/>
      <c r="B59" s="205"/>
      <c r="C59" s="205"/>
      <c r="D59" s="205"/>
      <c r="E59" s="205"/>
      <c r="F59" s="205"/>
      <c r="G59" s="205"/>
      <c r="H59" s="205"/>
      <c r="I59" s="205"/>
      <c r="J59" s="205"/>
      <c r="K59" s="206"/>
    </row>
    <row r="67" customFormat="false" ht="15" hidden="false" customHeight="false" outlineLevel="0" collapsed="false">
      <c r="D67" s="2"/>
    </row>
  </sheetData>
  <mergeCells count="21">
    <mergeCell ref="A1:K1"/>
    <mergeCell ref="A2:B2"/>
    <mergeCell ref="D2:D3"/>
    <mergeCell ref="F2:G2"/>
    <mergeCell ref="I2:I3"/>
    <mergeCell ref="J2:K2"/>
    <mergeCell ref="I17:I18"/>
    <mergeCell ref="A21:K21"/>
    <mergeCell ref="A22:B22"/>
    <mergeCell ref="D22:D23"/>
    <mergeCell ref="F22:G22"/>
    <mergeCell ref="I22:I23"/>
    <mergeCell ref="J22:K22"/>
    <mergeCell ref="I37:I38"/>
    <mergeCell ref="A41:K41"/>
    <mergeCell ref="A42:B42"/>
    <mergeCell ref="D42:D43"/>
    <mergeCell ref="F42:G42"/>
    <mergeCell ref="I42:I43"/>
    <mergeCell ref="J42:K42"/>
    <mergeCell ref="I57:I5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85"/>
    <col collapsed="false" customWidth="true" hidden="false" outlineLevel="0" max="2" min="2" style="1" width="14.86"/>
    <col collapsed="false" customWidth="true" hidden="false" outlineLevel="0" max="3" min="3" style="1" width="17.57"/>
    <col collapsed="false" customWidth="true" hidden="false" outlineLevel="0" max="4" min="4" style="1" width="8.42"/>
    <col collapsed="false" customWidth="true" hidden="false" outlineLevel="0" max="5" min="5" style="1" width="11.43"/>
    <col collapsed="false" customWidth="true" hidden="false" outlineLevel="0" max="6" min="6" style="1" width="16.57"/>
    <col collapsed="false" customWidth="true" hidden="false" outlineLevel="0" max="7" min="7" style="1" width="12.15"/>
    <col collapsed="false" customWidth="true" hidden="false" outlineLevel="0" max="8" min="8" style="1" width="14.42"/>
    <col collapsed="false" customWidth="true" hidden="false" outlineLevel="0" max="9" min="9" style="1" width="10.14"/>
    <col collapsed="false" customWidth="true" hidden="false" outlineLevel="0" max="10" min="10" style="1" width="17.29"/>
    <col collapsed="false" customWidth="true" hidden="false" outlineLevel="0" max="11" min="11" style="1" width="15.29"/>
    <col collapsed="false" customWidth="true" hidden="false" outlineLevel="0" max="12" min="12" style="1" width="16.29"/>
  </cols>
  <sheetData>
    <row r="1" customFormat="false" ht="15" hidden="false" customHeight="false" outlineLevel="0" collapsed="false">
      <c r="A1" s="23"/>
      <c r="B1" s="24" t="s">
        <v>23</v>
      </c>
      <c r="C1" s="24" t="s">
        <v>24</v>
      </c>
      <c r="D1" s="24" t="s">
        <v>19</v>
      </c>
      <c r="E1" s="24" t="s">
        <v>20</v>
      </c>
      <c r="F1" s="24" t="s">
        <v>21</v>
      </c>
      <c r="G1" s="24" t="s">
        <v>172</v>
      </c>
      <c r="H1" s="24" t="s">
        <v>19</v>
      </c>
      <c r="I1" s="24" t="s">
        <v>20</v>
      </c>
      <c r="J1" s="24" t="s">
        <v>21</v>
      </c>
      <c r="K1" s="24" t="s">
        <v>172</v>
      </c>
    </row>
    <row r="2" customFormat="false" ht="15.75" hidden="false" customHeight="true" outlineLevel="0" collapsed="false">
      <c r="A2" s="23" t="str">
        <f aca="false">'Pay Sheet'!A4</f>
        <v>AES-E007</v>
      </c>
      <c r="B2" s="66" t="str">
        <f aca="false">'Pay Sheet'!B4</f>
        <v>Talent</v>
      </c>
      <c r="C2" s="37" t="str">
        <f aca="false">'Pay Sheet'!C4</f>
        <v>Hungwe</v>
      </c>
      <c r="D2" s="55" t="str">
        <f aca="false">'Pay Sheet'!BE4</f>
        <v>FBC</v>
      </c>
      <c r="E2" s="23" t="str">
        <f aca="false">'Pay Sheet'!BG4</f>
        <v>Gweru</v>
      </c>
      <c r="F2" s="23" t="str">
        <f aca="false">'Pay Sheet'!BI4</f>
        <v>4944283045955</v>
      </c>
      <c r="G2" s="55" t="n">
        <f aca="false">'Pay Sheet'!AV4</f>
        <v>147.3425</v>
      </c>
      <c r="H2" s="55" t="str">
        <f aca="false">'Pay Sheet'!BF4</f>
        <v>FBC</v>
      </c>
      <c r="I2" s="23" t="str">
        <f aca="false">'Pay Sheet'!BH4</f>
        <v>Gweru</v>
      </c>
      <c r="J2" s="23" t="str">
        <f aca="false">'Pay Sheet'!BJ4</f>
        <v>3037694702002</v>
      </c>
      <c r="K2" s="55" t="n">
        <f aca="false">'Pay Sheet'!AP4</f>
        <v>4267.01152175</v>
      </c>
    </row>
    <row r="3" customFormat="false" ht="15.75" hidden="false" customHeight="true" outlineLevel="0" collapsed="false">
      <c r="A3" s="23" t="str">
        <f aca="false">'Pay Sheet'!A5</f>
        <v>AES-E008</v>
      </c>
      <c r="B3" s="66" t="str">
        <f aca="false">'Pay Sheet'!B5</f>
        <v>Knowledge</v>
      </c>
      <c r="C3" s="37" t="str">
        <f aca="false">'Pay Sheet'!C5</f>
        <v>Zvobgo</v>
      </c>
      <c r="D3" s="55" t="str">
        <f aca="false">'Pay Sheet'!BE5</f>
        <v>FBC</v>
      </c>
      <c r="E3" s="23" t="str">
        <f aca="false">'Pay Sheet'!BG5</f>
        <v>Head Office</v>
      </c>
      <c r="F3" s="23" t="str">
        <f aca="false">'Pay Sheet'!BI5</f>
        <v>1548700253549</v>
      </c>
      <c r="G3" s="55" t="n">
        <f aca="false">'Pay Sheet'!AV5</f>
        <v>361.502524200415</v>
      </c>
      <c r="H3" s="55" t="str">
        <f aca="false">'Pay Sheet'!BF5</f>
        <v>FBC</v>
      </c>
      <c r="I3" s="23" t="str">
        <f aca="false">'Pay Sheet'!BH5</f>
        <v>Gweru BS</v>
      </c>
      <c r="J3" s="23" t="str">
        <f aca="false">'Pay Sheet'!BJ5</f>
        <v>5690134581994</v>
      </c>
      <c r="K3" s="55" t="n">
        <f aca="false">'Pay Sheet'!AP5</f>
        <v>9984.0347837825</v>
      </c>
    </row>
    <row r="4" customFormat="false" ht="15.75" hidden="false" customHeight="true" outlineLevel="0" collapsed="false">
      <c r="A4" s="23" t="str">
        <f aca="false">'Pay Sheet'!A6</f>
        <v>AES-E009</v>
      </c>
      <c r="B4" s="66" t="str">
        <f aca="false">'Pay Sheet'!B6</f>
        <v>Chipo</v>
      </c>
      <c r="C4" s="37" t="str">
        <f aca="false">'Pay Sheet'!C6</f>
        <v>Mhlanga</v>
      </c>
      <c r="D4" s="55" t="str">
        <f aca="false">'Pay Sheet'!BE6</f>
        <v>FBC</v>
      </c>
      <c r="E4" s="23" t="s">
        <v>173</v>
      </c>
      <c r="F4" s="23" t="str">
        <f aca="false">'Pay Sheet'!BI6</f>
        <v>3221522634754</v>
      </c>
      <c r="G4" s="55" t="n">
        <f aca="false">'Pay Sheet'!AV6</f>
        <v>271.927324200415</v>
      </c>
      <c r="H4" s="55" t="str">
        <f aca="false">'Pay Sheet'!BF6</f>
        <v>FBC</v>
      </c>
      <c r="I4" s="23" t="s">
        <v>173</v>
      </c>
      <c r="J4" s="23" t="str">
        <f aca="false">'Pay Sheet'!BJ6</f>
        <v>3002178920001</v>
      </c>
      <c r="K4" s="55" t="n">
        <f aca="false">'Pay Sheet'!AP6</f>
        <v>7592.8158622625</v>
      </c>
    </row>
    <row r="5" customFormat="false" ht="15" hidden="false" customHeight="false" outlineLevel="0" collapsed="false">
      <c r="A5" s="1" t="str">
        <f aca="false">'Pay Sheet'!A7</f>
        <v>AES-E002</v>
      </c>
      <c r="B5" s="23" t="str">
        <f aca="false">'Pay Sheet'!B7</f>
        <v>Tonderayi</v>
      </c>
      <c r="C5" s="220" t="str">
        <f aca="false">'Pay Sheet'!C7</f>
        <v>Zendera</v>
      </c>
      <c r="D5" s="55" t="str">
        <f aca="false">'Pay Sheet'!BE7</f>
        <v>FBC</v>
      </c>
      <c r="E5" s="23" t="str">
        <f aca="false">'Pay Sheet'!BG7</f>
        <v>Gweru</v>
      </c>
      <c r="F5" s="23" t="str">
        <f aca="false">'Pay Sheet'!BI7</f>
        <v>4835181413465</v>
      </c>
      <c r="G5" s="55" t="n">
        <f aca="false">'Pay Sheet'!AV7</f>
        <v>261.235324200415</v>
      </c>
      <c r="H5" s="55" t="str">
        <f aca="false">'Pay Sheet'!BF7</f>
        <v>FBC</v>
      </c>
      <c r="I5" s="23" t="str">
        <f aca="false">'Pay Sheet'!BH7</f>
        <v>Gweru</v>
      </c>
      <c r="J5" s="23" t="str">
        <f aca="false">'Pay Sheet'!BJ7</f>
        <v>3037698131452</v>
      </c>
      <c r="K5" s="55" t="n">
        <f aca="false">'Pay Sheet'!AP7</f>
        <v>7307.3918530625</v>
      </c>
    </row>
    <row r="6" customFormat="false" ht="15" hidden="false" customHeight="false" outlineLevel="0" collapsed="false">
      <c r="A6" s="1" t="str">
        <f aca="false">'Pay Sheet'!A8</f>
        <v>AES-E003</v>
      </c>
      <c r="B6" s="23" t="str">
        <f aca="false">'Pay Sheet'!B8</f>
        <v>Tadiwanashe </v>
      </c>
      <c r="C6" s="220" t="str">
        <f aca="false">'Pay Sheet'!C8</f>
        <v>Hungwe</v>
      </c>
      <c r="D6" s="55" t="str">
        <f aca="false">'Pay Sheet'!BE8</f>
        <v>FBC</v>
      </c>
      <c r="E6" s="23" t="str">
        <f aca="false">'Pay Sheet'!BG8</f>
        <v>Gweru</v>
      </c>
      <c r="F6" s="23" t="str">
        <f aca="false">'Pay Sheet'!BI8</f>
        <v>3881146960064</v>
      </c>
      <c r="G6" s="55" t="n">
        <f aca="false">'Pay Sheet'!AV8</f>
        <v>271.927324200415</v>
      </c>
      <c r="H6" s="55" t="str">
        <f aca="false">'Pay Sheet'!BF8</f>
        <v>FBC</v>
      </c>
      <c r="I6" s="23" t="str">
        <f aca="false">'Pay Sheet'!BH8</f>
        <v>GWERU/BS</v>
      </c>
      <c r="J6" s="23" t="str">
        <f aca="false">'Pay Sheet'!BJ8</f>
        <v>'5690128271998</v>
      </c>
      <c r="K6" s="55" t="n">
        <f aca="false">'Pay Sheet'!AP8</f>
        <v>7592.8158622625</v>
      </c>
    </row>
    <row r="7" customFormat="false" ht="15" hidden="false" customHeight="false" outlineLevel="0" collapsed="false">
      <c r="B7" s="23" t="str">
        <f aca="false">'Pay Sheet'!B9</f>
        <v>Nokutenda</v>
      </c>
      <c r="C7" s="220" t="str">
        <f aca="false">'Pay Sheet'!C9</f>
        <v>Marimo</v>
      </c>
      <c r="D7" s="55" t="str">
        <f aca="false">'Pay Sheet'!BE9</f>
        <v>FBC</v>
      </c>
      <c r="E7" s="23" t="str">
        <f aca="false">'Pay Sheet'!BG9</f>
        <v>Gweru</v>
      </c>
      <c r="F7" s="23" t="str">
        <f aca="false">'Pay Sheet'!BI9</f>
        <v>6475931779276</v>
      </c>
      <c r="G7" s="55" t="n">
        <f aca="false">'Pay Sheet'!AV9</f>
        <v>124.992062</v>
      </c>
      <c r="H7" s="55" t="str">
        <f aca="false">'Pay Sheet'!BF9</f>
        <v>FBC</v>
      </c>
      <c r="I7" s="23" t="str">
        <f aca="false">'Pay Sheet'!BH9</f>
        <v>GWERU</v>
      </c>
      <c r="J7" s="23" t="str">
        <f aca="false">'Pay Sheet'!BJ9</f>
        <v>3037699612501</v>
      </c>
      <c r="K7" s="55" t="n">
        <f aca="false">'Pay Sheet'!AP9</f>
        <v>3670.3643442962</v>
      </c>
    </row>
    <row r="8" customFormat="false" ht="15" hidden="false" customHeight="false" outlineLevel="0" collapsed="false">
      <c r="B8" s="23" t="str">
        <f aca="false">'Pay Sheet'!B19</f>
        <v>Learnmore </v>
      </c>
      <c r="C8" s="23" t="str">
        <f aca="false">'Pay Sheet'!C19</f>
        <v>Makoni</v>
      </c>
      <c r="D8" s="55" t="s">
        <v>70</v>
      </c>
      <c r="E8" s="23" t="s">
        <v>68</v>
      </c>
      <c r="F8" s="23"/>
      <c r="G8" s="55" t="n">
        <f aca="false">'Pay Sheet'!T19</f>
        <v>999.999</v>
      </c>
      <c r="H8" s="55" t="s">
        <v>70</v>
      </c>
      <c r="I8" s="55" t="s">
        <v>111</v>
      </c>
      <c r="J8" s="23"/>
      <c r="K8" s="55" t="n">
        <f aca="false">'Pay Sheet'!U19</f>
        <v>17918.5252779</v>
      </c>
    </row>
    <row r="9" customFormat="false" ht="15" hidden="false" customHeight="false" outlineLevel="0" collapsed="false">
      <c r="B9" s="23" t="str">
        <f aca="false">'Pay Sheet'!B20</f>
        <v>Ruvarashe </v>
      </c>
      <c r="C9" s="23" t="str">
        <f aca="false">'Pay Sheet'!C20</f>
        <v>Makoni</v>
      </c>
      <c r="D9" s="55" t="s">
        <v>70</v>
      </c>
      <c r="E9" s="23" t="s">
        <v>68</v>
      </c>
      <c r="F9" s="23"/>
      <c r="G9" s="55" t="n">
        <f aca="false">'Pay Sheet'!T20</f>
        <v>999.999</v>
      </c>
      <c r="H9" s="55" t="s">
        <v>70</v>
      </c>
      <c r="I9" s="55" t="s">
        <v>111</v>
      </c>
      <c r="J9" s="23"/>
      <c r="K9" s="55" t="n">
        <f aca="false">'Pay Sheet'!U20</f>
        <v>10751.2112691</v>
      </c>
    </row>
    <row r="10" customFormat="false" ht="15" hidden="false" customHeight="false" outlineLevel="0" collapsed="false">
      <c r="B10" s="23" t="str">
        <f aca="false">'Pay Sheet'!B10</f>
        <v>Lovemore </v>
      </c>
      <c r="C10" s="23" t="str">
        <f aca="false">'Pay Sheet'!C10</f>
        <v>Makoni</v>
      </c>
      <c r="D10" s="55" t="s">
        <v>70</v>
      </c>
      <c r="E10" s="23" t="s">
        <v>68</v>
      </c>
      <c r="F10" s="23"/>
      <c r="G10" s="55" t="n">
        <f aca="false">'Pay Sheet'!AO10</f>
        <v>950.233291934253</v>
      </c>
      <c r="H10" s="55" t="s">
        <v>70</v>
      </c>
      <c r="I10" s="55" t="s">
        <v>111</v>
      </c>
      <c r="J10" s="23"/>
      <c r="K10" s="55" t="n">
        <f aca="false">'Pay Sheet'!AW10</f>
        <v>7036.84325811392</v>
      </c>
      <c r="L10" s="102"/>
    </row>
    <row r="11" customFormat="false" ht="15" hidden="true" customHeight="false" outlineLevel="0" collapsed="false">
      <c r="C11" s="221"/>
      <c r="D11" s="102"/>
      <c r="G11" s="102"/>
      <c r="H11" s="102"/>
      <c r="K11" s="102"/>
    </row>
    <row r="12" customFormat="false" ht="15" hidden="true" customHeight="false" outlineLevel="0" collapsed="false">
      <c r="C12" s="221"/>
      <c r="D12" s="102"/>
      <c r="G12" s="102"/>
      <c r="H12" s="102"/>
      <c r="K12" s="102"/>
    </row>
    <row r="13" customFormat="false" ht="15" hidden="true" customHeight="false" outlineLevel="0" collapsed="false">
      <c r="C13" s="221"/>
      <c r="D13" s="102"/>
      <c r="G13" s="102"/>
      <c r="H13" s="102"/>
      <c r="K13" s="102"/>
    </row>
    <row r="14" customFormat="false" ht="15" hidden="true" customHeight="false" outlineLevel="0" collapsed="false">
      <c r="C14" s="221"/>
      <c r="D14" s="102"/>
      <c r="G14" s="102"/>
      <c r="H14" s="102"/>
      <c r="K14" s="102"/>
    </row>
    <row r="15" customFormat="false" ht="15" hidden="true" customHeight="false" outlineLevel="0" collapsed="false">
      <c r="C15" s="221"/>
      <c r="D15" s="102"/>
      <c r="G15" s="102"/>
      <c r="H15" s="102"/>
      <c r="K15" s="102"/>
    </row>
    <row r="16" customFormat="false" ht="15.75" hidden="false" customHeight="true" outlineLevel="0" collapsed="false">
      <c r="G16" s="222" t="n">
        <f aca="false">SUM(G2:G10)</f>
        <v>4389.15835073591</v>
      </c>
      <c r="H16" s="223"/>
      <c r="I16" s="223"/>
      <c r="J16" s="223"/>
      <c r="K16" s="222" t="n">
        <f aca="false">SUM(K2:K10)</f>
        <v>76121.0140325301</v>
      </c>
    </row>
    <row r="17" customFormat="false" ht="15.75" hidden="false" customHeight="true" outlineLevel="0" collapsed="false"/>
    <row r="18" customFormat="false" ht="15" hidden="false" customHeight="false" outlineLevel="0" collapsed="false">
      <c r="B18" s="21" t="s">
        <v>174</v>
      </c>
      <c r="C18" s="21"/>
      <c r="I18" s="121" t="s">
        <v>132</v>
      </c>
      <c r="J18" s="122" t="n">
        <f aca="false">'Pay Sheet'!C2</f>
        <v>26.6951</v>
      </c>
    </row>
    <row r="19" customFormat="false" ht="15" hidden="false" customHeight="false" outlineLevel="0" collapsed="false">
      <c r="B19" s="1" t="s">
        <v>175</v>
      </c>
      <c r="C19" s="1" t="s">
        <v>176</v>
      </c>
      <c r="D19" s="1" t="s">
        <v>70</v>
      </c>
      <c r="E19" s="1" t="s">
        <v>79</v>
      </c>
      <c r="G19" s="224" t="n">
        <f aca="false">500*0.5</f>
        <v>250</v>
      </c>
      <c r="H19" s="1" t="s">
        <v>177</v>
      </c>
      <c r="I19" s="1" t="s">
        <v>68</v>
      </c>
      <c r="K19" s="101" t="n">
        <f aca="false">250*J18</f>
        <v>6673.775</v>
      </c>
    </row>
    <row r="20" customFormat="false" ht="15" hidden="false" customHeight="false" outlineLevel="0" collapsed="false">
      <c r="B20" s="1" t="s">
        <v>178</v>
      </c>
      <c r="C20" s="1" t="s">
        <v>179</v>
      </c>
      <c r="D20" s="1" t="s">
        <v>70</v>
      </c>
      <c r="E20" s="1" t="s">
        <v>68</v>
      </c>
      <c r="G20" s="224" t="n">
        <f aca="false">375*0.5</f>
        <v>187.5</v>
      </c>
      <c r="H20" s="1" t="s">
        <v>70</v>
      </c>
      <c r="I20" s="1" t="s">
        <v>68</v>
      </c>
      <c r="K20" s="2" t="n">
        <f aca="false">375*0.5*J18</f>
        <v>5005.33125</v>
      </c>
    </row>
    <row r="21" customFormat="false" ht="15.75" hidden="false" customHeight="true" outlineLevel="0" collapsed="false">
      <c r="G21" s="225" t="n">
        <f aca="false">SUM(G19:G20)</f>
        <v>437.5</v>
      </c>
      <c r="H21" s="2"/>
      <c r="K21" s="226" t="n">
        <f aca="false">SUM(K19:K20)</f>
        <v>11679.10625</v>
      </c>
    </row>
    <row r="22" customFormat="false" ht="15.75" hidden="false" customHeight="true" outlineLevel="0" collapsed="false"/>
    <row r="24" customFormat="false" ht="15" hidden="false" customHeight="false" outlineLevel="0" collapsed="false">
      <c r="K24" s="10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.86"/>
    <col collapsed="false" customWidth="true" hidden="false" outlineLevel="0" max="2" min="2" style="1" width="15.14"/>
    <col collapsed="false" customWidth="true" hidden="false" outlineLevel="0" max="3" min="3" style="1" width="13.57"/>
    <col collapsed="false" customWidth="true" hidden="false" outlineLevel="0" max="4" min="4" style="1" width="14"/>
    <col collapsed="false" customWidth="true" hidden="false" outlineLevel="0" max="6" min="5" style="2" width="18.29"/>
    <col collapsed="false" customWidth="true" hidden="false" outlineLevel="0" max="7" min="7" style="1" width="18.42"/>
    <col collapsed="false" customWidth="true" hidden="false" outlineLevel="0" max="8" min="8" style="1" width="12.86"/>
    <col collapsed="false" customWidth="true" hidden="false" outlineLevel="0" max="9" min="9" style="1" width="14.57"/>
  </cols>
  <sheetData>
    <row r="1" customFormat="false" ht="45" hidden="false" customHeight="true" outlineLevel="0" collapsed="false">
      <c r="A1" s="23"/>
      <c r="B1" s="24" t="s">
        <v>23</v>
      </c>
      <c r="C1" s="24" t="s">
        <v>24</v>
      </c>
      <c r="D1" s="227" t="s">
        <v>180</v>
      </c>
      <c r="E1" s="227" t="s">
        <v>181</v>
      </c>
      <c r="F1" s="228" t="s">
        <v>182</v>
      </c>
      <c r="G1" s="228" t="s">
        <v>183</v>
      </c>
      <c r="H1" s="24" t="s">
        <v>184</v>
      </c>
      <c r="I1" s="24" t="s">
        <v>185</v>
      </c>
    </row>
    <row r="2" customFormat="false" ht="15.75" hidden="false" customHeight="true" outlineLevel="0" collapsed="false">
      <c r="A2" s="23" t="str">
        <f aca="false">'Pay Sheet'!A4</f>
        <v>AES-E007</v>
      </c>
      <c r="B2" s="66" t="str">
        <f aca="false">'Pay Sheet'!B4</f>
        <v>Talent</v>
      </c>
      <c r="C2" s="37" t="str">
        <f aca="false">'Pay Sheet'!C4</f>
        <v>Hungwe</v>
      </c>
      <c r="D2" s="229" t="n">
        <f aca="false">'Pay Sheet'!Z4</f>
        <v>9</v>
      </c>
      <c r="E2" s="46" t="n">
        <f aca="false">'Pay Sheet'!AA4</f>
        <v>240.2559</v>
      </c>
      <c r="F2" s="46"/>
      <c r="G2" s="55" t="n">
        <f aca="false">E2</f>
        <v>240.2559</v>
      </c>
      <c r="H2" s="55"/>
      <c r="I2" s="55" t="n">
        <f aca="false">SUM(E2:G2)</f>
        <v>480.5118</v>
      </c>
    </row>
    <row r="3" customFormat="false" ht="15.75" hidden="false" customHeight="true" outlineLevel="0" collapsed="false">
      <c r="A3" s="23" t="str">
        <f aca="false">'Pay Sheet'!A5</f>
        <v>AES-E008</v>
      </c>
      <c r="B3" s="66" t="str">
        <f aca="false">'Pay Sheet'!B5</f>
        <v>Knowledge</v>
      </c>
      <c r="C3" s="37" t="str">
        <f aca="false">'Pay Sheet'!C5</f>
        <v>Zvobgo</v>
      </c>
      <c r="D3" s="229" t="n">
        <f aca="false">'Pay Sheet'!Z5</f>
        <v>15.608990975872</v>
      </c>
      <c r="E3" s="46" t="n">
        <f aca="false">'Pay Sheet'!AA5</f>
        <v>416.683575</v>
      </c>
      <c r="F3" s="46"/>
      <c r="G3" s="55" t="n">
        <f aca="false">E3</f>
        <v>416.683575</v>
      </c>
      <c r="H3" s="55"/>
      <c r="I3" s="55" t="n">
        <f aca="false">SUM(E3:G3)</f>
        <v>833.36715</v>
      </c>
    </row>
    <row r="4" customFormat="false" ht="15.75" hidden="false" customHeight="true" outlineLevel="0" collapsed="false">
      <c r="A4" s="23" t="str">
        <f aca="false">'Pay Sheet'!A6</f>
        <v>AES-E009</v>
      </c>
      <c r="B4" s="66" t="str">
        <f aca="false">'Pay Sheet'!B6</f>
        <v>Chipo</v>
      </c>
      <c r="C4" s="37" t="str">
        <f aca="false">'Pay Sheet'!C6</f>
        <v>Mhlanga</v>
      </c>
      <c r="D4" s="229" t="n">
        <f aca="false">'Pay Sheet'!Z6</f>
        <v>15.608990975872</v>
      </c>
      <c r="E4" s="46" t="n">
        <f aca="false">'Pay Sheet'!AA6</f>
        <v>416.683575</v>
      </c>
      <c r="F4" s="46"/>
      <c r="G4" s="55" t="n">
        <f aca="false">E4</f>
        <v>416.683575</v>
      </c>
      <c r="H4" s="55"/>
      <c r="I4" s="55" t="n">
        <f aca="false">SUM(E4:G4)</f>
        <v>833.36715</v>
      </c>
    </row>
    <row r="5" customFormat="false" ht="15.75" hidden="false" customHeight="true" outlineLevel="0" collapsed="false">
      <c r="A5" s="23" t="str">
        <f aca="false">'Pay Sheet'!A7</f>
        <v>AES-E002</v>
      </c>
      <c r="B5" s="66" t="str">
        <f aca="false">'Pay Sheet'!B7</f>
        <v>Tonderayi</v>
      </c>
      <c r="C5" s="37" t="str">
        <f aca="false">'Pay Sheet'!C7</f>
        <v>Zendera</v>
      </c>
      <c r="D5" s="229" t="n">
        <f aca="false">'Pay Sheet'!Z7</f>
        <v>15.608990975872</v>
      </c>
      <c r="E5" s="46" t="n">
        <f aca="false">'Pay Sheet'!AA7</f>
        <v>416.683575</v>
      </c>
      <c r="F5" s="46"/>
      <c r="G5" s="55" t="n">
        <f aca="false">E5</f>
        <v>416.683575</v>
      </c>
      <c r="H5" s="55"/>
      <c r="I5" s="55" t="n">
        <f aca="false">SUM(E5:G5)</f>
        <v>833.36715</v>
      </c>
    </row>
    <row r="6" customFormat="false" ht="15.75" hidden="false" customHeight="true" outlineLevel="0" collapsed="false">
      <c r="A6" s="23" t="str">
        <f aca="false">'Pay Sheet'!A8</f>
        <v>AES-E003</v>
      </c>
      <c r="B6" s="66" t="str">
        <f aca="false">'Pay Sheet'!B8</f>
        <v>Tadiwanashe </v>
      </c>
      <c r="C6" s="37" t="str">
        <f aca="false">'Pay Sheet'!C8</f>
        <v>Hungwe</v>
      </c>
      <c r="D6" s="229" t="n">
        <f aca="false">'Pay Sheet'!Z8</f>
        <v>15.608990975872</v>
      </c>
      <c r="E6" s="46" t="n">
        <f aca="false">'Pay Sheet'!AA8</f>
        <v>416.683575</v>
      </c>
      <c r="F6" s="46"/>
      <c r="G6" s="55" t="n">
        <f aca="false">E6</f>
        <v>416.683575</v>
      </c>
      <c r="H6" s="55"/>
      <c r="I6" s="55" t="n">
        <f aca="false">SUM(E6:G6)</f>
        <v>833.36715</v>
      </c>
    </row>
    <row r="7" customFormat="false" ht="15.75" hidden="false" customHeight="true" outlineLevel="0" collapsed="false">
      <c r="B7" s="91" t="s">
        <v>115</v>
      </c>
      <c r="C7" s="88" t="s">
        <v>116</v>
      </c>
      <c r="D7" s="37"/>
      <c r="E7" s="46" t="n">
        <f aca="false">'Pay Sheet'!AA9</f>
        <v>202.39157016</v>
      </c>
      <c r="G7" s="102" t="n">
        <f aca="false">E7</f>
        <v>202.39157016</v>
      </c>
      <c r="H7" s="102"/>
      <c r="I7" s="102" t="n">
        <f aca="false">SUM(E7:G7)</f>
        <v>404.78314032</v>
      </c>
    </row>
    <row r="8" customFormat="false" ht="15.75" hidden="false" customHeight="true" outlineLevel="0" collapsed="false">
      <c r="B8" s="91"/>
      <c r="C8" s="88"/>
      <c r="D8" s="88"/>
      <c r="E8" s="2" t="n">
        <f aca="false">SUM(E2:E7)</f>
        <v>2109.38177016</v>
      </c>
      <c r="G8" s="2" t="n">
        <f aca="false">SUM(G2:G7)</f>
        <v>2109.38177016</v>
      </c>
      <c r="H8" s="2"/>
      <c r="I8" s="102" t="n">
        <f aca="false">SUM(E8:G8)</f>
        <v>4218.76354032</v>
      </c>
    </row>
    <row r="9" customFormat="false" ht="15" hidden="false" customHeight="false" outlineLevel="0" collapsed="false">
      <c r="G9" s="1" t="s">
        <v>37</v>
      </c>
      <c r="I9" s="102" t="n">
        <f aca="false">SUM(I2:I8)</f>
        <v>8437.52708064</v>
      </c>
    </row>
    <row r="10" customFormat="false" ht="15" hidden="false" customHeight="false" outlineLevel="0" collapsed="false">
      <c r="G10" s="1" t="s">
        <v>186</v>
      </c>
      <c r="I10" s="102" t="n">
        <f aca="false">I9*0.0177</f>
        <v>149.344229327328</v>
      </c>
    </row>
    <row r="11" customFormat="false" ht="15.75" hidden="false" customHeight="true" outlineLevel="0" collapsed="false">
      <c r="G11" s="21" t="s">
        <v>187</v>
      </c>
      <c r="H11" s="21"/>
      <c r="I11" s="226" t="n">
        <f aca="false">I9+I10</f>
        <v>8586.87130996733</v>
      </c>
    </row>
    <row r="12" customFormat="false" ht="15.75" hidden="false" customHeight="true" outlineLevel="0" collapsed="false"/>
    <row r="13" customFormat="false" ht="15" hidden="false" customHeight="false" outlineLevel="0" collapsed="false">
      <c r="I13" s="102" t="n">
        <f aca="false">G8+I10</f>
        <v>2258.72599948733</v>
      </c>
    </row>
    <row r="16" customFormat="false" ht="15" hidden="false" customHeight="false" outlineLevel="0" collapsed="false">
      <c r="I16" s="10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1" width="16.29"/>
    <col collapsed="false" customWidth="true" hidden="false" outlineLevel="0" max="3" min="3" style="1" width="13.29"/>
    <col collapsed="false" customWidth="true" hidden="false" outlineLevel="0" max="4" min="4" style="1" width="11.43"/>
    <col collapsed="false" customWidth="true" hidden="false" outlineLevel="0" max="6" min="5" style="1" width="11.14"/>
    <col collapsed="false" customWidth="true" hidden="false" outlineLevel="0" max="7" min="7" style="1" width="13.15"/>
    <col collapsed="false" customWidth="true" hidden="false" outlineLevel="0" max="8" min="8" style="1" width="12.29"/>
    <col collapsed="false" customWidth="true" hidden="false" outlineLevel="0" max="9" min="9" style="1" width="13.57"/>
  </cols>
  <sheetData>
    <row r="1" customFormat="false" ht="15" hidden="false" customHeight="false" outlineLevel="0" collapsed="false">
      <c r="A1" s="230" t="s">
        <v>188</v>
      </c>
      <c r="B1" s="230"/>
      <c r="C1" s="230"/>
      <c r="D1" s="231" t="s">
        <v>35</v>
      </c>
      <c r="E1" s="231"/>
      <c r="F1" s="231"/>
      <c r="G1" s="232" t="s">
        <v>36</v>
      </c>
      <c r="H1" s="232"/>
      <c r="I1" s="232"/>
    </row>
    <row r="2" customFormat="false" ht="15" hidden="false" customHeight="false" outlineLevel="0" collapsed="false">
      <c r="A2" s="23"/>
      <c r="B2" s="24" t="s">
        <v>23</v>
      </c>
      <c r="C2" s="24" t="s">
        <v>24</v>
      </c>
      <c r="D2" s="24" t="s">
        <v>144</v>
      </c>
      <c r="E2" s="24" t="s">
        <v>46</v>
      </c>
      <c r="F2" s="233" t="s">
        <v>37</v>
      </c>
      <c r="G2" s="24" t="s">
        <v>144</v>
      </c>
      <c r="H2" s="24" t="s">
        <v>46</v>
      </c>
      <c r="I2" s="233" t="s">
        <v>37</v>
      </c>
    </row>
    <row r="3" customFormat="false" ht="15.75" hidden="false" customHeight="true" outlineLevel="0" collapsed="false">
      <c r="A3" s="23" t="str">
        <f aca="false">'Pay Sheet'!A4</f>
        <v>AES-E007</v>
      </c>
      <c r="B3" s="66" t="str">
        <f aca="false">'Pay Sheet'!B4</f>
        <v>Talent</v>
      </c>
      <c r="C3" s="37" t="str">
        <f aca="false">'Pay Sheet'!C4</f>
        <v>Hungwe</v>
      </c>
      <c r="D3" s="55" t="n">
        <f aca="false">'Pay Sheet'!AK4</f>
        <v>30.25</v>
      </c>
      <c r="E3" s="55" t="n">
        <f aca="false">'Pay Sheet'!AL4</f>
        <v>0.9075</v>
      </c>
      <c r="F3" s="234" t="n">
        <f aca="false">D3+E3</f>
        <v>31.1575</v>
      </c>
      <c r="G3" s="55" t="n">
        <f aca="false">'Pay Sheet'!AM4</f>
        <v>807.526775</v>
      </c>
      <c r="H3" s="55" t="n">
        <f aca="false">'Pay Sheet'!AN4</f>
        <v>24.22580325</v>
      </c>
      <c r="I3" s="234" t="n">
        <f aca="false">G3+H3</f>
        <v>831.75257825</v>
      </c>
    </row>
    <row r="4" customFormat="false" ht="15.75" hidden="false" customHeight="true" outlineLevel="0" collapsed="false">
      <c r="A4" s="23" t="str">
        <f aca="false">'Pay Sheet'!A5</f>
        <v>AES-E008</v>
      </c>
      <c r="B4" s="66" t="str">
        <f aca="false">'Pay Sheet'!B5</f>
        <v>Knowledge</v>
      </c>
      <c r="C4" s="37" t="str">
        <f aca="false">'Pay Sheet'!C5</f>
        <v>Zvobgo</v>
      </c>
      <c r="D4" s="55" t="n">
        <f aca="false">'Pay Sheet'!AK5</f>
        <v>102.357752256032</v>
      </c>
      <c r="E4" s="55" t="n">
        <f aca="false">'Pay Sheet'!AL5</f>
        <v>3.07073256768096</v>
      </c>
      <c r="F4" s="234" t="n">
        <f aca="false">D4+E4</f>
        <v>105.428484823713</v>
      </c>
      <c r="G4" s="55" t="n">
        <f aca="false">'Pay Sheet'!AM5</f>
        <v>2732.45043225</v>
      </c>
      <c r="H4" s="55" t="n">
        <f aca="false">'Pay Sheet'!AN5</f>
        <v>81.9735129675</v>
      </c>
      <c r="I4" s="234" t="n">
        <f aca="false">G4+H4</f>
        <v>2814.4239452175</v>
      </c>
    </row>
    <row r="5" customFormat="false" ht="15.75" hidden="false" customHeight="true" outlineLevel="0" collapsed="false">
      <c r="A5" s="23" t="str">
        <f aca="false">'Pay Sheet'!A6</f>
        <v>AES-E009</v>
      </c>
      <c r="B5" s="66" t="str">
        <f aca="false">'Pay Sheet'!B6</f>
        <v>Chipo</v>
      </c>
      <c r="C5" s="37" t="str">
        <f aca="false">'Pay Sheet'!C6</f>
        <v>Mhlanga</v>
      </c>
      <c r="D5" s="55" t="n">
        <f aca="false">'Pay Sheet'!AK6</f>
        <v>72.197752256032</v>
      </c>
      <c r="E5" s="55" t="n">
        <f aca="false">'Pay Sheet'!AL6</f>
        <v>2.16593256768096</v>
      </c>
      <c r="F5" s="234" t="n">
        <f aca="false">D5+E5</f>
        <v>74.363684823713</v>
      </c>
      <c r="G5" s="55" t="n">
        <f aca="false">'Pay Sheet'!AM6</f>
        <v>1927.32621625</v>
      </c>
      <c r="H5" s="55" t="n">
        <f aca="false">'Pay Sheet'!AN6</f>
        <v>57.8197864875</v>
      </c>
      <c r="I5" s="234" t="n">
        <f aca="false">G5+H5</f>
        <v>1985.1460027375</v>
      </c>
    </row>
    <row r="6" customFormat="false" ht="15.75" hidden="false" customHeight="true" outlineLevel="0" collapsed="false">
      <c r="A6" s="23" t="str">
        <f aca="false">'Pay Sheet'!A7</f>
        <v>AES-E002</v>
      </c>
      <c r="B6" s="66" t="str">
        <f aca="false">'Pay Sheet'!B7</f>
        <v>Tonderayi</v>
      </c>
      <c r="C6" s="37" t="str">
        <f aca="false">'Pay Sheet'!C7</f>
        <v>Zendera</v>
      </c>
      <c r="D6" s="55" t="n">
        <f aca="false">'Pay Sheet'!AK7</f>
        <v>68.597752256032</v>
      </c>
      <c r="E6" s="55" t="n">
        <f aca="false">'Pay Sheet'!AL7</f>
        <v>2.05793256768096</v>
      </c>
      <c r="F6" s="234" t="n">
        <f aca="false">D6+E6</f>
        <v>70.655684823713</v>
      </c>
      <c r="G6" s="55" t="n">
        <f aca="false">'Pay Sheet'!AM7</f>
        <v>1831.22385625</v>
      </c>
      <c r="H6" s="55" t="n">
        <f aca="false">'Pay Sheet'!AN7</f>
        <v>54.9367156875</v>
      </c>
      <c r="I6" s="234" t="n">
        <f aca="false">G6+H6</f>
        <v>1886.1605719375</v>
      </c>
    </row>
    <row r="7" customFormat="false" ht="15.75" hidden="false" customHeight="true" outlineLevel="0" collapsed="false">
      <c r="A7" s="23" t="str">
        <f aca="false">'Pay Sheet'!A8</f>
        <v>AES-E003</v>
      </c>
      <c r="B7" s="66" t="str">
        <f aca="false">'Pay Sheet'!B8</f>
        <v>Tadiwanashe </v>
      </c>
      <c r="C7" s="37" t="str">
        <f aca="false">'Pay Sheet'!C8</f>
        <v>Hungwe</v>
      </c>
      <c r="D7" s="55" t="n">
        <f aca="false">'Pay Sheet'!AK8</f>
        <v>72.197752256032</v>
      </c>
      <c r="E7" s="55" t="n">
        <f aca="false">'Pay Sheet'!AL8</f>
        <v>2.16593256768096</v>
      </c>
      <c r="F7" s="234" t="n">
        <f aca="false">D7+E7</f>
        <v>74.363684823713</v>
      </c>
      <c r="G7" s="55" t="n">
        <f aca="false">'Pay Sheet'!AM8</f>
        <v>1927.32621625</v>
      </c>
      <c r="H7" s="55" t="n">
        <f aca="false">'Pay Sheet'!AN8</f>
        <v>57.8197864875</v>
      </c>
      <c r="I7" s="234" t="n">
        <f aca="false">G7+H7</f>
        <v>1985.1460027375</v>
      </c>
    </row>
    <row r="8" customFormat="false" ht="15.75" hidden="false" customHeight="true" outlineLevel="0" collapsed="false">
      <c r="A8" s="23" t="str">
        <f aca="false">'Pay Sheet'!A9</f>
        <v>AES-E004</v>
      </c>
      <c r="B8" s="66" t="str">
        <f aca="false">'Pay Sheet'!B9</f>
        <v>Nokutenda</v>
      </c>
      <c r="C8" s="37" t="str">
        <f aca="false">'Pay Sheet'!C9</f>
        <v>Marimo</v>
      </c>
      <c r="D8" s="55" t="n">
        <f aca="false">'Pay Sheet'!AK9</f>
        <v>22.7246</v>
      </c>
      <c r="E8" s="235"/>
      <c r="F8" s="236"/>
      <c r="G8" s="235"/>
      <c r="H8" s="235"/>
      <c r="I8" s="236"/>
    </row>
    <row r="9" customFormat="false" ht="15.75" hidden="false" customHeight="true" outlineLevel="0" collapsed="false">
      <c r="A9" s="23" t="str">
        <f aca="false">'Pay Sheet'!A10</f>
        <v>AES-E006</v>
      </c>
      <c r="B9" s="66" t="str">
        <f aca="false">'Pay Sheet'!B10</f>
        <v>Lovemore </v>
      </c>
      <c r="C9" s="37" t="str">
        <f aca="false">'Pay Sheet'!C10</f>
        <v>Makoni</v>
      </c>
      <c r="D9" s="55" t="n">
        <f aca="false">'Pay Sheet'!AK10</f>
        <v>316.250210766869</v>
      </c>
      <c r="E9" s="235"/>
      <c r="F9" s="236"/>
      <c r="G9" s="235"/>
      <c r="H9" s="235"/>
      <c r="I9" s="236"/>
    </row>
    <row r="10" customFormat="false" ht="15.75" hidden="false" customHeight="true" outlineLevel="0" collapsed="false">
      <c r="B10" s="91"/>
      <c r="C10" s="88"/>
      <c r="D10" s="235"/>
      <c r="E10" s="235"/>
      <c r="F10" s="236"/>
      <c r="G10" s="235"/>
      <c r="H10" s="235"/>
      <c r="I10" s="236"/>
    </row>
    <row r="11" customFormat="false" ht="15.75" hidden="false" customHeight="true" outlineLevel="0" collapsed="false">
      <c r="C11" s="21" t="s">
        <v>37</v>
      </c>
      <c r="D11" s="226" t="n">
        <f aca="false">SUM(D3:D5)</f>
        <v>204.805504512064</v>
      </c>
      <c r="E11" s="226" t="n">
        <f aca="false">SUM(E3:E5)</f>
        <v>6.14416513536192</v>
      </c>
      <c r="F11" s="237" t="n">
        <f aca="false">SUM(F3:F5)</f>
        <v>210.949669647426</v>
      </c>
      <c r="G11" s="226" t="n">
        <f aca="false">SUM(G3:G5)</f>
        <v>5467.3034235</v>
      </c>
      <c r="H11" s="226" t="n">
        <f aca="false">SUM(H3:H5)</f>
        <v>164.019102705</v>
      </c>
      <c r="I11" s="237" t="n">
        <f aca="false">SUM(I3:I5)</f>
        <v>5631.322526205</v>
      </c>
    </row>
    <row r="12" customFormat="false" ht="15.75" hidden="false" customHeight="true" outlineLevel="0" collapsed="false"/>
  </sheetData>
  <mergeCells count="3">
    <mergeCell ref="A1:C1"/>
    <mergeCell ref="D1:F1"/>
    <mergeCell ref="G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1.85"/>
    <col collapsed="false" customWidth="true" hidden="false" outlineLevel="0" max="3" min="3" style="1" width="23.71"/>
    <col collapsed="false" customWidth="true" hidden="false" outlineLevel="0" max="4" min="4" style="1" width="10.29"/>
    <col collapsed="false" customWidth="true" hidden="false" outlineLevel="0" max="5" min="5" style="1" width="15.14"/>
    <col collapsed="false" customWidth="true" hidden="false" outlineLevel="0" max="6" min="6" style="2" width="11.71"/>
    <col collapsed="false" customWidth="true" hidden="false" outlineLevel="0" max="7" min="7" style="2" width="16.85"/>
    <col collapsed="false" customWidth="true" hidden="false" outlineLevel="0" max="8" min="8" style="2" width="13.86"/>
    <col collapsed="false" customWidth="true" hidden="false" outlineLevel="0" max="9" min="9" style="2" width="13.71"/>
  </cols>
  <sheetData>
    <row r="1" customFormat="false" ht="15" hidden="false" customHeight="false" outlineLevel="0" collapsed="false">
      <c r="C1" s="21" t="s">
        <v>189</v>
      </c>
    </row>
    <row r="2" customFormat="false" ht="15" hidden="false" customHeight="false" outlineLevel="0" collapsed="false">
      <c r="D2" s="21" t="s">
        <v>6</v>
      </c>
      <c r="F2" s="2" t="s">
        <v>190</v>
      </c>
      <c r="G2" s="3" t="n">
        <f aca="false">'Pay Sheet'!C2</f>
        <v>26.6951</v>
      </c>
    </row>
    <row r="3" customFormat="false" ht="15" hidden="false" customHeight="false" outlineLevel="0" collapsed="false">
      <c r="A3" s="24" t="s">
        <v>191</v>
      </c>
      <c r="B3" s="24" t="s">
        <v>23</v>
      </c>
      <c r="C3" s="24" t="s">
        <v>24</v>
      </c>
      <c r="D3" s="238" t="s">
        <v>35</v>
      </c>
      <c r="E3" s="238" t="s">
        <v>36</v>
      </c>
      <c r="F3" s="239" t="s">
        <v>192</v>
      </c>
      <c r="G3" s="239" t="s">
        <v>193</v>
      </c>
      <c r="H3" s="239" t="s">
        <v>194</v>
      </c>
      <c r="I3" s="239" t="s">
        <v>195</v>
      </c>
    </row>
    <row r="4" customFormat="false" ht="15" hidden="false" customHeight="false" outlineLevel="0" collapsed="false">
      <c r="A4" s="23" t="str">
        <f aca="false">'Pay Sheet'!A4</f>
        <v>AES-E007</v>
      </c>
      <c r="B4" s="23" t="str">
        <f aca="false">'Pay Sheet'!B4</f>
        <v>Talent</v>
      </c>
      <c r="C4" s="23" t="str">
        <f aca="false">'Pay Sheet'!C4</f>
        <v>Hungwe</v>
      </c>
      <c r="D4" s="55" t="n">
        <f aca="false">'Pay Sheet'!W4</f>
        <v>200</v>
      </c>
      <c r="E4" s="55" t="n">
        <f aca="false">'Pay Sheet'!X4</f>
        <v>5339.02</v>
      </c>
      <c r="F4" s="46" t="n">
        <f aca="false">'Pay Sheet'!Y4</f>
        <v>480.5118</v>
      </c>
      <c r="G4" s="46" t="n">
        <f aca="false">D4*$G$2</f>
        <v>5339.02</v>
      </c>
      <c r="H4" s="46" t="n">
        <f aca="false">E4+F4+G4</f>
        <v>11158.5518</v>
      </c>
      <c r="I4" s="46" t="n">
        <f aca="false">H4*0.01</f>
        <v>111.585518</v>
      </c>
    </row>
    <row r="5" customFormat="false" ht="15" hidden="false" customHeight="false" outlineLevel="0" collapsed="false">
      <c r="A5" s="23" t="str">
        <f aca="false">'Pay Sheet'!A5</f>
        <v>AES-E008</v>
      </c>
      <c r="B5" s="23" t="str">
        <f aca="false">'Pay Sheet'!B5</f>
        <v>Knowledge</v>
      </c>
      <c r="C5" s="23" t="str">
        <f aca="false">'Pay Sheet'!C5</f>
        <v>Zvobgo</v>
      </c>
      <c r="D5" s="55" t="n">
        <f aca="false">'Pay Sheet'!W5</f>
        <v>495.04</v>
      </c>
      <c r="E5" s="55" t="n">
        <f aca="false">'Pay Sheet'!X5</f>
        <v>13215.142304</v>
      </c>
      <c r="F5" s="46" t="n">
        <f aca="false">'Pay Sheet'!Y5</f>
        <v>833.36715</v>
      </c>
      <c r="G5" s="46" t="n">
        <f aca="false">D5*$G$2</f>
        <v>13215.142304</v>
      </c>
      <c r="H5" s="46" t="n">
        <f aca="false">E5+F5+G5</f>
        <v>27263.651758</v>
      </c>
      <c r="I5" s="46" t="n">
        <f aca="false">H5*0.01</f>
        <v>272.63651758</v>
      </c>
    </row>
    <row r="6" customFormat="false" ht="15" hidden="false" customHeight="false" outlineLevel="0" collapsed="false">
      <c r="A6" s="23" t="str">
        <f aca="false">'Pay Sheet'!A6</f>
        <v>AES-E009</v>
      </c>
      <c r="B6" s="23" t="str">
        <f aca="false">'Pay Sheet'!B6</f>
        <v>Chipo</v>
      </c>
      <c r="C6" s="23" t="str">
        <f aca="false">'Pay Sheet'!C6</f>
        <v>Mhlanga</v>
      </c>
      <c r="D6" s="55" t="n">
        <f aca="false">'Pay Sheet'!W6</f>
        <v>374.4</v>
      </c>
      <c r="E6" s="55" t="n">
        <f aca="false">'Pay Sheet'!X6</f>
        <v>9994.64544</v>
      </c>
      <c r="F6" s="46" t="n">
        <f aca="false">'Pay Sheet'!Y6</f>
        <v>833.36715</v>
      </c>
      <c r="G6" s="46" t="n">
        <f aca="false">D6*$G$2</f>
        <v>9994.64544</v>
      </c>
      <c r="H6" s="46" t="n">
        <f aca="false">E6+F6+G6</f>
        <v>20822.65803</v>
      </c>
      <c r="I6" s="46" t="n">
        <f aca="false">H6*0.01</f>
        <v>208.2265803</v>
      </c>
    </row>
    <row r="7" customFormat="false" ht="15" hidden="false" customHeight="false" outlineLevel="0" collapsed="false">
      <c r="A7" s="23" t="str">
        <f aca="false">'Pay Sheet'!A7</f>
        <v>AES-E002</v>
      </c>
      <c r="B7" s="23" t="str">
        <f aca="false">'Pay Sheet'!B7</f>
        <v>Tonderayi</v>
      </c>
      <c r="C7" s="23" t="str">
        <f aca="false">'Pay Sheet'!C7</f>
        <v>Zendera</v>
      </c>
      <c r="D7" s="55" t="n">
        <f aca="false">'Pay Sheet'!W7</f>
        <v>360</v>
      </c>
      <c r="E7" s="55" t="n">
        <f aca="false">'Pay Sheet'!X7</f>
        <v>9610.236</v>
      </c>
      <c r="F7" s="46" t="n">
        <f aca="false">'Pay Sheet'!Y7</f>
        <v>833.36715</v>
      </c>
      <c r="G7" s="46" t="n">
        <f aca="false">D7*$G$2</f>
        <v>9610.236</v>
      </c>
      <c r="H7" s="46" t="n">
        <f aca="false">E7+F7+G7</f>
        <v>20053.83915</v>
      </c>
      <c r="I7" s="46" t="n">
        <f aca="false">H7*0.01</f>
        <v>200.5383915</v>
      </c>
    </row>
    <row r="8" customFormat="false" ht="15" hidden="false" customHeight="false" outlineLevel="0" collapsed="false">
      <c r="A8" s="23" t="str">
        <f aca="false">'Pay Sheet'!A8</f>
        <v>AES-E003</v>
      </c>
      <c r="B8" s="23" t="str">
        <f aca="false">'Pay Sheet'!B8</f>
        <v>Tadiwanashe </v>
      </c>
      <c r="C8" s="23" t="str">
        <f aca="false">'Pay Sheet'!C8</f>
        <v>Hungwe</v>
      </c>
      <c r="D8" s="55" t="n">
        <f aca="false">'Pay Sheet'!W8</f>
        <v>374.4</v>
      </c>
      <c r="E8" s="55" t="n">
        <f aca="false">'Pay Sheet'!X8</f>
        <v>9994.64544</v>
      </c>
      <c r="F8" s="46" t="n">
        <f aca="false">'Pay Sheet'!Y8</f>
        <v>833.36715</v>
      </c>
      <c r="G8" s="46" t="n">
        <f aca="false">D8*$G$2</f>
        <v>9994.64544</v>
      </c>
      <c r="H8" s="46" t="n">
        <f aca="false">E8+F8+G8</f>
        <v>20822.65803</v>
      </c>
      <c r="I8" s="46" t="n">
        <f aca="false">H8*0.01</f>
        <v>208.2265803</v>
      </c>
    </row>
    <row r="9" customFormat="false" ht="15.75" hidden="false" customHeight="true" outlineLevel="0" collapsed="false">
      <c r="B9" s="21" t="s">
        <v>37</v>
      </c>
      <c r="C9" s="21"/>
      <c r="D9" s="240" t="n">
        <f aca="false">SUM(D4:D8)</f>
        <v>1803.84</v>
      </c>
      <c r="E9" s="222" t="n">
        <f aca="false">SUM(E4:E6)</f>
        <v>28548.807744</v>
      </c>
      <c r="F9" s="222" t="n">
        <f aca="false">SUM(F4:F6)</f>
        <v>2147.2461</v>
      </c>
      <c r="G9" s="222" t="n">
        <f aca="false">SUM(G4:G6)</f>
        <v>28548.807744</v>
      </c>
      <c r="H9" s="222" t="n">
        <f aca="false">SUM(H4:H6)</f>
        <v>59244.861588</v>
      </c>
      <c r="I9" s="106" t="n">
        <f aca="false">SUM(I4:I6)</f>
        <v>592.44861588</v>
      </c>
    </row>
    <row r="1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7.71"/>
    <col collapsed="false" customWidth="true" hidden="false" outlineLevel="0" max="2" min="2" style="1" width="12.57"/>
    <col collapsed="false" customWidth="true" hidden="false" outlineLevel="0" max="3" min="3" style="1" width="15"/>
    <col collapsed="false" customWidth="true" hidden="false" outlineLevel="0" max="4" min="4" style="1" width="13.86"/>
    <col collapsed="false" customWidth="true" hidden="false" outlineLevel="0" max="5" min="5" style="1" width="15.14"/>
  </cols>
  <sheetData>
    <row r="1" customFormat="false" ht="15" hidden="false" customHeight="false" outlineLevel="0" collapsed="false">
      <c r="A1" s="23"/>
      <c r="B1" s="220" t="s">
        <v>140</v>
      </c>
      <c r="C1" s="220"/>
      <c r="D1" s="220" t="s">
        <v>36</v>
      </c>
      <c r="E1" s="220"/>
    </row>
    <row r="2" customFormat="false" ht="15" hidden="false" customHeight="false" outlineLevel="0" collapsed="false">
      <c r="A2" s="24" t="s">
        <v>188</v>
      </c>
      <c r="B2" s="24" t="s">
        <v>196</v>
      </c>
      <c r="C2" s="24" t="s">
        <v>197</v>
      </c>
      <c r="D2" s="24" t="s">
        <v>196</v>
      </c>
      <c r="E2" s="24" t="s">
        <v>197</v>
      </c>
    </row>
    <row r="3" customFormat="false" ht="15" hidden="false" customHeight="false" outlineLevel="0" collapsed="false">
      <c r="A3" s="23" t="s">
        <v>198</v>
      </c>
      <c r="B3" s="55" t="n">
        <f aca="false">'Pay Sheet'!W13</f>
        <v>1972.32</v>
      </c>
      <c r="C3" s="23"/>
      <c r="D3" s="55" t="n">
        <f aca="false">'Pay Sheet'!X13</f>
        <v>52651.279632</v>
      </c>
      <c r="E3" s="23"/>
    </row>
    <row r="4" customFormat="false" ht="15" hidden="false" customHeight="false" outlineLevel="0" collapsed="false">
      <c r="A4" s="23" t="s">
        <v>39</v>
      </c>
      <c r="B4" s="23"/>
      <c r="C4" s="55"/>
      <c r="D4" s="23"/>
      <c r="E4" s="55" t="n">
        <f aca="false">'Pay Sheet'!Y13</f>
        <v>4218.76354032</v>
      </c>
    </row>
    <row r="5" customFormat="false" ht="15" hidden="false" customHeight="false" outlineLevel="0" collapsed="false">
      <c r="A5" s="23" t="s">
        <v>144</v>
      </c>
      <c r="B5" s="23"/>
      <c r="C5" s="55" t="n">
        <f aca="false">'Pay Sheet'!AK13+'Pay Sheet'!AL13</f>
        <v>379.375377294852</v>
      </c>
      <c r="D5" s="23"/>
      <c r="E5" s="55" t="n">
        <f aca="false">'Pay Sheet'!AM13+'Pay Sheet'!AN13</f>
        <v>10127.4636344238</v>
      </c>
    </row>
    <row r="6" customFormat="false" ht="15" hidden="false" customHeight="false" outlineLevel="0" collapsed="false">
      <c r="A6" s="23" t="s">
        <v>49</v>
      </c>
      <c r="B6" s="23"/>
      <c r="C6" s="23"/>
      <c r="D6" s="23"/>
      <c r="E6" s="23"/>
    </row>
    <row r="7" customFormat="false" ht="15" hidden="false" customHeight="false" outlineLevel="0" collapsed="false">
      <c r="A7" s="23" t="s">
        <v>199</v>
      </c>
      <c r="B7" s="23"/>
      <c r="C7" s="23"/>
      <c r="D7" s="23"/>
      <c r="E7" s="23"/>
    </row>
    <row r="8" customFormat="false" ht="15" hidden="false" customHeight="false" outlineLevel="0" collapsed="false">
      <c r="A8" s="23" t="s">
        <v>200</v>
      </c>
      <c r="B8" s="23"/>
      <c r="C8" s="55" t="n">
        <f aca="false">'Pay Sheet'!AO13</f>
        <v>1513.92705880166</v>
      </c>
      <c r="D8" s="23"/>
      <c r="E8" s="55" t="n">
        <f aca="false">'Pay Sheet'!AW13</f>
        <v>47451.2774855301</v>
      </c>
    </row>
    <row r="9" customFormat="false" ht="15" hidden="false" customHeight="false" outlineLevel="0" collapsed="false">
      <c r="A9" s="23" t="s">
        <v>201</v>
      </c>
      <c r="B9" s="23"/>
      <c r="C9" s="23"/>
      <c r="D9" s="23"/>
      <c r="E9" s="23"/>
    </row>
    <row r="10" customFormat="false" ht="15" hidden="false" customHeight="false" outlineLevel="0" collapsed="false">
      <c r="A10" s="23" t="s">
        <v>47</v>
      </c>
      <c r="B10" s="23"/>
      <c r="C10" s="55"/>
      <c r="D10" s="23"/>
      <c r="E10" s="55"/>
    </row>
    <row r="11" customFormat="false" ht="15" hidden="false" customHeight="false" outlineLevel="0" collapsed="false">
      <c r="A11" s="23" t="s">
        <v>43</v>
      </c>
      <c r="B11" s="23"/>
      <c r="C11" s="23"/>
      <c r="D11" s="23"/>
      <c r="E11" s="55"/>
    </row>
    <row r="12" customFormat="false" ht="15.75" hidden="false" customHeight="true" outlineLevel="0" collapsed="false">
      <c r="A12" s="21" t="s">
        <v>121</v>
      </c>
      <c r="B12" s="226" t="n">
        <f aca="false">SUM(B3:B11)</f>
        <v>1972.32</v>
      </c>
      <c r="C12" s="226" t="n">
        <f aca="false">SUM(C3:C11)</f>
        <v>1893.30243609651</v>
      </c>
      <c r="D12" s="226" t="n">
        <f aca="false">SUM(D3:D11)</f>
        <v>52651.279632</v>
      </c>
      <c r="E12" s="226" t="n">
        <f aca="false">SUM(E3:E11)</f>
        <v>61797.5046602739</v>
      </c>
    </row>
    <row r="13" customFormat="false" ht="15.75" hidden="false" customHeight="true" outlineLevel="0" collapsed="false"/>
  </sheetData>
  <mergeCells count="2">
    <mergeCell ref="B1:C1"/>
    <mergeCell ref="D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2021-08-24T18:54:55Z</dcterms:created>
  <dc:creator>Beaven</dc:creator>
  <dc:description/>
  <dc:language>en-US</dc:language>
  <cp:lastModifiedBy>Beaven</cp:lastModifiedBy>
  <cp:lastPrinted>2025-01-30T13:27:24Z</cp:lastPrinted>
  <dcterms:modified xsi:type="dcterms:W3CDTF">2026-07-24T16:02:32Z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
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ysheet" sheetId="1" state="visible" r:id="rId3"/>
    <sheet name=" Payslip 1" sheetId="2" state="visible" r:id="rId4"/>
    <sheet name="Payslip 2" sheetId="3" state="visible" r:id="rId5"/>
    <sheet name="Bank Schedule" sheetId="4" state="visible" r:id="rId6"/>
    <sheet name="NSSA" sheetId="5" state="visible" r:id="rId7"/>
    <sheet name="PAYE" sheetId="6" state="visible" r:id="rId8"/>
    <sheet name="Nyaradzo" sheetId="7" state="visible" r:id="rId9"/>
    <sheet name="Nyaradzo Workings" sheetId="8" state="visible" r:id="rId10"/>
    <sheet name="Zimdef" sheetId="9" state="visible" r:id="rId11"/>
    <sheet name="MIPF" sheetId="10" state="visible" r:id="rId12"/>
    <sheet name="NEC" sheetId="11" state="visible" r:id="rId13"/>
    <sheet name="Sage Journal Entry" sheetId="12" state="visible" r:id="rId14"/>
  </sheets>
  <definedNames>
    <definedName function="false" hidden="false" localSheetId="1" name="_xlnm.Print_Area" vbProcedure="false">' Payslip 1'!$A$1:$K$60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<sst xmlns="http://schemas.openxmlformats.org/spreadsheetml/2006/main" count="1446" uniqueCount="585">
  <si>
    <t xml:space="preserve">tax ratio</t>
  </si>
  <si>
    <t xml:space="preserve">Refer to leave section</t>
  </si>
  <si>
    <t xml:space="preserve">Rate</t>
  </si>
  <si>
    <t xml:space="preserve">Garnish Believe Mhererwa</t>
  </si>
  <si>
    <t xml:space="preserve">Exchange rate </t>
  </si>
  <si>
    <t xml:space="preserve">USD/ZWL</t>
  </si>
  <si>
    <t xml:space="preserve">Basic</t>
  </si>
  <si>
    <t xml:space="preserve"> Allowances</t>
  </si>
  <si>
    <t xml:space="preserve">CILL</t>
  </si>
  <si>
    <t xml:space="preserve">Bonus</t>
  </si>
  <si>
    <t xml:space="preserve">USD/ZIG</t>
  </si>
  <si>
    <t xml:space="preserve">Gross</t>
  </si>
  <si>
    <t xml:space="preserve">Allowable Deductions</t>
  </si>
  <si>
    <t xml:space="preserve">Taxable Income</t>
  </si>
  <si>
    <t xml:space="preserve">Total Taxable in</t>
  </si>
  <si>
    <t xml:space="preserve">PAYE in</t>
  </si>
  <si>
    <t xml:space="preserve">Tax Credits</t>
  </si>
  <si>
    <t xml:space="preserve">Net PAYE </t>
  </si>
  <si>
    <t xml:space="preserve">PAYE USD</t>
  </si>
  <si>
    <t xml:space="preserve">PAYE ZIG</t>
  </si>
  <si>
    <t xml:space="preserve">Salary After Tax </t>
  </si>
  <si>
    <t xml:space="preserve">Other Deductions</t>
  </si>
  <si>
    <t xml:space="preserve">Advances</t>
  </si>
  <si>
    <t xml:space="preserve">Net Salary</t>
  </si>
  <si>
    <t xml:space="preserve">Tax Table USD</t>
  </si>
  <si>
    <t xml:space="preserve">ZWL</t>
  </si>
  <si>
    <t xml:space="preserve">USD</t>
  </si>
  <si>
    <t xml:space="preserve">Leave Days</t>
  </si>
  <si>
    <t xml:space="preserve">Works #</t>
  </si>
  <si>
    <t xml:space="preserve">Netsai</t>
  </si>
  <si>
    <t xml:space="preserve">Nhemachena</t>
  </si>
  <si>
    <t xml:space="preserve">National 78-171262Y32</t>
  </si>
  <si>
    <t xml:space="preserve">Pay Date</t>
  </si>
  <si>
    <t xml:space="preserve">Station</t>
  </si>
  <si>
    <t xml:space="preserve">Occupation</t>
  </si>
  <si>
    <t xml:space="preserve">Grade</t>
  </si>
  <si>
    <t xml:space="preserve">NSSA Number</t>
  </si>
  <si>
    <t xml:space="preserve"> RATIO</t>
  </si>
  <si>
    <t xml:space="preserve">Period</t>
  </si>
  <si>
    <t xml:space="preserve">Hours</t>
  </si>
  <si>
    <t xml:space="preserve">Rate/hr</t>
  </si>
  <si>
    <t xml:space="preserve">UG Shifts</t>
  </si>
  <si>
    <t xml:space="preserve">NS Hours</t>
  </si>
  <si>
    <t xml:space="preserve">COLA</t>
  </si>
  <si>
    <t xml:space="preserve">Underground</t>
  </si>
  <si>
    <t xml:space="preserve">Night Shift</t>
  </si>
  <si>
    <t xml:space="preserve">Project/Acting</t>
  </si>
  <si>
    <t xml:space="preserve">Overtime @2</t>
  </si>
  <si>
    <t xml:space="preserve">Overtime @1.5</t>
  </si>
  <si>
    <t xml:space="preserve">Hours @2</t>
  </si>
  <si>
    <t xml:space="preserve">Hours @1.5</t>
  </si>
  <si>
    <t xml:space="preserve">Days sold</t>
  </si>
  <si>
    <t xml:space="preserve">Gratuity</t>
  </si>
  <si>
    <t xml:space="preserve">Ratio</t>
  </si>
  <si>
    <t xml:space="preserve">Total</t>
  </si>
  <si>
    <t xml:space="preserve">usd</t>
  </si>
  <si>
    <t xml:space="preserve">NSSA</t>
  </si>
  <si>
    <t xml:space="preserve">NSSA USD</t>
  </si>
  <si>
    <t xml:space="preserve">NSSA ZIG</t>
  </si>
  <si>
    <t xml:space="preserve">MIPF </t>
  </si>
  <si>
    <t xml:space="preserve">NEC</t>
  </si>
  <si>
    <t xml:space="preserve">Non Taxable Bonus</t>
  </si>
  <si>
    <t xml:space="preserve">ZIG</t>
  </si>
  <si>
    <t xml:space="preserve">PAYE  </t>
  </si>
  <si>
    <t xml:space="preserve">AIDS LEVY</t>
  </si>
  <si>
    <t xml:space="preserve">Nyaradzo</t>
  </si>
  <si>
    <t xml:space="preserve">CBZ Life</t>
  </si>
  <si>
    <t xml:space="preserve">Maint ZIG</t>
  </si>
  <si>
    <t xml:space="preserve">Maint USD</t>
  </si>
  <si>
    <t xml:space="preserve">Funeral Assist ZIG</t>
  </si>
  <si>
    <t xml:space="preserve">Loan Repayment ZIG</t>
  </si>
  <si>
    <t xml:space="preserve">Loan Repayment USD</t>
  </si>
  <si>
    <t xml:space="preserve">Funeral USD</t>
  </si>
  <si>
    <t xml:space="preserve">May Day (USD)</t>
  </si>
  <si>
    <t xml:space="preserve">USD </t>
  </si>
  <si>
    <t xml:space="preserve">0-100</t>
  </si>
  <si>
    <t xml:space="preserve">100.01-300</t>
  </si>
  <si>
    <t xml:space="preserve">300.01-1000</t>
  </si>
  <si>
    <t xml:space="preserve">1000.01-2000</t>
  </si>
  <si>
    <t xml:space="preserve">2000.01-3000</t>
  </si>
  <si>
    <t xml:space="preserve">3000 and Above</t>
  </si>
  <si>
    <t xml:space="preserve">Bank</t>
  </si>
  <si>
    <t xml:space="preserve">Branch </t>
  </si>
  <si>
    <t xml:space="preserve">Account Number</t>
  </si>
  <si>
    <t xml:space="preserve">Opening</t>
  </si>
  <si>
    <t xml:space="preserve">Acrued </t>
  </si>
  <si>
    <t xml:space="preserve">Taken</t>
  </si>
  <si>
    <t xml:space="preserve">Closing</t>
  </si>
  <si>
    <t xml:space="preserve">Daily Rate</t>
  </si>
  <si>
    <t xml:space="preserve">Value of  days</t>
  </si>
  <si>
    <t xml:space="preserve">AES-E046</t>
  </si>
  <si>
    <t xml:space="preserve">Tarisai</t>
  </si>
  <si>
    <t xml:space="preserve">Zinyama</t>
  </si>
  <si>
    <t xml:space="preserve">53-225710V33</t>
  </si>
  <si>
    <t xml:space="preserve">Mimosa</t>
  </si>
  <si>
    <t xml:space="preserve">Site Manager</t>
  </si>
  <si>
    <t xml:space="preserve">J</t>
  </si>
  <si>
    <t xml:space="preserve">9683481Q</t>
  </si>
  <si>
    <t xml:space="preserve">3/2025</t>
  </si>
  <si>
    <t xml:space="preserve">FBC</t>
  </si>
  <si>
    <t xml:space="preserve">Zvishavane</t>
  </si>
  <si>
    <t xml:space="preserve">8374810963284</t>
  </si>
  <si>
    <t xml:space="preserve">4591712639586</t>
  </si>
  <si>
    <t xml:space="preserve">AES-E049</t>
  </si>
  <si>
    <t xml:space="preserve">Marvellous</t>
  </si>
  <si>
    <t xml:space="preserve">Chakanetsa</t>
  </si>
  <si>
    <t xml:space="preserve">42-350280J52</t>
  </si>
  <si>
    <t xml:space="preserve">SHE Officer</t>
  </si>
  <si>
    <t xml:space="preserve">4/11</t>
  </si>
  <si>
    <t xml:space="preserve">8930103H</t>
  </si>
  <si>
    <t xml:space="preserve">6276992244264</t>
  </si>
  <si>
    <t xml:space="preserve">6563946412917</t>
  </si>
  <si>
    <t xml:space="preserve">AES-E022</t>
  </si>
  <si>
    <t xml:space="preserve">Obvious</t>
  </si>
  <si>
    <t xml:space="preserve">Mpofu</t>
  </si>
  <si>
    <t xml:space="preserve">11-109767Q74</t>
  </si>
  <si>
    <t xml:space="preserve">Overseer Miner</t>
  </si>
  <si>
    <t xml:space="preserve">9143903G</t>
  </si>
  <si>
    <t xml:space="preserve">VIRTUAL</t>
  </si>
  <si>
    <t xml:space="preserve">2760919825741</t>
  </si>
  <si>
    <t xml:space="preserve">9900087728107</t>
  </si>
  <si>
    <t xml:space="preserve">AES-E035</t>
  </si>
  <si>
    <t xml:space="preserve">Polite</t>
  </si>
  <si>
    <t xml:space="preserve">Mudarikwa</t>
  </si>
  <si>
    <t xml:space="preserve">35-238890M10</t>
  </si>
  <si>
    <t xml:space="preserve">Admin Clerk</t>
  </si>
  <si>
    <t xml:space="preserve">4/6</t>
  </si>
  <si>
    <t xml:space="preserve">2130789B</t>
  </si>
  <si>
    <t xml:space="preserve">5298743732931</t>
  </si>
  <si>
    <t xml:space="preserve">6013813941202</t>
  </si>
  <si>
    <t xml:space="preserve">AES-E041</t>
  </si>
  <si>
    <t xml:space="preserve">Chenai</t>
  </si>
  <si>
    <t xml:space="preserve">Runesu</t>
  </si>
  <si>
    <t xml:space="preserve">22-559469T40</t>
  </si>
  <si>
    <t xml:space="preserve">Head Office</t>
  </si>
  <si>
    <t xml:space="preserve">Bus Dev Officer</t>
  </si>
  <si>
    <t xml:space="preserve">7754864L</t>
  </si>
  <si>
    <t xml:space="preserve">2823915366343</t>
  </si>
  <si>
    <t xml:space="preserve">5652026357519</t>
  </si>
  <si>
    <t xml:space="preserve">AES-E033</t>
  </si>
  <si>
    <t xml:space="preserve">Tafadzwa</t>
  </si>
  <si>
    <t xml:space="preserve">Mafukidze</t>
  </si>
  <si>
    <t xml:space="preserve">16-212235T21</t>
  </si>
  <si>
    <t xml:space="preserve">Team Leader</t>
  </si>
  <si>
    <t xml:space="preserve">4/7</t>
  </si>
  <si>
    <t xml:space="preserve">6229731N</t>
  </si>
  <si>
    <t xml:space="preserve">5957561986265</t>
  </si>
  <si>
    <t xml:space="preserve">4704859533483</t>
  </si>
  <si>
    <t xml:space="preserve">AES-E034</t>
  </si>
  <si>
    <t xml:space="preserve">Kudzai</t>
  </si>
  <si>
    <t xml:space="preserve">Gwatidzo</t>
  </si>
  <si>
    <t xml:space="preserve">45-313487Y35</t>
  </si>
  <si>
    <t xml:space="preserve">1987737H</t>
  </si>
  <si>
    <t xml:space="preserve">9596400274673</t>
  </si>
  <si>
    <t xml:space="preserve">2623715817487</t>
  </si>
  <si>
    <t xml:space="preserve">AES-E036</t>
  </si>
  <si>
    <t xml:space="preserve">Dadirai</t>
  </si>
  <si>
    <t xml:space="preserve">Nyakudya</t>
  </si>
  <si>
    <t xml:space="preserve">56-969634J07</t>
  </si>
  <si>
    <t xml:space="preserve">Service Assitant</t>
  </si>
  <si>
    <t xml:space="preserve">4/3</t>
  </si>
  <si>
    <t xml:space="preserve">5672073Y</t>
  </si>
  <si>
    <t xml:space="preserve">6866940554958</t>
  </si>
  <si>
    <t xml:space="preserve">3301119435213</t>
  </si>
  <si>
    <t xml:space="preserve">AES-E037</t>
  </si>
  <si>
    <t xml:space="preserve">Chidzambwa</t>
  </si>
  <si>
    <t xml:space="preserve">35-269430Q72</t>
  </si>
  <si>
    <t xml:space="preserve">4860684V</t>
  </si>
  <si>
    <t xml:space="preserve">8523518553916</t>
  </si>
  <si>
    <t xml:space="preserve">1169912801200</t>
  </si>
  <si>
    <t xml:space="preserve">AES-E015</t>
  </si>
  <si>
    <t xml:space="preserve">Believe</t>
  </si>
  <si>
    <t xml:space="preserve">Mhererwa</t>
  </si>
  <si>
    <t xml:space="preserve">16-178898Z21</t>
  </si>
  <si>
    <t xml:space="preserve">3351868P</t>
  </si>
  <si>
    <t xml:space="preserve">1633703484987</t>
  </si>
  <si>
    <t xml:space="preserve">7497575109867</t>
  </si>
  <si>
    <t xml:space="preserve">AES-E016</t>
  </si>
  <si>
    <t xml:space="preserve">Shingai</t>
  </si>
  <si>
    <t xml:space="preserve">Rusike</t>
  </si>
  <si>
    <t xml:space="preserve">76-679364E57</t>
  </si>
  <si>
    <t xml:space="preserve">4078418J</t>
  </si>
  <si>
    <t xml:space="preserve">1734986781954</t>
  </si>
  <si>
    <t xml:space="preserve">7413710132455</t>
  </si>
  <si>
    <t xml:space="preserve">AES-E018</t>
  </si>
  <si>
    <t xml:space="preserve">Gamuchirai</t>
  </si>
  <si>
    <t xml:space="preserve">Chirenda</t>
  </si>
  <si>
    <t xml:space="preserve">07-475190G33</t>
  </si>
  <si>
    <t xml:space="preserve">8761611H</t>
  </si>
  <si>
    <t xml:space="preserve">2811045688826</t>
  </si>
  <si>
    <t xml:space="preserve">8150582443075</t>
  </si>
  <si>
    <t xml:space="preserve">AES-E013</t>
  </si>
  <si>
    <t xml:space="preserve">Chido</t>
  </si>
  <si>
    <t xml:space="preserve">Chigumba</t>
  </si>
  <si>
    <t xml:space="preserve">21-348237F24</t>
  </si>
  <si>
    <t xml:space="preserve">2264748Q</t>
  </si>
  <si>
    <t xml:space="preserve">8253690449424</t>
  </si>
  <si>
    <t xml:space="preserve">4152612451898</t>
  </si>
  <si>
    <t xml:space="preserve">AES-E045</t>
  </si>
  <si>
    <t xml:space="preserve">Tinotenda</t>
  </si>
  <si>
    <t xml:space="preserve">Nyagura</t>
  </si>
  <si>
    <t xml:space="preserve">44-920391P33</t>
  </si>
  <si>
    <t xml:space="preserve">Bricklayer</t>
  </si>
  <si>
    <t xml:space="preserve">4/5</t>
  </si>
  <si>
    <t xml:space="preserve">6543670C</t>
  </si>
  <si>
    <t xml:space="preserve">3801464598795</t>
  </si>
  <si>
    <t xml:space="preserve">7726383052711</t>
  </si>
  <si>
    <t xml:space="preserve">AES-E048</t>
  </si>
  <si>
    <t xml:space="preserve">Nomatter</t>
  </si>
  <si>
    <t xml:space="preserve">Nhira</t>
  </si>
  <si>
    <t xml:space="preserve">06-593554H27</t>
  </si>
  <si>
    <t xml:space="preserve">Team Leader Con</t>
  </si>
  <si>
    <t xml:space="preserve">2191066Z</t>
  </si>
  <si>
    <t xml:space="preserve">7152370155220</t>
  </si>
  <si>
    <t xml:space="preserve">4922282656442</t>
  </si>
  <si>
    <t xml:space="preserve">AES-E043</t>
  </si>
  <si>
    <t xml:space="preserve">Zvikomborero</t>
  </si>
  <si>
    <t xml:space="preserve">05-792094G53</t>
  </si>
  <si>
    <t xml:space="preserve">9626108H</t>
  </si>
  <si>
    <t xml:space="preserve">5901967559084</t>
  </si>
  <si>
    <t xml:space="preserve">2223483079689</t>
  </si>
  <si>
    <t xml:space="preserve">AES-E044</t>
  </si>
  <si>
    <t xml:space="preserve">Anesu</t>
  </si>
  <si>
    <t xml:space="preserve">37-468203X67</t>
  </si>
  <si>
    <t xml:space="preserve">Team Leader Tran</t>
  </si>
  <si>
    <t xml:space="preserve">4694634A</t>
  </si>
  <si>
    <t xml:space="preserve">6826278682407</t>
  </si>
  <si>
    <t xml:space="preserve">1489365297273</t>
  </si>
  <si>
    <t xml:space="preserve">AES-E047</t>
  </si>
  <si>
    <t xml:space="preserve">Innocent</t>
  </si>
  <si>
    <t xml:space="preserve">Chihota</t>
  </si>
  <si>
    <t xml:space="preserve">16-373903F76</t>
  </si>
  <si>
    <t xml:space="preserve">4769795C</t>
  </si>
  <si>
    <t xml:space="preserve">1671155067525</t>
  </si>
  <si>
    <t xml:space="preserve">7079245160972</t>
  </si>
  <si>
    <t xml:space="preserve">AES-E038</t>
  </si>
  <si>
    <t xml:space="preserve">Munyaradzi</t>
  </si>
  <si>
    <t xml:space="preserve">Zhou</t>
  </si>
  <si>
    <t xml:space="preserve">42-557592W67</t>
  </si>
  <si>
    <t xml:space="preserve">8935169P</t>
  </si>
  <si>
    <t xml:space="preserve">7773660120665</t>
  </si>
  <si>
    <t xml:space="preserve">5480467271853</t>
  </si>
  <si>
    <t xml:space="preserve">AES-E040</t>
  </si>
  <si>
    <t xml:space="preserve">Takudzwa</t>
  </si>
  <si>
    <t xml:space="preserve">Nyandoro</t>
  </si>
  <si>
    <t xml:space="preserve">07-843215P02</t>
  </si>
  <si>
    <t xml:space="preserve">4194548D</t>
  </si>
  <si>
    <t xml:space="preserve">7404642497786</t>
  </si>
  <si>
    <t xml:space="preserve">2230213054883</t>
  </si>
  <si>
    <t xml:space="preserve">AES-E039</t>
  </si>
  <si>
    <t xml:space="preserve">Chiedza</t>
  </si>
  <si>
    <t xml:space="preserve">Mucheki</t>
  </si>
  <si>
    <t xml:space="preserve">44-753425L17</t>
  </si>
  <si>
    <t xml:space="preserve">2626229Y</t>
  </si>
  <si>
    <t xml:space="preserve">9921936948112</t>
  </si>
  <si>
    <t xml:space="preserve">6739830341653</t>
  </si>
  <si>
    <t xml:space="preserve">AES-E010</t>
  </si>
  <si>
    <t xml:space="preserve">Farai</t>
  </si>
  <si>
    <t xml:space="preserve">Dhliwayo</t>
  </si>
  <si>
    <t xml:space="preserve">53-831076K72</t>
  </si>
  <si>
    <t xml:space="preserve">6672134A</t>
  </si>
  <si>
    <t xml:space="preserve">4372096024310</t>
  </si>
  <si>
    <t xml:space="preserve">7669828074599</t>
  </si>
  <si>
    <t xml:space="preserve">AES-E011</t>
  </si>
  <si>
    <t xml:space="preserve">Kundai</t>
  </si>
  <si>
    <t xml:space="preserve">Chataika</t>
  </si>
  <si>
    <t xml:space="preserve">24-745414V40</t>
  </si>
  <si>
    <t xml:space="preserve">2833230H</t>
  </si>
  <si>
    <t xml:space="preserve">1007875789648</t>
  </si>
  <si>
    <t xml:space="preserve">6047891705783</t>
  </si>
  <si>
    <t xml:space="preserve">AES-E014</t>
  </si>
  <si>
    <t xml:space="preserve">Mufaro</t>
  </si>
  <si>
    <t xml:space="preserve">Nemukuyu</t>
  </si>
  <si>
    <t xml:space="preserve">28-550770V79</t>
  </si>
  <si>
    <t xml:space="preserve">G/ Machine Op</t>
  </si>
  <si>
    <t xml:space="preserve">4/4</t>
  </si>
  <si>
    <t xml:space="preserve">2642635B</t>
  </si>
  <si>
    <t xml:space="preserve">6667873802666</t>
  </si>
  <si>
    <t xml:space="preserve">8771592947529</t>
  </si>
  <si>
    <t xml:space="preserve">AES-E019</t>
  </si>
  <si>
    <t xml:space="preserve">Rufaro</t>
  </si>
  <si>
    <t xml:space="preserve">Mashingaidze</t>
  </si>
  <si>
    <t xml:space="preserve">58-808446G67</t>
  </si>
  <si>
    <t xml:space="preserve">1247595C</t>
  </si>
  <si>
    <t xml:space="preserve">5991116192008</t>
  </si>
  <si>
    <t xml:space="preserve">2642117129691</t>
  </si>
  <si>
    <t xml:space="preserve">AES-E017</t>
  </si>
  <si>
    <t xml:space="preserve">Ropafadzo</t>
  </si>
  <si>
    <t xml:space="preserve">Mangwende</t>
  </si>
  <si>
    <t xml:space="preserve">32-805477K30</t>
  </si>
  <si>
    <t xml:space="preserve">8106470P</t>
  </si>
  <si>
    <t xml:space="preserve">4503862507510</t>
  </si>
  <si>
    <t xml:space="preserve">1430129610059</t>
  </si>
  <si>
    <t xml:space="preserve">AES-E042</t>
  </si>
  <si>
    <t xml:space="preserve">Vimbai</t>
  </si>
  <si>
    <t xml:space="preserve">07-356736R11</t>
  </si>
  <si>
    <t xml:space="preserve">UV Operator</t>
  </si>
  <si>
    <t xml:space="preserve">8231838M</t>
  </si>
  <si>
    <t xml:space="preserve">NEDBANK</t>
  </si>
  <si>
    <t xml:space="preserve">AES-E012</t>
  </si>
  <si>
    <t xml:space="preserve">Batsirai</t>
  </si>
  <si>
    <t xml:space="preserve">Gwenzi</t>
  </si>
  <si>
    <t xml:space="preserve">75-303880Z51</t>
  </si>
  <si>
    <t xml:space="preserve">7818496R</t>
  </si>
  <si>
    <t xml:space="preserve">8028689830037</t>
  </si>
  <si>
    <t xml:space="preserve">3595208151988</t>
  </si>
  <si>
    <t xml:space="preserve">AES-E020</t>
  </si>
  <si>
    <t xml:space="preserve">Tonderayi</t>
  </si>
  <si>
    <t xml:space="preserve">Nyamande</t>
  </si>
  <si>
    <t xml:space="preserve">02-887443D56</t>
  </si>
  <si>
    <t xml:space="preserve">9164991E</t>
  </si>
  <si>
    <t xml:space="preserve">4093316368647</t>
  </si>
  <si>
    <t xml:space="preserve">1882463522262</t>
  </si>
  <si>
    <t xml:space="preserve">AES-E021</t>
  </si>
  <si>
    <t xml:space="preserve">Kudzai </t>
  </si>
  <si>
    <t xml:space="preserve">Ziyambi</t>
  </si>
  <si>
    <t xml:space="preserve">73-361303D60</t>
  </si>
  <si>
    <t xml:space="preserve">5785687P</t>
  </si>
  <si>
    <t xml:space="preserve">9881528598830</t>
  </si>
  <si>
    <t xml:space="preserve">9353116515888</t>
  </si>
  <si>
    <t xml:space="preserve">AES-E027</t>
  </si>
  <si>
    <t xml:space="preserve">Munashe </t>
  </si>
  <si>
    <t xml:space="preserve">Makoni</t>
  </si>
  <si>
    <t xml:space="preserve">59-371782H37</t>
  </si>
  <si>
    <t xml:space="preserve">5449368Q</t>
  </si>
  <si>
    <t xml:space="preserve">9523454080915</t>
  </si>
  <si>
    <t xml:space="preserve">5207464846825</t>
  </si>
  <si>
    <t xml:space="preserve">AES-E029</t>
  </si>
  <si>
    <t xml:space="preserve">Mutsvairo</t>
  </si>
  <si>
    <t xml:space="preserve">37-561239C38</t>
  </si>
  <si>
    <t xml:space="preserve">TBA</t>
  </si>
  <si>
    <t xml:space="preserve">5777010775412</t>
  </si>
  <si>
    <t xml:space="preserve">6623554644664</t>
  </si>
  <si>
    <t xml:space="preserve">AES-E028</t>
  </si>
  <si>
    <t xml:space="preserve">Tsitsi</t>
  </si>
  <si>
    <t xml:space="preserve">Chibanda</t>
  </si>
  <si>
    <t xml:space="preserve">71-184491E21</t>
  </si>
  <si>
    <t xml:space="preserve">7735501980632</t>
  </si>
  <si>
    <t xml:space="preserve">3687335051761</t>
  </si>
  <si>
    <t xml:space="preserve">AES-E030</t>
  </si>
  <si>
    <t xml:space="preserve">Tichaona</t>
  </si>
  <si>
    <t xml:space="preserve">Bere</t>
  </si>
  <si>
    <t xml:space="preserve">4765425398414</t>
  </si>
  <si>
    <t xml:space="preserve">8297425296721</t>
  </si>
  <si>
    <t xml:space="preserve">AES-E031</t>
  </si>
  <si>
    <t xml:space="preserve">Nyarai</t>
  </si>
  <si>
    <t xml:space="preserve">Chikomo</t>
  </si>
  <si>
    <t xml:space="preserve">6821431312058</t>
  </si>
  <si>
    <t xml:space="preserve">9197128097883</t>
  </si>
  <si>
    <t xml:space="preserve">AES-E023</t>
  </si>
  <si>
    <t xml:space="preserve">Tawanda</t>
  </si>
  <si>
    <t xml:space="preserve">Svosve</t>
  </si>
  <si>
    <t xml:space="preserve">2097002397231</t>
  </si>
  <si>
    <t xml:space="preserve">7852277339807</t>
  </si>
  <si>
    <t xml:space="preserve">AES-E024</t>
  </si>
  <si>
    <t xml:space="preserve">Mukanya</t>
  </si>
  <si>
    <t xml:space="preserve">1346584632174</t>
  </si>
  <si>
    <t xml:space="preserve">9389704853172</t>
  </si>
  <si>
    <t xml:space="preserve">AES-E025</t>
  </si>
  <si>
    <t xml:space="preserve">Rutendo</t>
  </si>
  <si>
    <t xml:space="preserve">Mhike</t>
  </si>
  <si>
    <t xml:space="preserve">6254255795580</t>
  </si>
  <si>
    <t xml:space="preserve">7862298922749</t>
  </si>
  <si>
    <t xml:space="preserve">AES-E026</t>
  </si>
  <si>
    <t xml:space="preserve">Brighton </t>
  </si>
  <si>
    <t xml:space="preserve">Chinamasa2Z</t>
  </si>
  <si>
    <t xml:space="preserve">9586586831180</t>
  </si>
  <si>
    <t xml:space="preserve">5798420878399</t>
  </si>
  <si>
    <t xml:space="preserve">AES-E032</t>
  </si>
  <si>
    <t xml:space="preserve">Mazvita</t>
  </si>
  <si>
    <t xml:space="preserve">9544561853022</t>
  </si>
  <si>
    <t xml:space="preserve">7837712595898</t>
  </si>
  <si>
    <t xml:space="preserve">Totals</t>
  </si>
  <si>
    <t xml:space="preserve">AIRFLOW ENVIRONMENTAL SOLUTIONS PRIVATE LIMITED  PAYSLIP</t>
  </si>
  <si>
    <t xml:space="preserve">Employee Details</t>
  </si>
  <si>
    <t xml:space="preserve">Earnings
Details</t>
  </si>
  <si>
    <t xml:space="preserve">Units</t>
  </si>
  <si>
    <t xml:space="preserve">Earning Amounts</t>
  </si>
  <si>
    <t xml:space="preserve">Deduction
Details</t>
  </si>
  <si>
    <t xml:space="preserve">Deduction Amounts</t>
  </si>
  <si>
    <t xml:space="preserve">AESV</t>
  </si>
  <si>
    <t xml:space="preserve">Employee NO</t>
  </si>
  <si>
    <t xml:space="preserve">Basic Pay</t>
  </si>
  <si>
    <t xml:space="preserve">PAYE</t>
  </si>
  <si>
    <t xml:space="preserve">AESR</t>
  </si>
  <si>
    <t xml:space="preserve">Allowances</t>
  </si>
  <si>
    <t xml:space="preserve">Nat ID</t>
  </si>
  <si>
    <t xml:space="preserve">Overtime 1.5</t>
  </si>
  <si>
    <t xml:space="preserve">Pay Method</t>
  </si>
  <si>
    <t xml:space="preserve">Transfer</t>
  </si>
  <si>
    <t xml:space="preserve">Overtime 2.0</t>
  </si>
  <si>
    <t xml:space="preserve">Loan/Advance</t>
  </si>
  <si>
    <t xml:space="preserve">Repayment</t>
  </si>
  <si>
    <t xml:space="preserve">Maintenance</t>
  </si>
  <si>
    <t xml:space="preserve">C.I.L.O.L</t>
  </si>
  <si>
    <t xml:space="preserve">NSSA No</t>
  </si>
  <si>
    <t xml:space="preserve">Proj/Acting Allowance</t>
  </si>
  <si>
    <t xml:space="preserve">Checking</t>
  </si>
  <si>
    <t xml:space="preserve">C.O.L.A</t>
  </si>
  <si>
    <t xml:space="preserve">Funeral Assist</t>
  </si>
  <si>
    <t xml:space="preserve">May Day</t>
  </si>
  <si>
    <t xml:space="preserve">Hourly Rate</t>
  </si>
  <si>
    <t xml:space="preserve">Gross </t>
  </si>
  <si>
    <t xml:space="preserve">Total Deductions</t>
  </si>
  <si>
    <t xml:space="preserve">ZIG Banked</t>
  </si>
  <si>
    <t xml:space="preserve">Tax Credit</t>
  </si>
  <si>
    <t xml:space="preserve">NET PAY</t>
  </si>
  <si>
    <t xml:space="preserve">USD Banked</t>
  </si>
  <si>
    <t xml:space="preserve">Underground Allowance</t>
  </si>
  <si>
    <t xml:space="preserve">Details</t>
  </si>
  <si>
    <t xml:space="preserve">Deduction Details</t>
  </si>
  <si>
    <t xml:space="preserve">Trans &amp; Housing Allowances</t>
  </si>
  <si>
    <t xml:space="preserve">usd </t>
  </si>
  <si>
    <t xml:space="preserve">Night Shift Allowance</t>
  </si>
  <si>
    <t xml:space="preserve">zwl</t>
  </si>
  <si>
    <t xml:space="preserve">Funeral Assistance</t>
  </si>
  <si>
    <t xml:space="preserve">Bank </t>
  </si>
  <si>
    <t xml:space="preserve">Branch</t>
  </si>
  <si>
    <t xml:space="preserve">Amount</t>
  </si>
  <si>
    <t xml:space="preserve">Oripa </t>
  </si>
  <si>
    <t xml:space="preserve">Shereni</t>
  </si>
  <si>
    <t xml:space="preserve">2473290184959</t>
  </si>
  <si>
    <t xml:space="preserve">Edwin </t>
  </si>
  <si>
    <t xml:space="preserve">Mutangara</t>
  </si>
  <si>
    <t xml:space="preserve">Banc Abc</t>
  </si>
  <si>
    <t xml:space="preserve">14451584333025</t>
  </si>
  <si>
    <t xml:space="preserve">Alice</t>
  </si>
  <si>
    <t xml:space="preserve">Madamombe</t>
  </si>
  <si>
    <t xml:space="preserve">POSB</t>
  </si>
  <si>
    <t xml:space="preserve">6048451010387997</t>
  </si>
  <si>
    <t xml:space="preserve">Pretty </t>
  </si>
  <si>
    <t xml:space="preserve">Chibove</t>
  </si>
  <si>
    <t xml:space="preserve">570912023998</t>
  </si>
  <si>
    <t xml:space="preserve">299551475357</t>
  </si>
  <si>
    <t xml:space="preserve">Vimbai Mpofu</t>
  </si>
  <si>
    <t xml:space="preserve">Soliwe</t>
  </si>
  <si>
    <t xml:space="preserve">Gumbo</t>
  </si>
  <si>
    <t xml:space="preserve">Main Byo</t>
  </si>
  <si>
    <t xml:space="preserve">383683812395</t>
  </si>
  <si>
    <t xml:space="preserve">kasaira</t>
  </si>
  <si>
    <t xml:space="preserve">Loveness</t>
  </si>
  <si>
    <t xml:space="preserve">Nhingo</t>
  </si>
  <si>
    <t xml:space="preserve">Gweru BS</t>
  </si>
  <si>
    <t xml:space="preserve">6756884415347</t>
  </si>
  <si>
    <t xml:space="preserve">Ropafadzo vunganai</t>
  </si>
  <si>
    <t xml:space="preserve">Shylet</t>
  </si>
  <si>
    <t xml:space="preserve">R. Mzezewa</t>
  </si>
  <si>
    <t xml:space="preserve">599125280348</t>
  </si>
  <si>
    <t xml:space="preserve">470770979513</t>
  </si>
  <si>
    <t xml:space="preserve">Nyaradzo Funeral</t>
  </si>
  <si>
    <t xml:space="preserve">STANBIC</t>
  </si>
  <si>
    <t xml:space="preserve">Parklane</t>
  </si>
  <si>
    <t xml:space="preserve">5893596084836</t>
  </si>
  <si>
    <t xml:space="preserve">Employee Contribution</t>
  </si>
  <si>
    <t xml:space="preserve">Employer Contribution</t>
  </si>
  <si>
    <t xml:space="preserve">WCIF</t>
  </si>
  <si>
    <t xml:space="preserve">Payable</t>
  </si>
  <si>
    <t xml:space="preserve">Total Employer</t>
  </si>
  <si>
    <t xml:space="preserve">Airflow Environmental Solutions (Pvt) Ltd</t>
  </si>
  <si>
    <t xml:space="preserve">Nyaradzo Group Policy Contributions schedule</t>
  </si>
  <si>
    <t xml:space="preserve">Month of  February 2025</t>
  </si>
  <si>
    <t xml:space="preserve">Mine #</t>
  </si>
  <si>
    <t xml:space="preserve">Policy Number</t>
  </si>
  <si>
    <t xml:space="preserve">AESV70</t>
  </si>
  <si>
    <t xml:space="preserve">AENS000031</t>
  </si>
  <si>
    <t xml:space="preserve">AENS000001</t>
  </si>
  <si>
    <t xml:space="preserve">AENS000035</t>
  </si>
  <si>
    <t xml:space="preserve">AENS000002</t>
  </si>
  <si>
    <t xml:space="preserve">AENS000004</t>
  </si>
  <si>
    <t xml:space="preserve">AENS000005</t>
  </si>
  <si>
    <t xml:space="preserve">AENS000032</t>
  </si>
  <si>
    <t xml:space="preserve">AENS000009</t>
  </si>
  <si>
    <t xml:space="preserve">AENS000029</t>
  </si>
  <si>
    <t xml:space="preserve">Kudakwashe</t>
  </si>
  <si>
    <t xml:space="preserve">Chinouriri</t>
  </si>
  <si>
    <t xml:space="preserve">AENS000012</t>
  </si>
  <si>
    <t xml:space="preserve">AENS000022</t>
  </si>
  <si>
    <t xml:space="preserve">AENS000023</t>
  </si>
  <si>
    <t xml:space="preserve">AENS000030</t>
  </si>
  <si>
    <t xml:space="preserve">AENS000014</t>
  </si>
  <si>
    <t xml:space="preserve">AENS000015</t>
  </si>
  <si>
    <t xml:space="preserve">AENS000016</t>
  </si>
  <si>
    <t xml:space="preserve">AENS000017</t>
  </si>
  <si>
    <t xml:space="preserve">AENS000018</t>
  </si>
  <si>
    <t xml:space="preserve">AENS000024</t>
  </si>
  <si>
    <t xml:space="preserve">AENS000020</t>
  </si>
  <si>
    <t xml:space="preserve">David</t>
  </si>
  <si>
    <t xml:space="preserve">Kuwengwa</t>
  </si>
  <si>
    <t xml:space="preserve">AESR140</t>
  </si>
  <si>
    <t xml:space="preserve">AENS000027</t>
  </si>
  <si>
    <t xml:space="preserve">Batsirai </t>
  </si>
  <si>
    <t xml:space="preserve">AENS000036</t>
  </si>
  <si>
    <t xml:space="preserve">Clever</t>
  </si>
  <si>
    <t xml:space="preserve">Chakabva</t>
  </si>
  <si>
    <t xml:space="preserve">CA01</t>
  </si>
  <si>
    <t xml:space="preserve">AENS000028</t>
  </si>
  <si>
    <t xml:space="preserve">Total contributions</t>
  </si>
  <si>
    <t xml:space="preserve">Admini fees</t>
  </si>
  <si>
    <t xml:space="preserve">Total Payable</t>
  </si>
  <si>
    <t xml:space="preserve">Prepared :</t>
  </si>
  <si>
    <t xml:space="preserve">Beaven</t>
  </si>
  <si>
    <t xml:space="preserve">………………………………..</t>
  </si>
  <si>
    <t xml:space="preserve">Accountant </t>
  </si>
  <si>
    <t xml:space="preserve">Verified</t>
  </si>
  <si>
    <t xml:space="preserve">B. Bonga</t>
  </si>
  <si>
    <t xml:space="preserve">……………………………………….</t>
  </si>
  <si>
    <t xml:space="preserve">HR Manager</t>
  </si>
  <si>
    <t xml:space="preserve">Terminated Employees Effective 30 June 2024</t>
  </si>
  <si>
    <t xml:space="preserve">Joshua</t>
  </si>
  <si>
    <t xml:space="preserve">AESR96</t>
  </si>
  <si>
    <t xml:space="preserve">AENS000025</t>
  </si>
  <si>
    <t xml:space="preserve">Tinaye</t>
  </si>
  <si>
    <t xml:space="preserve">Gorejena</t>
  </si>
  <si>
    <t xml:space="preserve">AESV5</t>
  </si>
  <si>
    <t xml:space="preserve">AENS000013</t>
  </si>
  <si>
    <t xml:space="preserve">AENS000019</t>
  </si>
  <si>
    <t xml:space="preserve">Munetsi</t>
  </si>
  <si>
    <t xml:space="preserve">AESR146</t>
  </si>
  <si>
    <t xml:space="preserve">AENS000021</t>
  </si>
  <si>
    <t xml:space="preserve">Company Contribution</t>
  </si>
  <si>
    <t xml:space="preserve">B. Muchingami</t>
  </si>
  <si>
    <t xml:space="preserve">Aurthorized By:</t>
  </si>
  <si>
    <t xml:space="preserve">B. Chaderopa</t>
  </si>
  <si>
    <t xml:space="preserve">………………………………………..</t>
  </si>
  <si>
    <t xml:space="preserve">Zimdef Shedule February 2025</t>
  </si>
  <si>
    <t xml:space="preserve">MIPF</t>
  </si>
  <si>
    <t xml:space="preserve">ZIMDEF</t>
  </si>
  <si>
    <t xml:space="preserve">Gross USD</t>
  </si>
  <si>
    <t xml:space="preserve">Gross ZIG</t>
  </si>
  <si>
    <t xml:space="preserve">MIPF Contributions -Invoices</t>
  </si>
  <si>
    <t xml:space="preserve">Mine Code :   AIR11   ( 341  )   AIRFLOW ENVIRONMENTAL SOLUTION</t>
  </si>
  <si>
    <t xml:space="preserve">***Month of February 2025***</t>
  </si>
  <si>
    <t xml:space="preserve">R/S NO.</t>
  </si>
  <si>
    <t xml:space="preserve">National</t>
  </si>
  <si>
    <t xml:space="preserve">Date of</t>
  </si>
  <si>
    <t xml:space="preserve">Payno</t>
  </si>
  <si>
    <t xml:space="preserve">Monthly</t>
  </si>
  <si>
    <t xml:space="preserve">Employer</t>
  </si>
  <si>
    <t xml:space="preserve">Employee</t>
  </si>
  <si>
    <t xml:space="preserve">Identy No.</t>
  </si>
  <si>
    <t xml:space="preserve">Birth</t>
  </si>
  <si>
    <t xml:space="preserve">Salary</t>
  </si>
  <si>
    <t xml:space="preserve">0500752</t>
  </si>
  <si>
    <t xml:space="preserve">MUDANHO MAXWELL</t>
  </si>
  <si>
    <t xml:space="preserve">04-151082V 04</t>
  </si>
  <si>
    <t xml:space="preserve">0500952</t>
  </si>
  <si>
    <t xml:space="preserve">MUDANHO ERECK</t>
  </si>
  <si>
    <t xml:space="preserve">04-126066D 04</t>
  </si>
  <si>
    <t xml:space="preserve">0603068</t>
  </si>
  <si>
    <t xml:space="preserve">ZVAKANAKA JOSEPH</t>
  </si>
  <si>
    <t xml:space="preserve">70-273576W 70</t>
  </si>
  <si>
    <t xml:space="preserve">0707415</t>
  </si>
  <si>
    <t xml:space="preserve">DUBE ISHEUNESU</t>
  </si>
  <si>
    <t xml:space="preserve">67-133706T 67</t>
  </si>
  <si>
    <t xml:space="preserve">4156922</t>
  </si>
  <si>
    <t xml:space="preserve">STOCKEN BRIAN</t>
  </si>
  <si>
    <t xml:space="preserve">24-121384V 24</t>
  </si>
  <si>
    <t xml:space="preserve">4321415</t>
  </si>
  <si>
    <t xml:space="preserve">MHASHU TAKAINDISA ISAU</t>
  </si>
  <si>
    <t xml:space="preserve">22-158650N 67</t>
  </si>
  <si>
    <t xml:space="preserve">7310848</t>
  </si>
  <si>
    <t xml:space="preserve">RUDZINGI ALBERT</t>
  </si>
  <si>
    <t xml:space="preserve">12-046849A 12</t>
  </si>
  <si>
    <t xml:space="preserve">Total Employer/Employee Conts</t>
  </si>
  <si>
    <t xml:space="preserve">Compef</t>
  </si>
  <si>
    <t xml:space="preserve">TOTAL AMOUNT PAYABLE TO MIPF</t>
  </si>
  <si>
    <t xml:space="preserve">TERMINATED EMPLOYEES</t>
  </si>
  <si>
    <t xml:space="preserve">0500762</t>
  </si>
  <si>
    <t xml:space="preserve">MOYO TINAYE</t>
  </si>
  <si>
    <t xml:space="preserve">67-129498V 67</t>
  </si>
  <si>
    <t xml:space="preserve">0500822</t>
  </si>
  <si>
    <t xml:space="preserve">MUTEMA MAXWELL</t>
  </si>
  <si>
    <t xml:space="preserve">12-107177Z 22</t>
  </si>
  <si>
    <t xml:space="preserve">AESV42</t>
  </si>
  <si>
    <t xml:space="preserve">0707705</t>
  </si>
  <si>
    <t xml:space="preserve">CHARLES VICTOR MUNYARADZI</t>
  </si>
  <si>
    <t xml:space="preserve">66-078465S 66</t>
  </si>
  <si>
    <t xml:space="preserve">AESR64</t>
  </si>
  <si>
    <t xml:space="preserve">Employee Cont</t>
  </si>
  <si>
    <t xml:space="preserve">Company Cont</t>
  </si>
  <si>
    <t xml:space="preserve">Debit </t>
  </si>
  <si>
    <t xml:space="preserve">Credit</t>
  </si>
  <si>
    <t xml:space="preserve">Gross Salaries</t>
  </si>
  <si>
    <t xml:space="preserve">Garnish</t>
  </si>
  <si>
    <t xml:space="preserve">Net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</si>
</sst>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_-* #,##0.00_-;\-* #,##0.00_-;_-* \-??_-;_-@_-"/>
    <numFmt numFmtId="166" formatCode="_(* #,##0.00_);_(* \(#,##0.00\);_(* \-??_);_(@_)"/>
    <numFmt numFmtId="167" formatCode="0%"/>
    <numFmt numFmtId="168" formatCode="_(* #,##0.0000_);_(* \(#,##0.0000\);_(* \-??_);_(@_)"/>
    <numFmt numFmtId="169" formatCode="_(* #,##0.00000_);_(* \(#,##0.00000\);_(* \-??_);_(@_)"/>
    <numFmt numFmtId="170" formatCode="m/d/yyyy"/>
    <numFmt numFmtId="171" formatCode="_(* #,##0_);_(* \(#,##0\);_(* \-??_);_(@_)"/>
    <numFmt numFmtId="172" formatCode="#,##0.00"/>
    <numFmt numFmtId="173" formatCode="d\-mmm"/>
    <numFmt numFmtId="174" formatCode="0.00"/>
    <numFmt numFmtId="175" formatCode="General"/>
    <numFmt numFmtId="176" formatCode="_-* #,##0_-;\-* #,##0_-;_-* \-??_-;_-@_-"/>
    <numFmt numFmtId="177" formatCode="_(\$* #,##0.00_);_(\$* \(#,##0.00\);_(\$* \-??_);_(@_)"/>
    <numFmt numFmtId="178" formatCode="_(\$* #,##0.00_);_(\$* \(#,##0.00\);_(\$* \-??_);_(@_)"/>
    <numFmt numFmtId="179" formatCode="_([$USD]\ * #,##0.00_);_([$USD]\ * \(#,##0.00\);_([$USD]\ * \-??_);_(@_)"/>
    <numFmt numFmtId="180" formatCode="@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2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2"/>
      <color theme="1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FF000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6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4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u val="single"/>
      <sz val="10"/>
      <name val="Arial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FFC000"/>
        <bgColor rgb="FFF79646"/>
      </patternFill>
    </fill>
    <fill>
      <patternFill patternType="solid">
        <fgColor theme="9" tint="0.7999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theme="4" tint="0.5999"/>
        <bgColor rgb="FFB7DEE8"/>
      </patternFill>
    </fill>
    <fill>
      <patternFill patternType="solid">
        <fgColor rgb="FF92D050"/>
        <bgColor rgb="FFBFBFBF"/>
      </patternFill>
    </fill>
    <fill>
      <patternFill patternType="solid">
        <fgColor theme="5" tint="0.3999"/>
        <bgColor rgb="FFFF99CC"/>
      </patternFill>
    </fill>
    <fill>
      <patternFill patternType="solid">
        <fgColor theme="5" tint="-0.25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theme="5" tint="0.5999"/>
        <bgColor rgb="FFBFBFBF"/>
      </patternFill>
    </fill>
    <fill>
      <patternFill patternType="solid">
        <fgColor theme="6" tint="0.5999"/>
        <bgColor rgb="FFB7DEE8"/>
      </patternFill>
    </fill>
    <fill>
      <patternFill patternType="solid">
        <fgColor theme="8" tint="0.3999"/>
        <bgColor rgb="FF8EB4E3"/>
      </patternFill>
    </fill>
    <fill>
      <patternFill patternType="solid">
        <fgColor rgb="FF00B0F0"/>
        <bgColor rgb="FF33CCCC"/>
      </patternFill>
    </fill>
    <fill>
      <patternFill patternType="solid">
        <fgColor rgb="FFFFFF00"/>
        <bgColor rgb="FFFFFF00"/>
      </patternFill>
    </fill>
    <fill>
      <patternFill patternType="solid">
        <fgColor theme="0" tint="-0.25"/>
        <bgColor rgb="FFB9CDE5"/>
      </patternFill>
    </fill>
    <fill>
      <patternFill patternType="solid">
        <fgColor theme="3" tint="0.5999"/>
        <bgColor rgb="FF93CDDD"/>
      </patternFill>
    </fill>
    <fill>
      <patternFill patternType="solid">
        <fgColor theme="9"/>
        <bgColor rgb="FFD99694"/>
      </patternFill>
    </fill>
    <fill>
      <patternFill patternType="solid">
        <fgColor rgb="FF0070C0"/>
        <bgColor rgb="FF008080"/>
      </patternFill>
    </fill>
    <fill>
      <patternFill patternType="solid">
        <fgColor theme="8" tint="0.5999"/>
        <bgColor rgb="FFB9CDE5"/>
      </patternFill>
    </fill>
  </fills>
  <borders count="3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 diagonalUp="false" diagonalDown="false">
      <left/>
      <right style="thin">
        <color rgb="FF00B050"/>
      </right>
      <top/>
      <bottom/>
      <diagonal/>
    </border>
    <border diagonalUp="false" diagonalDown="false">
      <left style="thin">
        <color rgb="FF00B050"/>
      </left>
      <right style="thin">
        <color rgb="FF00B050"/>
      </right>
      <top/>
      <bottom/>
      <diagonal/>
    </border>
    <border diagonalUp="false" diagonalDown="false">
      <left style="thin">
        <color rgb="FF00B050"/>
      </left>
      <right/>
      <top style="thin">
        <color rgb="FF00B050"/>
      </top>
      <bottom/>
      <diagonal/>
    </border>
    <border diagonalUp="false" diagonalDown="false">
      <left/>
      <right/>
      <top style="thin">
        <color rgb="FF00B050"/>
      </top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17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5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3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6" borderId="0" xfId="1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7" borderId="0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8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1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12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3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7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8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9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1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14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14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3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7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4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6" fillId="4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2" xfId="22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14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22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6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6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10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0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6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2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7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3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6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4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6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9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9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1" xfId="2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3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3" fillId="0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6" borderId="1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4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2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14" xfId="17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6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2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9" fillId="0" borderId="2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2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8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0" xfId="15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2" fillId="6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6" borderId="15" xfId="15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6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7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6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6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14" borderId="1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6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5" xfId="1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8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9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5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6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0" xfId="2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9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3" xfId="21"/>
    <cellStyle name="Comma 4" xfId="22"/>
    <cellStyle name="Normal 2" xfId="23"/>
  </cellStyles>
  <dxfs count="1">
    <dxf>
      <font>
        <color rgb="FFCC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B4E3"/>
      <rgbColor rgb="FF953735"/>
      <rgbColor rgb="FFFDEADA"/>
      <rgbColor rgb="FFCCFFFF"/>
      <rgbColor rgb="FF660066"/>
      <rgbColor rgb="FFD99694"/>
      <rgbColor rgb="FF0070C0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B7DEE8"/>
      <rgbColor rgb="FFD7E4BD"/>
      <rgbColor rgb="FFFFFF99"/>
      <rgbColor rgb="FF93CDDD"/>
      <rgbColor rgb="FFFF99CC"/>
      <rgbColor rgb="FFCC99FF"/>
      <rgbColor rgb="FFE6B9B8"/>
      <rgbColor rgb="FF3366FF"/>
      <rgbColor rgb="FF33CCCC"/>
      <rgbColor rgb="FF92D050"/>
      <rgbColor rgb="FFFFC000"/>
      <rgbColor rgb="FFF79646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K56"/>
  <sheetViews>
    <sheetView showFormulas="false" showGridLines="true" showRowColHeaders="true" showZeros="true" rightToLeft="false" tabSelected="false" showOutlineSymbols="true" defaultGridColor="true" view="normal" topLeftCell="BO1" colorId="64" zoomScale="100" zoomScaleNormal="100" zoomScalePageLayoutView="100" workbookViewId="0">
      <selection pane="topLeft" activeCell="E45" activeCellId="0" sqref="E4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.14"/>
    <col collapsed="false" customWidth="true" hidden="false" outlineLevel="0" max="2" min="2" style="1" width="14.86"/>
    <col collapsed="false" customWidth="true" hidden="false" outlineLevel="0" max="3" min="3" style="1" width="23.14"/>
    <col collapsed="false" customWidth="true" hidden="false" outlineLevel="0" max="4" min="4" style="1" width="19.57"/>
    <col collapsed="false" customWidth="true" hidden="false" outlineLevel="0" max="5" min="5" style="1" width="12"/>
    <col collapsed="false" customWidth="true" hidden="false" outlineLevel="0" max="6" min="6" style="1" width="12.57"/>
    <col collapsed="false" customWidth="true" hidden="false" outlineLevel="0" max="7" min="7" style="1" width="17.57"/>
    <col collapsed="false" customWidth="true" hidden="false" outlineLevel="0" max="8" min="8" style="1" width="10.14"/>
    <col collapsed="false" customWidth="true" hidden="false" outlineLevel="0" max="9" min="9" style="1" width="13.86"/>
    <col collapsed="false" customWidth="true" hidden="false" outlineLevel="0" max="12" min="10" style="1" width="9.29"/>
    <col collapsed="false" customWidth="true" hidden="false" outlineLevel="0" max="13" min="13" style="1" width="11.29"/>
    <col collapsed="false" customWidth="true" hidden="false" outlineLevel="0" max="14" min="14" style="1" width="10.42"/>
    <col collapsed="false" customWidth="true" hidden="false" outlineLevel="0" max="15" min="15" style="1" width="9"/>
    <col collapsed="false" customWidth="true" hidden="false" outlineLevel="0" max="16" min="16" style="1" width="11.71"/>
    <col collapsed="false" customWidth="true" hidden="false" outlineLevel="0" max="17" min="17" style="1" width="15"/>
    <col collapsed="false" customWidth="true" hidden="false" outlineLevel="0" max="28" min="18" style="1" width="16.29"/>
    <col collapsed="false" customWidth="true" hidden="false" outlineLevel="0" max="30" min="29" style="1" width="9.71"/>
    <col collapsed="false" customWidth="true" hidden="false" outlineLevel="0" max="31" min="31" style="1" width="10.57"/>
    <col collapsed="false" customWidth="true" hidden="false" outlineLevel="0" max="32" min="32" style="1" width="10.29"/>
    <col collapsed="false" customWidth="true" hidden="false" outlineLevel="0" max="33" min="33" style="1" width="11.43"/>
    <col collapsed="false" customWidth="true" hidden="false" outlineLevel="0" max="34" min="34" style="1" width="16.57"/>
    <col collapsed="false" customWidth="true" hidden="false" outlineLevel="0" max="35" min="35" style="1" width="14"/>
    <col collapsed="false" customWidth="true" hidden="false" outlineLevel="0" max="36" min="36" style="1" width="12.29"/>
    <col collapsed="false" customWidth="true" hidden="false" outlineLevel="0" max="38" min="37" style="1" width="13.42"/>
    <col collapsed="false" customWidth="true" hidden="false" outlineLevel="0" max="39" min="39" style="1" width="12.29"/>
    <col collapsed="false" customWidth="true" hidden="false" outlineLevel="0" max="40" min="40" style="1" width="19"/>
    <col collapsed="false" customWidth="true" hidden="false" outlineLevel="0" max="41" min="41" style="1" width="11"/>
    <col collapsed="false" customWidth="true" hidden="false" outlineLevel="0" max="42" min="42" style="1" width="15.42"/>
    <col collapsed="false" customWidth="true" hidden="false" outlineLevel="0" max="43" min="43" style="1" width="16.71"/>
    <col collapsed="false" customWidth="true" hidden="false" outlineLevel="0" max="44" min="44" style="1" width="12.15"/>
    <col collapsed="false" customWidth="true" hidden="false" outlineLevel="0" max="45" min="45" style="1" width="11.71"/>
    <col collapsed="false" customWidth="true" hidden="false" outlineLevel="0" max="46" min="46" style="1" width="10.57"/>
    <col collapsed="false" customWidth="true" hidden="false" outlineLevel="0" max="47" min="47" style="1" width="10.14"/>
    <col collapsed="false" customWidth="true" hidden="false" outlineLevel="0" max="48" min="48" style="1" width="10.71"/>
    <col collapsed="false" customWidth="true" hidden="false" outlineLevel="0" max="49" min="49" style="1" width="13.86"/>
    <col collapsed="false" customWidth="true" hidden="false" outlineLevel="0" max="50" min="50" style="1" width="13.71"/>
    <col collapsed="false" customWidth="true" hidden="false" outlineLevel="0" max="51" min="51" style="1" width="13"/>
    <col collapsed="false" customWidth="true" hidden="false" outlineLevel="0" max="52" min="52" style="1" width="15.42"/>
    <col collapsed="false" customWidth="true" hidden="false" outlineLevel="0" max="53" min="53" style="1" width="13.15"/>
    <col collapsed="false" customWidth="true" hidden="false" outlineLevel="0" max="54" min="54" style="1" width="10.42"/>
    <col collapsed="false" customWidth="true" hidden="false" outlineLevel="0" max="55" min="55" style="1" width="18.14"/>
    <col collapsed="false" customWidth="true" hidden="false" outlineLevel="0" max="56" min="56" style="1" width="13.71"/>
    <col collapsed="false" customWidth="true" hidden="false" outlineLevel="0" max="57" min="57" style="1" width="18.71"/>
    <col collapsed="false" customWidth="true" hidden="false" outlineLevel="0" max="59" min="58" style="1" width="23"/>
    <col collapsed="false" customWidth="true" hidden="false" outlineLevel="0" max="60" min="60" style="1" width="18.57"/>
    <col collapsed="false" customWidth="true" hidden="false" outlineLevel="0" max="63" min="61" style="1" width="14.42"/>
    <col collapsed="false" customWidth="true" hidden="false" outlineLevel="0" max="64" min="64" style="1" width="14.86"/>
    <col collapsed="false" customWidth="true" hidden="false" outlineLevel="0" max="65" min="65" style="1" width="18"/>
    <col collapsed="false" customWidth="true" hidden="false" outlineLevel="0" max="66" min="66" style="1" width="15.42"/>
    <col collapsed="false" customWidth="true" hidden="false" outlineLevel="0" max="67" min="67" style="1" width="14.86"/>
    <col collapsed="false" customWidth="true" hidden="false" outlineLevel="0" max="68" min="68" style="1" width="14.14"/>
    <col collapsed="false" customWidth="true" hidden="false" outlineLevel="0" max="69" min="69" style="1" width="15"/>
    <col collapsed="false" customWidth="true" hidden="false" outlineLevel="0" max="70" min="70" style="1" width="15.85"/>
    <col collapsed="false" customWidth="true" hidden="false" outlineLevel="0" max="71" min="71" style="1" width="17"/>
    <col collapsed="false" customWidth="true" hidden="false" outlineLevel="0" max="72" min="72" style="1" width="9.86"/>
    <col collapsed="false" customWidth="true" hidden="false" outlineLevel="0" max="73" min="73" style="1" width="12.42"/>
    <col collapsed="false" customWidth="true" hidden="false" outlineLevel="0" max="74" min="74" style="1" width="15.29"/>
    <col collapsed="false" customWidth="true" hidden="false" outlineLevel="0" max="75" min="75" style="1" width="21"/>
    <col collapsed="false" customWidth="true" hidden="false" outlineLevel="0" max="76" min="76" style="1" width="11.85"/>
    <col collapsed="false" customWidth="true" hidden="false" outlineLevel="0" max="77" min="77" style="1" width="10.57"/>
    <col collapsed="false" customWidth="true" hidden="false" outlineLevel="0" max="78" min="78" style="1" width="19"/>
    <col collapsed="false" customWidth="true" hidden="false" outlineLevel="0" max="79" min="79" style="1" width="10.42"/>
    <col collapsed="false" customWidth="true" hidden="false" outlineLevel="0" max="82" min="80" style="1" width="10.57"/>
    <col collapsed="false" customWidth="true" hidden="false" outlineLevel="0" max="83" min="83" style="1" width="9.71"/>
    <col collapsed="false" customWidth="true" hidden="false" outlineLevel="0" max="84" min="84" style="1" width="12.29"/>
    <col collapsed="false" customWidth="true" hidden="false" outlineLevel="0" max="85" min="85" style="1" width="18.57"/>
    <col collapsed="false" customWidth="true" hidden="false" outlineLevel="0" max="86" min="86" style="1" width="11.57"/>
    <col collapsed="false" customWidth="true" hidden="false" outlineLevel="0" max="87" min="87" style="1" width="16.29"/>
    <col collapsed="false" customWidth="true" hidden="false" outlineLevel="0" max="89" min="89" style="1" width="9.57"/>
  </cols>
  <sheetData>
    <row r="1" customFormat="false" ht="15" hidden="false" customHeight="false" outlineLevel="0" collapsed="false">
      <c r="A1" s="2"/>
      <c r="J1" s="1" t="s">
        <v>0</v>
      </c>
      <c r="M1" s="3"/>
      <c r="N1" s="3"/>
      <c r="O1" s="3"/>
      <c r="P1" s="4"/>
      <c r="Q1" s="5" t="n">
        <f aca="false">D2</f>
        <v>26.6951</v>
      </c>
      <c r="R1" s="4"/>
      <c r="S1" s="5" t="n">
        <f aca="false">Q1</f>
        <v>26.6951</v>
      </c>
      <c r="T1" s="4"/>
      <c r="U1" s="4"/>
      <c r="V1" s="4"/>
      <c r="W1" s="4"/>
      <c r="X1" s="4"/>
      <c r="Y1" s="4"/>
      <c r="Z1" s="4"/>
      <c r="AA1" s="4" t="s">
        <v>1</v>
      </c>
      <c r="AB1" s="4"/>
      <c r="AC1" s="4"/>
      <c r="AD1" s="4"/>
      <c r="AE1" s="4"/>
      <c r="AF1" s="4"/>
      <c r="AG1" s="4" t="s">
        <v>2</v>
      </c>
      <c r="AH1" s="5" t="n">
        <f aca="false">Q1</f>
        <v>26.6951</v>
      </c>
      <c r="AI1" s="4"/>
      <c r="AJ1" s="6"/>
      <c r="AK1" s="4"/>
      <c r="AL1" s="4"/>
      <c r="AM1" s="4"/>
      <c r="AN1" s="4"/>
      <c r="AO1" s="4"/>
      <c r="AP1" s="7" t="s">
        <v>2</v>
      </c>
      <c r="AQ1" s="8" t="n">
        <f aca="false">AH1</f>
        <v>26.6951</v>
      </c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 t="s">
        <v>3</v>
      </c>
      <c r="BH1" s="4"/>
      <c r="BI1" s="4"/>
      <c r="BJ1" s="4"/>
      <c r="BK1" s="4"/>
      <c r="BL1" s="4"/>
      <c r="BM1" s="4"/>
      <c r="BN1" s="4"/>
      <c r="BO1" s="4"/>
      <c r="BP1" s="4"/>
      <c r="BQ1" s="4"/>
    </row>
    <row r="2" customFormat="false" ht="15" hidden="false" customHeight="false" outlineLevel="0" collapsed="false">
      <c r="C2" s="9" t="s">
        <v>4</v>
      </c>
      <c r="D2" s="9" t="n">
        <v>26.6951</v>
      </c>
      <c r="E2" s="9"/>
      <c r="F2" s="9"/>
      <c r="G2" s="9"/>
      <c r="H2" s="9"/>
      <c r="I2" s="9"/>
      <c r="J2" s="9" t="s">
        <v>5</v>
      </c>
      <c r="K2" s="9"/>
      <c r="L2" s="9"/>
      <c r="M2" s="10"/>
      <c r="N2" s="9"/>
      <c r="O2" s="9"/>
      <c r="P2" s="11" t="s">
        <v>6</v>
      </c>
      <c r="Q2" s="11"/>
      <c r="R2" s="12" t="s">
        <v>7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 t="s">
        <v>8</v>
      </c>
      <c r="AD2" s="13" t="s">
        <v>9</v>
      </c>
      <c r="AE2" s="13" t="s">
        <v>10</v>
      </c>
      <c r="AF2" s="14" t="s">
        <v>11</v>
      </c>
      <c r="AG2" s="14"/>
      <c r="AH2" s="14"/>
      <c r="AI2" s="15" t="s">
        <v>12</v>
      </c>
      <c r="AJ2" s="15"/>
      <c r="AK2" s="15"/>
      <c r="AL2" s="15"/>
      <c r="AM2" s="15"/>
      <c r="AN2" s="16"/>
      <c r="AO2" s="17" t="s">
        <v>13</v>
      </c>
      <c r="AP2" s="17"/>
      <c r="AQ2" s="18" t="s">
        <v>14</v>
      </c>
      <c r="AR2" s="19" t="s">
        <v>15</v>
      </c>
      <c r="AS2" s="20" t="s">
        <v>16</v>
      </c>
      <c r="AT2" s="20" t="s">
        <v>17</v>
      </c>
      <c r="AU2" s="20" t="s">
        <v>18</v>
      </c>
      <c r="AV2" s="20"/>
      <c r="AW2" s="20" t="s">
        <v>19</v>
      </c>
      <c r="AX2" s="20"/>
      <c r="AY2" s="20" t="s">
        <v>20</v>
      </c>
      <c r="AZ2" s="20"/>
      <c r="BA2" s="21" t="s">
        <v>21</v>
      </c>
      <c r="BB2" s="21"/>
      <c r="BC2" s="21"/>
      <c r="BD2" s="21"/>
      <c r="BE2" s="21"/>
      <c r="BF2" s="21"/>
      <c r="BG2" s="21"/>
      <c r="BH2" s="21"/>
      <c r="BI2" s="21"/>
      <c r="BJ2" s="21" t="s">
        <v>22</v>
      </c>
      <c r="BK2" s="21"/>
      <c r="BL2" s="14" t="s">
        <v>23</v>
      </c>
      <c r="BM2" s="14"/>
      <c r="BN2" s="22"/>
      <c r="BO2" s="22" t="s">
        <v>24</v>
      </c>
      <c r="BP2" s="22"/>
      <c r="BQ2" s="22"/>
      <c r="BR2" s="23"/>
      <c r="BS2" s="23"/>
      <c r="BT2" s="23"/>
      <c r="BU2" s="24" t="s">
        <v>25</v>
      </c>
      <c r="BV2" s="24"/>
      <c r="BW2" s="24"/>
      <c r="BX2" s="25" t="s">
        <v>26</v>
      </c>
      <c r="BY2" s="25"/>
      <c r="BZ2" s="25"/>
      <c r="CA2" s="26" t="s">
        <v>27</v>
      </c>
      <c r="CB2" s="26"/>
      <c r="CC2" s="26"/>
      <c r="CD2" s="26"/>
      <c r="CE2" s="26"/>
      <c r="CH2" s="27" t="s">
        <v>2</v>
      </c>
      <c r="CI2" s="28" t="n">
        <f aca="false">AQ1</f>
        <v>26.6951</v>
      </c>
    </row>
    <row r="3" customFormat="false" ht="15" hidden="false" customHeight="false" outlineLevel="0" collapsed="false">
      <c r="A3" s="29" t="s">
        <v>28</v>
      </c>
      <c r="B3" s="29" t="s">
        <v>29</v>
      </c>
      <c r="C3" s="29" t="s">
        <v>30</v>
      </c>
      <c r="D3" s="29" t="s">
        <v>31</v>
      </c>
      <c r="E3" s="29" t="s">
        <v>32</v>
      </c>
      <c r="F3" s="29" t="s">
        <v>33</v>
      </c>
      <c r="G3" s="29" t="s">
        <v>34</v>
      </c>
      <c r="H3" s="29" t="s">
        <v>35</v>
      </c>
      <c r="I3" s="29" t="s">
        <v>36</v>
      </c>
      <c r="J3" s="29" t="s">
        <v>37</v>
      </c>
      <c r="K3" s="29" t="s">
        <v>38</v>
      </c>
      <c r="L3" s="29" t="s">
        <v>39</v>
      </c>
      <c r="M3" s="29" t="s">
        <v>40</v>
      </c>
      <c r="N3" s="29" t="s">
        <v>41</v>
      </c>
      <c r="O3" s="29" t="s">
        <v>42</v>
      </c>
      <c r="P3" s="30" t="s">
        <v>26</v>
      </c>
      <c r="Q3" s="31" t="s">
        <v>25</v>
      </c>
      <c r="R3" s="30" t="s">
        <v>26</v>
      </c>
      <c r="S3" s="30" t="s">
        <v>43</v>
      </c>
      <c r="T3" s="30" t="s">
        <v>44</v>
      </c>
      <c r="U3" s="30" t="s">
        <v>45</v>
      </c>
      <c r="V3" s="30" t="s">
        <v>46</v>
      </c>
      <c r="W3" s="30" t="s">
        <v>47</v>
      </c>
      <c r="X3" s="30" t="s">
        <v>48</v>
      </c>
      <c r="Y3" s="32" t="s">
        <v>49</v>
      </c>
      <c r="Z3" s="32" t="s">
        <v>50</v>
      </c>
      <c r="AA3" s="32" t="s">
        <v>51</v>
      </c>
      <c r="AB3" s="32" t="s">
        <v>52</v>
      </c>
      <c r="AC3" s="30" t="s">
        <v>26</v>
      </c>
      <c r="AD3" s="33" t="s">
        <v>26</v>
      </c>
      <c r="AE3" s="33" t="s">
        <v>53</v>
      </c>
      <c r="AF3" s="30" t="s">
        <v>54</v>
      </c>
      <c r="AG3" s="30" t="s">
        <v>55</v>
      </c>
      <c r="AH3" s="30" t="s">
        <v>25</v>
      </c>
      <c r="AI3" s="34" t="s">
        <v>56</v>
      </c>
      <c r="AJ3" s="34" t="s">
        <v>57</v>
      </c>
      <c r="AK3" s="34" t="s">
        <v>58</v>
      </c>
      <c r="AL3" s="34" t="s">
        <v>59</v>
      </c>
      <c r="AM3" s="34" t="s">
        <v>60</v>
      </c>
      <c r="AN3" s="34" t="s">
        <v>61</v>
      </c>
      <c r="AO3" s="32" t="s">
        <v>26</v>
      </c>
      <c r="AP3" s="32" t="s">
        <v>62</v>
      </c>
      <c r="AQ3" s="35" t="s">
        <v>26</v>
      </c>
      <c r="AR3" s="36" t="s">
        <v>26</v>
      </c>
      <c r="AS3" s="37" t="s">
        <v>26</v>
      </c>
      <c r="AT3" s="37" t="s">
        <v>26</v>
      </c>
      <c r="AU3" s="38" t="s">
        <v>63</v>
      </c>
      <c r="AV3" s="38" t="s">
        <v>64</v>
      </c>
      <c r="AW3" s="38" t="s">
        <v>63</v>
      </c>
      <c r="AX3" s="38" t="s">
        <v>64</v>
      </c>
      <c r="AY3" s="37" t="s">
        <v>26</v>
      </c>
      <c r="AZ3" s="37" t="s">
        <v>25</v>
      </c>
      <c r="BA3" s="39" t="s">
        <v>65</v>
      </c>
      <c r="BB3" s="39" t="s">
        <v>66</v>
      </c>
      <c r="BC3" s="39" t="s">
        <v>67</v>
      </c>
      <c r="BD3" s="39" t="s">
        <v>68</v>
      </c>
      <c r="BE3" s="39" t="s">
        <v>69</v>
      </c>
      <c r="BF3" s="39" t="s">
        <v>70</v>
      </c>
      <c r="BG3" s="39" t="s">
        <v>71</v>
      </c>
      <c r="BH3" s="39" t="s">
        <v>72</v>
      </c>
      <c r="BI3" s="39" t="s">
        <v>73</v>
      </c>
      <c r="BJ3" s="40" t="s">
        <v>74</v>
      </c>
      <c r="BK3" s="40" t="s">
        <v>62</v>
      </c>
      <c r="BL3" s="30" t="s">
        <v>26</v>
      </c>
      <c r="BM3" s="30" t="s">
        <v>62</v>
      </c>
      <c r="BN3" s="39" t="s">
        <v>75</v>
      </c>
      <c r="BO3" s="39" t="s">
        <v>76</v>
      </c>
      <c r="BP3" s="39" t="s">
        <v>77</v>
      </c>
      <c r="BQ3" s="39" t="s">
        <v>78</v>
      </c>
      <c r="BR3" s="39" t="s">
        <v>79</v>
      </c>
      <c r="BS3" s="39" t="s">
        <v>80</v>
      </c>
      <c r="BT3" s="30" t="s">
        <v>54</v>
      </c>
      <c r="BU3" s="39" t="s">
        <v>81</v>
      </c>
      <c r="BV3" s="39" t="s">
        <v>82</v>
      </c>
      <c r="BW3" s="39" t="s">
        <v>83</v>
      </c>
      <c r="BX3" s="39" t="s">
        <v>81</v>
      </c>
      <c r="BY3" s="39" t="s">
        <v>82</v>
      </c>
      <c r="BZ3" s="39" t="s">
        <v>83</v>
      </c>
      <c r="CA3" s="39" t="s">
        <v>84</v>
      </c>
      <c r="CB3" s="39" t="s">
        <v>85</v>
      </c>
      <c r="CC3" s="39" t="s">
        <v>86</v>
      </c>
      <c r="CD3" s="39" t="s">
        <v>8</v>
      </c>
      <c r="CE3" s="39" t="s">
        <v>87</v>
      </c>
      <c r="CF3" s="39" t="s">
        <v>88</v>
      </c>
      <c r="CG3" s="39" t="s">
        <v>89</v>
      </c>
      <c r="CH3" s="39" t="s">
        <v>74</v>
      </c>
      <c r="CI3" s="39" t="s">
        <v>62</v>
      </c>
    </row>
    <row r="4" customFormat="false" ht="15.75" hidden="false" customHeight="true" outlineLevel="0" collapsed="false">
      <c r="A4" s="41" t="s">
        <v>90</v>
      </c>
      <c r="B4" s="42" t="s">
        <v>91</v>
      </c>
      <c r="C4" s="43" t="s">
        <v>92</v>
      </c>
      <c r="D4" s="43" t="s">
        <v>93</v>
      </c>
      <c r="E4" s="44" t="n">
        <v>45747</v>
      </c>
      <c r="F4" s="43" t="s">
        <v>94</v>
      </c>
      <c r="G4" s="43" t="s">
        <v>95</v>
      </c>
      <c r="H4" s="43" t="s">
        <v>96</v>
      </c>
      <c r="I4" s="43" t="s">
        <v>97</v>
      </c>
      <c r="J4" s="45" t="n">
        <f aca="false">AO4/AQ4</f>
        <v>0.469658336492221</v>
      </c>
      <c r="K4" s="45" t="s">
        <v>98</v>
      </c>
      <c r="L4" s="46" t="n">
        <v>208</v>
      </c>
      <c r="M4" s="45" t="n">
        <v>6.49</v>
      </c>
      <c r="N4" s="47"/>
      <c r="O4" s="45"/>
      <c r="P4" s="48" t="n">
        <f aca="false">L4*M4</f>
        <v>1349.92</v>
      </c>
      <c r="Q4" s="49" t="n">
        <f aca="false">P4*$Q$1</f>
        <v>36036.249392</v>
      </c>
      <c r="R4" s="48" t="n">
        <f aca="false">1700</f>
        <v>1700</v>
      </c>
      <c r="S4" s="48" t="n">
        <f aca="false">P4*0.3*$S$1*0.5</f>
        <v>5405.4374088</v>
      </c>
      <c r="T4" s="48"/>
      <c r="U4" s="48" t="n">
        <f aca="false">O4*M4*0.1</f>
        <v>0</v>
      </c>
      <c r="V4" s="48"/>
      <c r="W4" s="48" t="n">
        <f aca="false">Y4*M4*2</f>
        <v>0</v>
      </c>
      <c r="X4" s="48" t="n">
        <f aca="false">Z4*M4*1.5</f>
        <v>0</v>
      </c>
      <c r="Y4" s="48"/>
      <c r="Z4" s="48"/>
      <c r="AA4" s="48" t="n">
        <f aca="false">CD4</f>
        <v>0</v>
      </c>
      <c r="AB4" s="48" t="n">
        <f aca="false">P4*0.075</f>
        <v>101.244</v>
      </c>
      <c r="AC4" s="48" t="n">
        <f aca="false">M4*8*AA4</f>
        <v>0</v>
      </c>
      <c r="AD4" s="50"/>
      <c r="AE4" s="50" t="n">
        <f aca="false">AO4/AQ4</f>
        <v>0.469658336492221</v>
      </c>
      <c r="AF4" s="51" t="n">
        <f aca="false">P4+R4+T4+U4+V4+W4+X4+AB4+AC4+AD4</f>
        <v>3151.164</v>
      </c>
      <c r="AG4" s="48" t="n">
        <f aca="false">AF4*0.5</f>
        <v>1575.582</v>
      </c>
      <c r="AH4" s="49" t="n">
        <f aca="false">((AF4-AG4)*AH1)+S4</f>
        <v>47465.756457</v>
      </c>
      <c r="AI4" s="52" t="n">
        <f aca="false">IF(Q4&gt;18519.27,0.045*18519.27,Q4*0.045)</f>
        <v>833.36715</v>
      </c>
      <c r="AJ4" s="48" t="n">
        <f aca="false">(AI4*0.5)/$AQ$1</f>
        <v>15.608990975872</v>
      </c>
      <c r="AK4" s="48" t="n">
        <f aca="false">(AI4*0.4)</f>
        <v>333.34686</v>
      </c>
      <c r="AL4" s="53" t="n">
        <v>0</v>
      </c>
      <c r="AM4" s="53" t="n">
        <f aca="false">(Q4*0.003)</f>
        <v>108.108748176</v>
      </c>
      <c r="AN4" s="53" t="n">
        <f aca="false">IF(AD4&gt;320,320,AD4)</f>
        <v>0</v>
      </c>
      <c r="AO4" s="48" t="n">
        <f aca="false">AG4-AN4-AJ4</f>
        <v>1559.97300902413</v>
      </c>
      <c r="AP4" s="48" t="n">
        <f aca="false">AH4-AK4-AL4-AM4-BB4</f>
        <v>47024.300848824</v>
      </c>
      <c r="AQ4" s="49" t="n">
        <f aca="false">AO4+(AP4/$AQ$1)</f>
        <v>3321.50605624343</v>
      </c>
      <c r="AR4" s="48" t="n">
        <f aca="false">BT4</f>
        <v>993.602422497373</v>
      </c>
      <c r="AS4" s="48" t="n">
        <v>75</v>
      </c>
      <c r="AT4" s="48" t="n">
        <f aca="false">AR4-AS4</f>
        <v>918.602422497373</v>
      </c>
      <c r="AU4" s="48" t="n">
        <f aca="false">AT4*AE4</f>
        <v>431.429285647841</v>
      </c>
      <c r="AV4" s="48" t="n">
        <f aca="false">AU4*0.03</f>
        <v>12.9428785694352</v>
      </c>
      <c r="AW4" s="49" t="n">
        <f aca="false">(AT4-AU4)*$AQ$1</f>
        <v>13005.1356055119</v>
      </c>
      <c r="AX4" s="48" t="n">
        <f aca="false">AW4*0.03</f>
        <v>390.154068165358</v>
      </c>
      <c r="AY4" s="48" t="n">
        <f aca="false">AO4-AU4-AV4</f>
        <v>1115.60084480685</v>
      </c>
      <c r="AZ4" s="48" t="n">
        <f aca="false">AP4-AW4-AX4</f>
        <v>33629.0111751467</v>
      </c>
      <c r="BA4" s="54" t="n">
        <f aca="false">'Nyaradzo Workings'!K8</f>
        <v>1177.3392</v>
      </c>
      <c r="BB4" s="48"/>
      <c r="BC4" s="48"/>
      <c r="BD4" s="48"/>
      <c r="BE4" s="48" t="n">
        <v>0</v>
      </c>
      <c r="BF4" s="48"/>
      <c r="BG4" s="48"/>
      <c r="BH4" s="48"/>
      <c r="BI4" s="48" t="n">
        <v>12.5</v>
      </c>
      <c r="BJ4" s="48"/>
      <c r="BK4" s="48"/>
      <c r="BL4" s="48" t="n">
        <f aca="false">AY4-BI4-BG4-BH4-BD4+BJ4</f>
        <v>1103.10084480685</v>
      </c>
      <c r="BM4" s="48" t="n">
        <f aca="false">AZ4-BA4-BC4-BE4-BF4+BK4</f>
        <v>32451.6719751467</v>
      </c>
      <c r="BN4" s="48" t="n">
        <f aca="false">IF(AQ4&lt;100,0,0)</f>
        <v>0</v>
      </c>
      <c r="BO4" s="48" t="n">
        <f aca="false">IF(AQ4&lt;100,"",IF(AQ4&lt;=300,AQ4*0.2-20,))</f>
        <v>0</v>
      </c>
      <c r="BP4" s="48" t="n">
        <f aca="false">IF(AQ4&lt;300.01,"",IF(AQ4&lt;=1000,AQ4*0.25-35,))</f>
        <v>0</v>
      </c>
      <c r="BQ4" s="48" t="n">
        <f aca="false">IF(AQ4&lt;1000.01,"",IF(AQ4&lt;=2000,AQ4*0.3-85,))</f>
        <v>0</v>
      </c>
      <c r="BR4" s="48" t="n">
        <f aca="false">IF(AQ4&lt;2000.01,"",IF(AQ4&lt;=3000,AQ4*0.35-185,))</f>
        <v>0</v>
      </c>
      <c r="BS4" s="48" t="n">
        <f aca="false">IF(AQ4&lt;3000.01,"",IF(AQ4&gt;3000,AQ4*0.4-335,))</f>
        <v>993.602422497373</v>
      </c>
      <c r="BT4" s="55" t="n">
        <f aca="false">SUM(BN4:BS4)</f>
        <v>993.602422497373</v>
      </c>
      <c r="BU4" s="56" t="s">
        <v>99</v>
      </c>
      <c r="BV4" s="41" t="s">
        <v>100</v>
      </c>
      <c r="BW4" s="41" t="s">
        <v>101</v>
      </c>
      <c r="BX4" s="41" t="s">
        <v>99</v>
      </c>
      <c r="BY4" s="41" t="s">
        <v>100</v>
      </c>
      <c r="BZ4" s="41" t="s">
        <v>102</v>
      </c>
      <c r="CA4" s="41" t="n">
        <v>20.75</v>
      </c>
      <c r="CB4" s="41" t="n">
        <v>2.5</v>
      </c>
      <c r="CC4" s="41" t="n">
        <v>1</v>
      </c>
      <c r="CD4" s="41"/>
      <c r="CE4" s="41" t="n">
        <f aca="false">CA4+CB4-CC4-CD4</f>
        <v>22.25</v>
      </c>
      <c r="CF4" s="57" t="n">
        <f aca="false">M4*8</f>
        <v>51.92</v>
      </c>
      <c r="CG4" s="57" t="n">
        <f aca="false">CE4*CF4</f>
        <v>1155.22</v>
      </c>
      <c r="CH4" s="57" t="n">
        <f aca="false">CG4*0.4</f>
        <v>462.088</v>
      </c>
      <c r="CI4" s="57" t="n">
        <f aca="false">(CG4-CH4)*$CI$2</f>
        <v>18503.2280532</v>
      </c>
      <c r="CK4" s="3"/>
    </row>
    <row r="5" customFormat="false" ht="15.75" hidden="false" customHeight="true" outlineLevel="0" collapsed="false">
      <c r="A5" s="41" t="s">
        <v>103</v>
      </c>
      <c r="B5" s="58" t="s">
        <v>104</v>
      </c>
      <c r="C5" s="43" t="s">
        <v>105</v>
      </c>
      <c r="D5" s="43" t="s">
        <v>106</v>
      </c>
      <c r="E5" s="44" t="n">
        <f aca="false">E4</f>
        <v>45747</v>
      </c>
      <c r="F5" s="43" t="s">
        <v>94</v>
      </c>
      <c r="G5" s="43" t="s">
        <v>107</v>
      </c>
      <c r="H5" s="59" t="s">
        <v>108</v>
      </c>
      <c r="I5" s="43" t="s">
        <v>109</v>
      </c>
      <c r="J5" s="45" t="n">
        <f aca="false">AO5/AQ5</f>
        <v>0.37661718265443</v>
      </c>
      <c r="K5" s="45" t="str">
        <f aca="false">K4</f>
        <v>3/2025</v>
      </c>
      <c r="L5" s="46" t="n">
        <v>208</v>
      </c>
      <c r="M5" s="45" t="n">
        <v>3.85</v>
      </c>
      <c r="N5" s="47" t="n">
        <v>11</v>
      </c>
      <c r="O5" s="45"/>
      <c r="P5" s="48" t="n">
        <f aca="false">L5*M5</f>
        <v>800.8</v>
      </c>
      <c r="Q5" s="49" t="n">
        <f aca="false">P5*$Q$1</f>
        <v>21377.43608</v>
      </c>
      <c r="R5" s="48" t="n">
        <v>438</v>
      </c>
      <c r="S5" s="48" t="n">
        <f aca="false">P5*0.3*$S$1*0.5</f>
        <v>3206.615412</v>
      </c>
      <c r="T5" s="48" t="n">
        <f aca="false">N5*M5*8*0.05</f>
        <v>16.94</v>
      </c>
      <c r="U5" s="48" t="n">
        <f aca="false">O5*M5*0.1</f>
        <v>0</v>
      </c>
      <c r="V5" s="48"/>
      <c r="W5" s="48" t="n">
        <f aca="false">Y5*M5*2</f>
        <v>0</v>
      </c>
      <c r="X5" s="48" t="n">
        <f aca="false">Z5*M5*1.5</f>
        <v>0</v>
      </c>
      <c r="Y5" s="48"/>
      <c r="Z5" s="48"/>
      <c r="AA5" s="48" t="n">
        <f aca="false">CD5</f>
        <v>0</v>
      </c>
      <c r="AB5" s="48" t="n">
        <f aca="false">P5*0.075</f>
        <v>60.06</v>
      </c>
      <c r="AC5" s="48" t="n">
        <f aca="false">M5*8*AA5</f>
        <v>0</v>
      </c>
      <c r="AD5" s="50"/>
      <c r="AE5" s="50" t="n">
        <f aca="false">AO5/AQ5</f>
        <v>0.37661718265443</v>
      </c>
      <c r="AF5" s="51" t="n">
        <f aca="false">P5+R5+T5+U5+V5+W5+X5+AB5+AC5+AD5</f>
        <v>1315.8</v>
      </c>
      <c r="AG5" s="48" t="n">
        <f aca="false">AF5*0.5</f>
        <v>657.9</v>
      </c>
      <c r="AH5" s="49" t="n">
        <f aca="false">(AF5-AG5)*AH1+(300*AH1)+S5</f>
        <v>28777.851702</v>
      </c>
      <c r="AI5" s="52" t="n">
        <f aca="false">IF(Q5&gt;18519.27,0.045*18519.27,Q5*0.045)</f>
        <v>833.36715</v>
      </c>
      <c r="AJ5" s="48" t="n">
        <f aca="false">(AI5*0.5)/$AQ$1</f>
        <v>15.608990975872</v>
      </c>
      <c r="AK5" s="48" t="n">
        <f aca="false">(AI5*0.4)</f>
        <v>333.34686</v>
      </c>
      <c r="AL5" s="53" t="n">
        <v>0</v>
      </c>
      <c r="AM5" s="53" t="n">
        <f aca="false">(Q5*0.003)</f>
        <v>64.13230824</v>
      </c>
      <c r="AN5" s="53" t="n">
        <f aca="false">IF(AD5&gt;320,320,AD5)</f>
        <v>0</v>
      </c>
      <c r="AO5" s="48" t="n">
        <f aca="false">AG5-AN5-AJ5</f>
        <v>642.291009024128</v>
      </c>
      <c r="AP5" s="48" t="n">
        <f aca="false">AH5-AK5-AL5-AM5-BB5</f>
        <v>28380.37253376</v>
      </c>
      <c r="AQ5" s="49" t="n">
        <f aca="false">AO5+(AP5/$AQ$1)</f>
        <v>1705.42141624343</v>
      </c>
      <c r="AR5" s="48" t="n">
        <f aca="false">BT5</f>
        <v>426.626424873029</v>
      </c>
      <c r="AS5" s="48" t="n">
        <v>0</v>
      </c>
      <c r="AT5" s="48" t="n">
        <f aca="false">AR5-AS5</f>
        <v>426.626424873029</v>
      </c>
      <c r="AU5" s="48" t="n">
        <f aca="false">AT5*AE5</f>
        <v>160.674842181612</v>
      </c>
      <c r="AV5" s="48" t="n">
        <f aca="false">AU5*0.03</f>
        <v>4.82024526544836</v>
      </c>
      <c r="AW5" s="49" t="n">
        <f aca="false">(AT5-AU5)*$AQ$1</f>
        <v>7099.60409510565</v>
      </c>
      <c r="AX5" s="48" t="n">
        <f aca="false">AW5*0.03</f>
        <v>212.98812285317</v>
      </c>
      <c r="AY5" s="48" t="n">
        <f aca="false">AO5-AU5-AV5</f>
        <v>476.795921577068</v>
      </c>
      <c r="AZ5" s="48" t="n">
        <f aca="false">AP5-AW5-AX5</f>
        <v>21067.7803158012</v>
      </c>
      <c r="BA5" s="54" t="n">
        <f aca="false">'Nyaradzo Workings'!K9</f>
        <v>711.2292</v>
      </c>
      <c r="BB5" s="48"/>
      <c r="BC5" s="48"/>
      <c r="BD5" s="48"/>
      <c r="BE5" s="48" t="n">
        <v>0</v>
      </c>
      <c r="BF5" s="48"/>
      <c r="BG5" s="48"/>
      <c r="BH5" s="48"/>
      <c r="BI5" s="48" t="n">
        <v>12.5</v>
      </c>
      <c r="BJ5" s="48"/>
      <c r="BK5" s="48"/>
      <c r="BL5" s="48" t="n">
        <f aca="false">AY5-BI5-BG5-BH5-BD5+BJ5</f>
        <v>464.295921577068</v>
      </c>
      <c r="BM5" s="48" t="n">
        <f aca="false">AZ5-BA5-BC5-BE5-BF5+BK5</f>
        <v>20356.5511158012</v>
      </c>
      <c r="BN5" s="48" t="n">
        <f aca="false">IF(AQ5&lt;100,0,0)</f>
        <v>0</v>
      </c>
      <c r="BO5" s="48" t="n">
        <f aca="false">IF(AQ5&lt;100,"",IF(AQ5&lt;=300,AQ5*0.2-20,))</f>
        <v>0</v>
      </c>
      <c r="BP5" s="48" t="n">
        <f aca="false">IF(AQ5&lt;300.01,"",IF(AQ5&lt;=1000,AQ5*0.25-35,))</f>
        <v>0</v>
      </c>
      <c r="BQ5" s="48" t="n">
        <f aca="false">IF(AQ5&lt;1000.01,"",IF(AQ5&lt;=2000,AQ5*0.3-85,))</f>
        <v>426.626424873029</v>
      </c>
      <c r="BR5" s="48" t="str">
        <f aca="false">IF(AQ5&lt;2000.01,"",IF(AQ5&lt;=3000,AQ5*0.35-185,))</f>
        <v/>
      </c>
      <c r="BS5" s="48" t="str">
        <f aca="false">IF(AQ5&lt;3000.01,"",IF(AQ5&gt;3000,AQ5*0.4-335,))</f>
        <v/>
      </c>
      <c r="BT5" s="55" t="n">
        <f aca="false">SUM(BN5:BS5)</f>
        <v>426.626424873029</v>
      </c>
      <c r="BU5" s="41" t="s">
        <v>99</v>
      </c>
      <c r="BV5" s="41" t="s">
        <v>100</v>
      </c>
      <c r="BW5" s="41" t="s">
        <v>110</v>
      </c>
      <c r="BX5" s="41" t="s">
        <v>99</v>
      </c>
      <c r="BY5" s="41" t="s">
        <v>100</v>
      </c>
      <c r="BZ5" s="41" t="s">
        <v>111</v>
      </c>
      <c r="CA5" s="41" t="n">
        <v>27.96</v>
      </c>
      <c r="CB5" s="41" t="n">
        <v>2.5</v>
      </c>
      <c r="CC5" s="41"/>
      <c r="CD5" s="41"/>
      <c r="CE5" s="41" t="n">
        <f aca="false">CA5+CB5-CC5-CD5</f>
        <v>30.46</v>
      </c>
      <c r="CF5" s="57" t="n">
        <f aca="false">M5*8</f>
        <v>30.8</v>
      </c>
      <c r="CG5" s="57" t="n">
        <f aca="false">CE5*CF5</f>
        <v>938.168</v>
      </c>
      <c r="CH5" s="57" t="n">
        <f aca="false">CG5*0.4</f>
        <v>375.2672</v>
      </c>
      <c r="CI5" s="57" t="n">
        <f aca="false">(CG5-CH5)*$CI$2</f>
        <v>15026.69314608</v>
      </c>
    </row>
    <row r="6" customFormat="false" ht="15.75" hidden="false" customHeight="true" outlineLevel="0" collapsed="false">
      <c r="A6" s="41" t="s">
        <v>112</v>
      </c>
      <c r="B6" s="58" t="s">
        <v>113</v>
      </c>
      <c r="C6" s="43" t="s">
        <v>114</v>
      </c>
      <c r="D6" s="43" t="s">
        <v>115</v>
      </c>
      <c r="E6" s="44" t="n">
        <f aca="false">E5</f>
        <v>45747</v>
      </c>
      <c r="F6" s="43" t="s">
        <v>94</v>
      </c>
      <c r="G6" s="43" t="s">
        <v>116</v>
      </c>
      <c r="H6" s="59" t="s">
        <v>108</v>
      </c>
      <c r="I6" s="43" t="s">
        <v>117</v>
      </c>
      <c r="J6" s="45" t="n">
        <f aca="false">AO6/AQ6</f>
        <v>0.465175592930322</v>
      </c>
      <c r="K6" s="45" t="str">
        <f aca="false">K5</f>
        <v>3/2025</v>
      </c>
      <c r="L6" s="46" t="n">
        <v>208</v>
      </c>
      <c r="M6" s="45" t="n">
        <v>3.85</v>
      </c>
      <c r="N6" s="47" t="n">
        <v>25</v>
      </c>
      <c r="O6" s="45"/>
      <c r="P6" s="48" t="n">
        <f aca="false">L6*M6</f>
        <v>800.8</v>
      </c>
      <c r="Q6" s="49" t="n">
        <f aca="false">P6*$Q$1</f>
        <v>21377.43608</v>
      </c>
      <c r="R6" s="48" t="n">
        <v>438</v>
      </c>
      <c r="S6" s="48" t="n">
        <f aca="false">P6*0.3*$S$1*0.5</f>
        <v>3206.615412</v>
      </c>
      <c r="T6" s="48" t="n">
        <f aca="false">N6*M6*8*0.05</f>
        <v>38.5</v>
      </c>
      <c r="U6" s="48" t="n">
        <f aca="false">O6*M6*0.1</f>
        <v>0</v>
      </c>
      <c r="V6" s="48"/>
      <c r="W6" s="48" t="n">
        <f aca="false">Y6*M6*2</f>
        <v>0</v>
      </c>
      <c r="X6" s="48" t="n">
        <f aca="false">Z6*M6*1.5</f>
        <v>0</v>
      </c>
      <c r="Y6" s="48"/>
      <c r="Z6" s="48"/>
      <c r="AA6" s="48" t="n">
        <f aca="false">CD6</f>
        <v>10</v>
      </c>
      <c r="AB6" s="48" t="n">
        <v>60.06</v>
      </c>
      <c r="AC6" s="48" t="n">
        <f aca="false">M6*8*AA6</f>
        <v>308</v>
      </c>
      <c r="AD6" s="50"/>
      <c r="AE6" s="50" t="n">
        <f aca="false">AO6/AQ6</f>
        <v>0.465175592930322</v>
      </c>
      <c r="AF6" s="51" t="n">
        <f aca="false">P6+R6+T6+U6+V6+W6+X6+AB6+AC6+AD6</f>
        <v>1645.36</v>
      </c>
      <c r="AG6" s="48" t="n">
        <f aca="false">AF6*0.5</f>
        <v>822.68</v>
      </c>
      <c r="AH6" s="49" t="n">
        <f aca="false">(AF6-AG6)*AH1+S6</f>
        <v>25168.14028</v>
      </c>
      <c r="AI6" s="52" t="n">
        <f aca="false">IF(Q6&gt;18519.27,0.045*18519.27,Q6*0.045)</f>
        <v>833.36715</v>
      </c>
      <c r="AJ6" s="48" t="n">
        <f aca="false">(AI6*0.5)/$AQ$1</f>
        <v>15.608990975872</v>
      </c>
      <c r="AK6" s="48" t="n">
        <f aca="false">(AI6*0.4)</f>
        <v>333.34686</v>
      </c>
      <c r="AL6" s="53" t="n">
        <v>0</v>
      </c>
      <c r="AM6" s="53" t="n">
        <f aca="false">Q6*0.003</f>
        <v>64.13230824</v>
      </c>
      <c r="AN6" s="53" t="n">
        <f aca="false">IF(AD6&gt;320,320,AD6)</f>
        <v>0</v>
      </c>
      <c r="AO6" s="48" t="n">
        <f aca="false">AG6-AN6-AJ6</f>
        <v>807.071009024128</v>
      </c>
      <c r="AP6" s="48" t="n">
        <f aca="false">AH6-AK6-AL6-AM6-BB6</f>
        <v>24770.66111176</v>
      </c>
      <c r="AQ6" s="49" t="n">
        <f aca="false">AO6+(AP6/$AQ$1)</f>
        <v>1734.98141624343</v>
      </c>
      <c r="AR6" s="48" t="n">
        <f aca="false">BT6</f>
        <v>435.494424873029</v>
      </c>
      <c r="AS6" s="48" t="n">
        <v>0</v>
      </c>
      <c r="AT6" s="48" t="n">
        <f aca="false">AR6-AS6</f>
        <v>435.494424873029</v>
      </c>
      <c r="AU6" s="48" t="n">
        <f aca="false">AT6*AE6</f>
        <v>202.581377308161</v>
      </c>
      <c r="AV6" s="48" t="n">
        <f aca="false">AU6*0.03</f>
        <v>6.07744131924483</v>
      </c>
      <c r="AW6" s="49" t="n">
        <f aca="false">(AT6-AU6)*$AQ$1</f>
        <v>6217.63709604891</v>
      </c>
      <c r="AX6" s="48" t="n">
        <f aca="false">AW6*0.03</f>
        <v>186.529112881467</v>
      </c>
      <c r="AY6" s="48" t="n">
        <f aca="false">AO6-AU6-AV6</f>
        <v>598.412190396722</v>
      </c>
      <c r="AZ6" s="48" t="n">
        <f aca="false">AP6-AW6-AX6</f>
        <v>18366.4949028296</v>
      </c>
      <c r="BA6" s="54" t="n">
        <f aca="false">'Nyaradzo Workings'!K10</f>
        <v>1260.2092</v>
      </c>
      <c r="BB6" s="48"/>
      <c r="BC6" s="48"/>
      <c r="BD6" s="48"/>
      <c r="BE6" s="48" t="n">
        <v>0</v>
      </c>
      <c r="BF6" s="48"/>
      <c r="BG6" s="48"/>
      <c r="BH6" s="48"/>
      <c r="BI6" s="48" t="n">
        <v>12.5</v>
      </c>
      <c r="BJ6" s="48"/>
      <c r="BK6" s="48"/>
      <c r="BL6" s="48" t="n">
        <f aca="false">AY6-BI6-BG6-BH6-BD6+BJ6</f>
        <v>585.912190396722</v>
      </c>
      <c r="BM6" s="48" t="n">
        <f aca="false">AZ6-BA6-BC6-BE6-BF6+BK6</f>
        <v>17106.2857028296</v>
      </c>
      <c r="BN6" s="48" t="n">
        <f aca="false">IF(AQ6&lt;100,0,0)</f>
        <v>0</v>
      </c>
      <c r="BO6" s="48" t="n">
        <f aca="false">IF(AQ6&lt;100,"",IF(AQ6&lt;=300,AQ6*0.2-20,))</f>
        <v>0</v>
      </c>
      <c r="BP6" s="48" t="n">
        <f aca="false">IF(AQ6&lt;300.01,"",IF(AQ6&lt;=1000,AQ6*0.25-35,))</f>
        <v>0</v>
      </c>
      <c r="BQ6" s="48" t="n">
        <f aca="false">IF(AQ6&lt;1000.01,"",IF(AQ6&lt;=2000,AQ6*0.3-85,))</f>
        <v>435.494424873029</v>
      </c>
      <c r="BR6" s="48" t="str">
        <f aca="false">IF(AQ6&lt;2000.01,"",IF(AQ6&lt;=3000,AQ6*0.35-185,))</f>
        <v/>
      </c>
      <c r="BS6" s="48" t="str">
        <f aca="false">IF(AQ6&lt;3000.01,"",IF(AQ6&gt;3000,AQ6*0.4-335,))</f>
        <v/>
      </c>
      <c r="BT6" s="55" t="n">
        <f aca="false">SUM(BN6:BS6)</f>
        <v>435.494424873029</v>
      </c>
      <c r="BU6" s="41" t="s">
        <v>99</v>
      </c>
      <c r="BV6" s="41" t="s">
        <v>118</v>
      </c>
      <c r="BW6" s="41" t="s">
        <v>119</v>
      </c>
      <c r="BX6" s="41" t="s">
        <v>99</v>
      </c>
      <c r="BY6" s="41" t="s">
        <v>118</v>
      </c>
      <c r="BZ6" s="41" t="s">
        <v>120</v>
      </c>
      <c r="CA6" s="41" t="n">
        <v>19.35</v>
      </c>
      <c r="CB6" s="41" t="n">
        <v>2.5</v>
      </c>
      <c r="CC6" s="41"/>
      <c r="CD6" s="41" t="n">
        <v>10</v>
      </c>
      <c r="CE6" s="41" t="n">
        <f aca="false">CA6+CB6-CC6-CD6</f>
        <v>11.85</v>
      </c>
      <c r="CF6" s="57" t="n">
        <f aca="false">M6*8</f>
        <v>30.8</v>
      </c>
      <c r="CG6" s="57" t="n">
        <f aca="false">CE6*CF6</f>
        <v>364.98</v>
      </c>
      <c r="CH6" s="57" t="n">
        <f aca="false">CG6*0.4</f>
        <v>145.992</v>
      </c>
      <c r="CI6" s="57" t="n">
        <f aca="false">(CG6-CH6)*$CI$2</f>
        <v>5845.9065588</v>
      </c>
    </row>
    <row r="7" customFormat="false" ht="15.75" hidden="false" customHeight="true" outlineLevel="0" collapsed="false">
      <c r="A7" s="41" t="s">
        <v>121</v>
      </c>
      <c r="B7" s="58" t="s">
        <v>122</v>
      </c>
      <c r="C7" s="43" t="s">
        <v>123</v>
      </c>
      <c r="D7" s="43" t="s">
        <v>124</v>
      </c>
      <c r="E7" s="44" t="n">
        <f aca="false">E6</f>
        <v>45747</v>
      </c>
      <c r="F7" s="43" t="s">
        <v>94</v>
      </c>
      <c r="G7" s="43" t="s">
        <v>125</v>
      </c>
      <c r="H7" s="43" t="s">
        <v>126</v>
      </c>
      <c r="I7" s="43" t="s">
        <v>127</v>
      </c>
      <c r="J7" s="45" t="n">
        <f aca="false">AO7/AQ7</f>
        <v>0.445575860418567</v>
      </c>
      <c r="K7" s="45" t="str">
        <f aca="false">K6</f>
        <v>3/2025</v>
      </c>
      <c r="L7" s="46" t="n">
        <v>208</v>
      </c>
      <c r="M7" s="45" t="n">
        <v>3.6</v>
      </c>
      <c r="N7" s="47"/>
      <c r="O7" s="45"/>
      <c r="P7" s="48" t="n">
        <f aca="false">L7*M7</f>
        <v>748.8</v>
      </c>
      <c r="Q7" s="49" t="n">
        <f aca="false">P7*$Q$1</f>
        <v>19989.29088</v>
      </c>
      <c r="R7" s="48" t="n">
        <v>153</v>
      </c>
      <c r="S7" s="48" t="n">
        <f aca="false">P7*0.3*$S$1*0.5</f>
        <v>2998.393632</v>
      </c>
      <c r="T7" s="48" t="n">
        <f aca="false">N7*M7*8*0.05</f>
        <v>0</v>
      </c>
      <c r="U7" s="48" t="n">
        <f aca="false">O7*M7*0.1</f>
        <v>0</v>
      </c>
      <c r="V7" s="48"/>
      <c r="W7" s="48" t="n">
        <f aca="false">Y7*M7*2</f>
        <v>0</v>
      </c>
      <c r="X7" s="48" t="n">
        <f aca="false">Z7*M7*1.5</f>
        <v>0</v>
      </c>
      <c r="Y7" s="48"/>
      <c r="Z7" s="48"/>
      <c r="AA7" s="48" t="n">
        <f aca="false">CD7</f>
        <v>0</v>
      </c>
      <c r="AB7" s="48" t="n">
        <v>56.16</v>
      </c>
      <c r="AC7" s="48" t="n">
        <f aca="false">M7*8*AA7</f>
        <v>0</v>
      </c>
      <c r="AD7" s="50"/>
      <c r="AE7" s="50" t="n">
        <f aca="false">AO7/AQ7</f>
        <v>0.445575860418567</v>
      </c>
      <c r="AF7" s="51" t="n">
        <f aca="false">P7+R7+T7+U7+V7+W7+X7+AB7+AC7+AD7</f>
        <v>957.96</v>
      </c>
      <c r="AG7" s="48" t="n">
        <f aca="false">AF7*0.5</f>
        <v>478.98</v>
      </c>
      <c r="AH7" s="49" t="n">
        <f aca="false">(AF7-AG7)*AH1+S7</f>
        <v>15784.81263</v>
      </c>
      <c r="AI7" s="52" t="n">
        <f aca="false">IF(Q7&gt;18519.27,0.045*18519.27,Q7*0.045)</f>
        <v>833.36715</v>
      </c>
      <c r="AJ7" s="48" t="n">
        <f aca="false">(AI7*0.5)/$AQ$1</f>
        <v>15.608990975872</v>
      </c>
      <c r="AK7" s="48" t="n">
        <f aca="false">(AI7*0.4)</f>
        <v>333.34686</v>
      </c>
      <c r="AL7" s="53" t="n">
        <v>0</v>
      </c>
      <c r="AM7" s="53" t="n">
        <f aca="false">(Q7*0.003)</f>
        <v>59.96787264</v>
      </c>
      <c r="AN7" s="53" t="n">
        <f aca="false">IF(AD7&gt;320,320,AD7)</f>
        <v>0</v>
      </c>
      <c r="AO7" s="48" t="n">
        <f aca="false">AG7-AN7-AJ7</f>
        <v>463.371009024128</v>
      </c>
      <c r="AP7" s="48" t="n">
        <f aca="false">AH7-AK7-AL7-AM7-BB7</f>
        <v>15391.49789736</v>
      </c>
      <c r="AQ7" s="49" t="n">
        <f aca="false">AO7+(AP7/$AQ$1)</f>
        <v>1039.93741624343</v>
      </c>
      <c r="AR7" s="48" t="n">
        <f aca="false">BT7</f>
        <v>226.981224873029</v>
      </c>
      <c r="AS7" s="48" t="n">
        <v>0</v>
      </c>
      <c r="AT7" s="48" t="n">
        <f aca="false">AR7-AS7</f>
        <v>226.981224873029</v>
      </c>
      <c r="AU7" s="48" t="n">
        <f aca="false">AT7*AE7</f>
        <v>101.13735457166</v>
      </c>
      <c r="AV7" s="48" t="n">
        <f aca="false">AU7*0.03</f>
        <v>3.03412063714981</v>
      </c>
      <c r="AW7" s="49" t="n">
        <f aca="false">(AT7-AU7)*$AQ$1</f>
        <v>3359.41470208207</v>
      </c>
      <c r="AX7" s="48" t="n">
        <f aca="false">AW7*0.03</f>
        <v>100.782441062462</v>
      </c>
      <c r="AY7" s="48" t="n">
        <f aca="false">AO7-AU7-AV7</f>
        <v>359.199533815318</v>
      </c>
      <c r="AZ7" s="48" t="n">
        <f aca="false">AP7-AW7-AX7</f>
        <v>11931.3007542155</v>
      </c>
      <c r="BA7" s="54" t="n">
        <f aca="false">'Nyaradzo Workings'!K11</f>
        <v>1196.4492</v>
      </c>
      <c r="BB7" s="48"/>
      <c r="BC7" s="48"/>
      <c r="BD7" s="48"/>
      <c r="BE7" s="48" t="n">
        <v>0</v>
      </c>
      <c r="BF7" s="48"/>
      <c r="BG7" s="48"/>
      <c r="BH7" s="48"/>
      <c r="BI7" s="48" t="n">
        <v>12.5</v>
      </c>
      <c r="BJ7" s="48"/>
      <c r="BK7" s="48"/>
      <c r="BL7" s="48" t="n">
        <f aca="false">AY7-BI7-BG7-BH7-BD7+BJ7</f>
        <v>346.699533815318</v>
      </c>
      <c r="BM7" s="48" t="n">
        <f aca="false">AZ7-BA7-BC7-BE7-BF7+BK7</f>
        <v>10734.8515542155</v>
      </c>
      <c r="BN7" s="48" t="n">
        <f aca="false">IF(AQ7&lt;100,0,0)</f>
        <v>0</v>
      </c>
      <c r="BO7" s="48" t="n">
        <f aca="false">IF(AQ7&lt;100,"",IF(AQ7&lt;=300,AQ7*0.2-20,))</f>
        <v>0</v>
      </c>
      <c r="BP7" s="48" t="n">
        <f aca="false">IF(AQ7&lt;300.01,"",IF(AQ7&lt;=1000,AQ7*0.25-35,))</f>
        <v>0</v>
      </c>
      <c r="BQ7" s="48" t="n">
        <f aca="false">IF(AQ7&lt;1000.01,"",IF(AQ7&lt;=2000,AQ7*0.3-85,))</f>
        <v>226.981224873029</v>
      </c>
      <c r="BR7" s="48" t="str">
        <f aca="false">IF(AQ7&lt;2000.01,"",IF(AQ7&lt;=3000,AQ7*0.35-185,))</f>
        <v/>
      </c>
      <c r="BS7" s="48" t="str">
        <f aca="false">IF(AQ7&lt;3000.01,"",IF(AQ7&gt;3000,AQ7*0.4-335,))</f>
        <v/>
      </c>
      <c r="BT7" s="55" t="n">
        <f aca="false">SUM(BN7:BS7)</f>
        <v>226.981224873029</v>
      </c>
      <c r="BU7" s="41" t="s">
        <v>99</v>
      </c>
      <c r="BV7" s="41" t="s">
        <v>100</v>
      </c>
      <c r="BW7" s="41" t="s">
        <v>128</v>
      </c>
      <c r="BX7" s="41" t="s">
        <v>99</v>
      </c>
      <c r="BY7" s="41" t="s">
        <v>100</v>
      </c>
      <c r="BZ7" s="41" t="s">
        <v>129</v>
      </c>
      <c r="CA7" s="41" t="n">
        <v>7.56</v>
      </c>
      <c r="CB7" s="41" t="n">
        <v>2.5</v>
      </c>
      <c r="CC7" s="41"/>
      <c r="CD7" s="41"/>
      <c r="CE7" s="41" t="n">
        <f aca="false">CA7+CB7-CC7-CD7</f>
        <v>10.06</v>
      </c>
      <c r="CF7" s="57" t="n">
        <f aca="false">M7*8</f>
        <v>28.8</v>
      </c>
      <c r="CG7" s="57" t="n">
        <f aca="false">CE7*CF7</f>
        <v>289.728</v>
      </c>
      <c r="CH7" s="57" t="n">
        <f aca="false">CG7*0.4</f>
        <v>115.8912</v>
      </c>
      <c r="CI7" s="57" t="n">
        <f aca="false">(CG7-CH7)*$CI$2</f>
        <v>4640.59075968</v>
      </c>
    </row>
    <row r="8" customFormat="false" ht="15.75" hidden="false" customHeight="true" outlineLevel="0" collapsed="false">
      <c r="A8" s="41" t="s">
        <v>130</v>
      </c>
      <c r="B8" s="58" t="s">
        <v>131</v>
      </c>
      <c r="C8" s="43" t="s">
        <v>132</v>
      </c>
      <c r="D8" s="43" t="s">
        <v>133</v>
      </c>
      <c r="E8" s="44" t="n">
        <f aca="false">E7</f>
        <v>45747</v>
      </c>
      <c r="F8" s="43" t="s">
        <v>134</v>
      </c>
      <c r="G8" s="43" t="s">
        <v>135</v>
      </c>
      <c r="H8" s="59" t="s">
        <v>108</v>
      </c>
      <c r="I8" s="43" t="s">
        <v>136</v>
      </c>
      <c r="J8" s="45" t="n">
        <f aca="false">AO8/AQ8</f>
        <v>0.429087374773296</v>
      </c>
      <c r="K8" s="45" t="str">
        <f aca="false">K7</f>
        <v>3/2025</v>
      </c>
      <c r="L8" s="46" t="n">
        <v>208</v>
      </c>
      <c r="M8" s="45" t="n">
        <v>4.76</v>
      </c>
      <c r="N8" s="47"/>
      <c r="O8" s="45"/>
      <c r="P8" s="48" t="n">
        <f aca="false">L8*M8</f>
        <v>990.08</v>
      </c>
      <c r="Q8" s="49" t="n">
        <f aca="false">P8*$Q$1</f>
        <v>26430.284608</v>
      </c>
      <c r="R8" s="48" t="n">
        <v>290</v>
      </c>
      <c r="S8" s="48" t="n">
        <f aca="false">P8*0.3*$S$1*0.5</f>
        <v>3964.5426912</v>
      </c>
      <c r="T8" s="48" t="n">
        <f aca="false">N8*M8*8*0.05</f>
        <v>0</v>
      </c>
      <c r="U8" s="48" t="n">
        <f aca="false">O8*M8*0.1</f>
        <v>0</v>
      </c>
      <c r="V8" s="48"/>
      <c r="W8" s="48" t="n">
        <f aca="false">Y8*M8*2</f>
        <v>0</v>
      </c>
      <c r="X8" s="48" t="n">
        <f aca="false">Z8*M8*1.5</f>
        <v>0</v>
      </c>
      <c r="Y8" s="48"/>
      <c r="Z8" s="48"/>
      <c r="AA8" s="48" t="n">
        <f aca="false">CD8</f>
        <v>0</v>
      </c>
      <c r="AB8" s="48" t="n">
        <f aca="false">P8*0.075</f>
        <v>74.256</v>
      </c>
      <c r="AC8" s="48" t="n">
        <f aca="false">M8*8*AA8</f>
        <v>0</v>
      </c>
      <c r="AD8" s="50"/>
      <c r="AE8" s="50" t="n">
        <f aca="false">AO8/AQ8</f>
        <v>0.429087374773296</v>
      </c>
      <c r="AF8" s="51" t="n">
        <f aca="false">P8+R8+T8+U8+V8+W8+X8+AB8+AC8+AD8</f>
        <v>1354.336</v>
      </c>
      <c r="AG8" s="48" t="n">
        <f aca="false">AF8*0.5</f>
        <v>677.168</v>
      </c>
      <c r="AH8" s="49" t="n">
        <f aca="false">(AF8-AG8)*AH1+(70*AH1)+S8</f>
        <v>23910.267168</v>
      </c>
      <c r="AI8" s="52" t="n">
        <f aca="false">IF(Q8&gt;18519.27,0.045*18519.27,Q8*0.045)</f>
        <v>833.36715</v>
      </c>
      <c r="AJ8" s="48" t="n">
        <f aca="false">(AI8*0.5)/$AQ$1</f>
        <v>15.608990975872</v>
      </c>
      <c r="AK8" s="48" t="n">
        <f aca="false">(AI8*0.4)</f>
        <v>333.34686</v>
      </c>
      <c r="AL8" s="53" t="n">
        <v>0</v>
      </c>
      <c r="AM8" s="53" t="n">
        <f aca="false">Q8*0.003</f>
        <v>79.290853824</v>
      </c>
      <c r="AN8" s="53" t="n">
        <f aca="false">IF(AD8&gt;320,320,AD8)</f>
        <v>0</v>
      </c>
      <c r="AO8" s="48" t="n">
        <f aca="false">AG8-AN8-AJ8</f>
        <v>661.559009024128</v>
      </c>
      <c r="AP8" s="48" t="n">
        <f aca="false">AH8-AK8-AL8-AM8-BB8</f>
        <v>23497.629454176</v>
      </c>
      <c r="AQ8" s="49" t="n">
        <f aca="false">AO8+(AP8/$AQ$1)</f>
        <v>1541.78157624343</v>
      </c>
      <c r="AR8" s="48" t="n">
        <f aca="false">BT8</f>
        <v>377.534472873029</v>
      </c>
      <c r="AS8" s="48" t="n">
        <v>0</v>
      </c>
      <c r="AT8" s="48" t="n">
        <f aca="false">AR8-AS8</f>
        <v>377.534472873029</v>
      </c>
      <c r="AU8" s="48" t="n">
        <f aca="false">AT8*AE8</f>
        <v>161.995275851508</v>
      </c>
      <c r="AV8" s="48" t="n">
        <f aca="false">AU8*0.03</f>
        <v>4.85985827554525</v>
      </c>
      <c r="AW8" s="49" t="n">
        <f aca="false">(AT8-AU8)*$AQ$1</f>
        <v>5753.8404184092</v>
      </c>
      <c r="AX8" s="48" t="n">
        <f aca="false">AW8*0.03</f>
        <v>172.615212552276</v>
      </c>
      <c r="AY8" s="48" t="n">
        <f aca="false">AO8-AU8-AV8</f>
        <v>494.703874897075</v>
      </c>
      <c r="AZ8" s="48" t="n">
        <f aca="false">AP8-AW8-AX8</f>
        <v>17571.1738232145</v>
      </c>
      <c r="BA8" s="54" t="n">
        <f aca="false">'Nyaradzo Workings'!K12</f>
        <v>959.5492</v>
      </c>
      <c r="BB8" s="48"/>
      <c r="BC8" s="48"/>
      <c r="BD8" s="48"/>
      <c r="BE8" s="48" t="n">
        <v>0</v>
      </c>
      <c r="BF8" s="48"/>
      <c r="BG8" s="48"/>
      <c r="BH8" s="48"/>
      <c r="BI8" s="48"/>
      <c r="BJ8" s="48"/>
      <c r="BK8" s="48"/>
      <c r="BL8" s="48" t="n">
        <f aca="false">AY8-BI8-BG8-BH8-BD8+BJ8</f>
        <v>494.703874897075</v>
      </c>
      <c r="BM8" s="48" t="n">
        <f aca="false">AZ8-BA8-BC8-BE8-BF8+BK8</f>
        <v>16611.6246232145</v>
      </c>
      <c r="BN8" s="48" t="n">
        <f aca="false">IF(AQ8&lt;100,0,0)</f>
        <v>0</v>
      </c>
      <c r="BO8" s="48" t="n">
        <f aca="false">IF(AQ8&lt;100,"",IF(AQ8&lt;=300,AQ8*0.2-20,))</f>
        <v>0</v>
      </c>
      <c r="BP8" s="48" t="n">
        <f aca="false">IF(AQ8&lt;300.01,"",IF(AQ8&lt;=1000,AQ8*0.25-35,))</f>
        <v>0</v>
      </c>
      <c r="BQ8" s="48" t="n">
        <f aca="false">IF(AQ8&lt;1000.01,"",IF(AQ8&lt;=2000,AQ8*0.3-85,))</f>
        <v>377.534472873029</v>
      </c>
      <c r="BR8" s="48" t="str">
        <f aca="false">IF(AQ8&lt;2000.01,"",IF(AQ8&lt;=3000,AQ8*0.35-185,))</f>
        <v/>
      </c>
      <c r="BS8" s="48" t="str">
        <f aca="false">IF(AQ8&lt;3000.01,"",IF(AQ8&gt;3000,AQ8*0.4-335,))</f>
        <v/>
      </c>
      <c r="BT8" s="55" t="n">
        <f aca="false">SUM(BN8:BS8)</f>
        <v>377.534472873029</v>
      </c>
      <c r="BU8" s="41" t="s">
        <v>99</v>
      </c>
      <c r="BV8" s="41" t="s">
        <v>100</v>
      </c>
      <c r="BW8" s="41" t="s">
        <v>137</v>
      </c>
      <c r="BX8" s="41" t="s">
        <v>99</v>
      </c>
      <c r="BY8" s="41" t="s">
        <v>100</v>
      </c>
      <c r="BZ8" s="41" t="s">
        <v>138</v>
      </c>
      <c r="CA8" s="41" t="n">
        <v>82.86</v>
      </c>
      <c r="CB8" s="41" t="n">
        <v>2.5</v>
      </c>
      <c r="CC8" s="41"/>
      <c r="CD8" s="41"/>
      <c r="CE8" s="41" t="n">
        <f aca="false">CA8+CB8-CC8-CD8</f>
        <v>85.36</v>
      </c>
      <c r="CF8" s="57" t="n">
        <f aca="false">M8*8</f>
        <v>38.08</v>
      </c>
      <c r="CG8" s="57" t="n">
        <f aca="false">CE8*CF8</f>
        <v>3250.5088</v>
      </c>
      <c r="CH8" s="57" t="n">
        <f aca="false">CG8*0.4</f>
        <v>1300.20352</v>
      </c>
      <c r="CI8" s="57" t="n">
        <f aca="false">(CG8-CH8)*$CI$2</f>
        <v>52063.594480128</v>
      </c>
    </row>
    <row r="9" customFormat="false" ht="15.75" hidden="false" customHeight="true" outlineLevel="0" collapsed="false">
      <c r="A9" s="41" t="s">
        <v>139</v>
      </c>
      <c r="B9" s="58" t="s">
        <v>140</v>
      </c>
      <c r="C9" s="43" t="s">
        <v>141</v>
      </c>
      <c r="D9" s="43" t="s">
        <v>142</v>
      </c>
      <c r="E9" s="44" t="n">
        <f aca="false">E8</f>
        <v>45747</v>
      </c>
      <c r="F9" s="43" t="s">
        <v>94</v>
      </c>
      <c r="G9" s="43" t="s">
        <v>143</v>
      </c>
      <c r="H9" s="43" t="s">
        <v>144</v>
      </c>
      <c r="I9" s="43" t="s">
        <v>145</v>
      </c>
      <c r="J9" s="45" t="n">
        <f aca="false">AO9/AQ9</f>
        <v>0.469289712947155</v>
      </c>
      <c r="K9" s="45" t="str">
        <f aca="false">K8</f>
        <v>3/2025</v>
      </c>
      <c r="L9" s="46" t="n">
        <v>208</v>
      </c>
      <c r="M9" s="45" t="n">
        <v>2.8</v>
      </c>
      <c r="N9" s="47" t="n">
        <v>22</v>
      </c>
      <c r="O9" s="45"/>
      <c r="P9" s="48" t="n">
        <f aca="false">L9*M9</f>
        <v>582.4</v>
      </c>
      <c r="Q9" s="49" t="n">
        <f aca="false">P9*$Q$1</f>
        <v>15547.22624</v>
      </c>
      <c r="R9" s="48" t="n">
        <v>100</v>
      </c>
      <c r="S9" s="48" t="n">
        <f aca="false">P9*0.3*$S$1*0.5</f>
        <v>2332.083936</v>
      </c>
      <c r="T9" s="48" t="n">
        <f aca="false">N9*M9*8*0.05</f>
        <v>24.64</v>
      </c>
      <c r="U9" s="48" t="n">
        <f aca="false">O9*M9*0.1</f>
        <v>0</v>
      </c>
      <c r="V9" s="48"/>
      <c r="W9" s="48" t="n">
        <f aca="false">Y9*M9*2</f>
        <v>0</v>
      </c>
      <c r="X9" s="48" t="n">
        <f aca="false">Z9*M9*1.5</f>
        <v>0</v>
      </c>
      <c r="Y9" s="48"/>
      <c r="Z9" s="48"/>
      <c r="AA9" s="48" t="n">
        <f aca="false">CD9</f>
        <v>0</v>
      </c>
      <c r="AB9" s="48"/>
      <c r="AC9" s="48" t="n">
        <f aca="false">M9*8*AA9</f>
        <v>0</v>
      </c>
      <c r="AD9" s="50"/>
      <c r="AE9" s="50" t="n">
        <f aca="false">AO9/AQ9</f>
        <v>0.469289712947155</v>
      </c>
      <c r="AF9" s="51" t="n">
        <f aca="false">P9+R9+T9+U9+V9+W9+X9+AB9+AC9+AD9</f>
        <v>707.04</v>
      </c>
      <c r="AG9" s="48" t="n">
        <f aca="false">AF9*0.5</f>
        <v>353.52</v>
      </c>
      <c r="AH9" s="49" t="n">
        <f aca="false">(AF9-AG9)*AH1+S9</f>
        <v>11769.335688</v>
      </c>
      <c r="AI9" s="52" t="n">
        <f aca="false">IF(Q9&gt;18519.27,0.045*18519.27,Q9*0.045)</f>
        <v>699.6251808</v>
      </c>
      <c r="AJ9" s="48" t="n">
        <f aca="false">(AI9*0.5)/$AQ$1</f>
        <v>13.104</v>
      </c>
      <c r="AK9" s="48" t="n">
        <f aca="false">(AI9*0.4)</f>
        <v>279.85007232</v>
      </c>
      <c r="AL9" s="53" t="n">
        <f aca="false">Q9*0.075</f>
        <v>1166.041968</v>
      </c>
      <c r="AM9" s="53" t="n">
        <f aca="false">Q9*0.003</f>
        <v>46.64167872</v>
      </c>
      <c r="AN9" s="53" t="n">
        <f aca="false">IF(AD9&gt;320,320,AD9)</f>
        <v>0</v>
      </c>
      <c r="AO9" s="48" t="n">
        <f aca="false">AG9-AN9-AJ9</f>
        <v>340.416</v>
      </c>
      <c r="AP9" s="48" t="n">
        <f aca="false">AH9-AK9-AL9-AM9-BB9</f>
        <v>10276.80196896</v>
      </c>
      <c r="AQ9" s="49" t="n">
        <f aca="false">AO9+(AP9/$AQ$1)</f>
        <v>725.3856</v>
      </c>
      <c r="AR9" s="48" t="n">
        <f aca="false">BT9</f>
        <v>146.3464</v>
      </c>
      <c r="AS9" s="48" t="n">
        <v>0</v>
      </c>
      <c r="AT9" s="48" t="n">
        <f aca="false">AR9-AS9</f>
        <v>146.3464</v>
      </c>
      <c r="AU9" s="48" t="n">
        <f aca="false">AT9*AE9</f>
        <v>68.6788600468496</v>
      </c>
      <c r="AV9" s="48" t="n">
        <f aca="false">AU9*0.03</f>
        <v>2.06036580140549</v>
      </c>
      <c r="AW9" s="49" t="n">
        <f aca="false">(AT9-AU9)*$AQ$1</f>
        <v>2073.34274580335</v>
      </c>
      <c r="AX9" s="48" t="n">
        <f aca="false">AW9*0.03</f>
        <v>62.2002823741004</v>
      </c>
      <c r="AY9" s="48" t="n">
        <f aca="false">AO9-AU9-AV9</f>
        <v>269.676774151745</v>
      </c>
      <c r="AZ9" s="48" t="n">
        <f aca="false">AP9-AW9-AX9</f>
        <v>8141.25894078255</v>
      </c>
      <c r="BA9" s="54" t="n">
        <f aca="false">'Nyaradzo Workings'!K13</f>
        <v>698.9992</v>
      </c>
      <c r="BB9" s="48" t="n">
        <v>0</v>
      </c>
      <c r="BC9" s="48"/>
      <c r="BD9" s="48"/>
      <c r="BE9" s="48" t="n">
        <v>0</v>
      </c>
      <c r="BF9" s="48"/>
      <c r="BG9" s="48"/>
      <c r="BH9" s="48"/>
      <c r="BI9" s="48" t="n">
        <v>12.5</v>
      </c>
      <c r="BJ9" s="48"/>
      <c r="BK9" s="48"/>
      <c r="BL9" s="48" t="n">
        <f aca="false">AY9-BI9-BG9-BH9-BD9+BJ9</f>
        <v>257.176774151745</v>
      </c>
      <c r="BM9" s="48" t="n">
        <f aca="false">AZ9-BA9-BC9-BE9-BF9+BK9</f>
        <v>7442.25974078255</v>
      </c>
      <c r="BN9" s="48" t="n">
        <f aca="false">IF(AQ9&lt;100,0,0)</f>
        <v>0</v>
      </c>
      <c r="BO9" s="48" t="n">
        <f aca="false">IF(AQ9&lt;100,"",IF(AQ9&lt;=300,AQ9*0.2-20,))</f>
        <v>0</v>
      </c>
      <c r="BP9" s="48" t="n">
        <f aca="false">IF(AQ9&lt;300.01,"",IF(AQ9&lt;=1000,AQ9*0.25-35,))</f>
        <v>146.3464</v>
      </c>
      <c r="BQ9" s="48" t="str">
        <f aca="false">IF(AQ9&lt;1000.01,"",IF(AQ9&lt;=2000,AQ9*0.3-85,))</f>
        <v/>
      </c>
      <c r="BR9" s="48" t="str">
        <f aca="false">IF(AQ9&lt;2000.01,"",IF(AQ9&lt;=3000,AQ9*0.35-185,))</f>
        <v/>
      </c>
      <c r="BS9" s="48" t="str">
        <f aca="false">IF(AQ9&lt;3000.01,"",IF(AQ9&gt;3000,AQ9*0.4-335,))</f>
        <v/>
      </c>
      <c r="BT9" s="55" t="n">
        <f aca="false">SUM(BN9:BS9)</f>
        <v>146.3464</v>
      </c>
      <c r="BU9" s="41" t="s">
        <v>99</v>
      </c>
      <c r="BV9" s="41" t="s">
        <v>100</v>
      </c>
      <c r="BW9" s="41" t="s">
        <v>146</v>
      </c>
      <c r="BX9" s="41" t="s">
        <v>99</v>
      </c>
      <c r="BY9" s="41" t="s">
        <v>100</v>
      </c>
      <c r="BZ9" s="41" t="s">
        <v>147</v>
      </c>
      <c r="CA9" s="41" t="n">
        <v>16</v>
      </c>
      <c r="CB9" s="41" t="n">
        <v>2.5</v>
      </c>
      <c r="CC9" s="41"/>
      <c r="CD9" s="41"/>
      <c r="CE9" s="41" t="n">
        <f aca="false">CA9+CB9-CC9-CD9</f>
        <v>18.5</v>
      </c>
      <c r="CF9" s="57" t="n">
        <f aca="false">M9*8</f>
        <v>22.4</v>
      </c>
      <c r="CG9" s="57" t="n">
        <f aca="false">CE9*CF9</f>
        <v>414.4</v>
      </c>
      <c r="CH9" s="57" t="n">
        <f aca="false">CG9*0.4</f>
        <v>165.76</v>
      </c>
      <c r="CI9" s="57" t="n">
        <f aca="false">(CG9-CH9)*$CI$2</f>
        <v>6637.469664</v>
      </c>
    </row>
    <row r="10" customFormat="false" ht="15.75" hidden="false" customHeight="true" outlineLevel="0" collapsed="false">
      <c r="A10" s="41" t="s">
        <v>148</v>
      </c>
      <c r="B10" s="58" t="s">
        <v>149</v>
      </c>
      <c r="C10" s="43" t="s">
        <v>150</v>
      </c>
      <c r="D10" s="43" t="s">
        <v>151</v>
      </c>
      <c r="E10" s="44" t="n">
        <f aca="false">E9</f>
        <v>45747</v>
      </c>
      <c r="F10" s="43" t="s">
        <v>94</v>
      </c>
      <c r="G10" s="43" t="s">
        <v>143</v>
      </c>
      <c r="H10" s="43" t="s">
        <v>144</v>
      </c>
      <c r="I10" s="43" t="s">
        <v>152</v>
      </c>
      <c r="J10" s="45" t="n">
        <f aca="false">AO10/AQ10</f>
        <v>0.476909145789315</v>
      </c>
      <c r="K10" s="45" t="str">
        <f aca="false">K9</f>
        <v>3/2025</v>
      </c>
      <c r="L10" s="46" t="n">
        <v>208</v>
      </c>
      <c r="M10" s="45" t="n">
        <v>2.8</v>
      </c>
      <c r="N10" s="47" t="n">
        <v>25</v>
      </c>
      <c r="O10" s="45"/>
      <c r="P10" s="48" t="n">
        <f aca="false">L10*M10</f>
        <v>582.4</v>
      </c>
      <c r="Q10" s="49" t="n">
        <f aca="false">P10*$Q$1</f>
        <v>15547.22624</v>
      </c>
      <c r="R10" s="48"/>
      <c r="S10" s="48" t="n">
        <f aca="false">P10*0.3*$S$1*0.5</f>
        <v>2332.083936</v>
      </c>
      <c r="T10" s="48" t="n">
        <f aca="false">N10*M10*8*0.05</f>
        <v>28</v>
      </c>
      <c r="U10" s="48" t="n">
        <f aca="false">O10*M10*0.1</f>
        <v>0</v>
      </c>
      <c r="V10" s="48"/>
      <c r="W10" s="48" t="n">
        <f aca="false">Y10*M10*2</f>
        <v>0</v>
      </c>
      <c r="X10" s="48" t="n">
        <f aca="false">Z10*M10*1.5</f>
        <v>0</v>
      </c>
      <c r="Y10" s="48"/>
      <c r="Z10" s="48"/>
      <c r="AA10" s="48" t="n">
        <f aca="false">CD10</f>
        <v>15</v>
      </c>
      <c r="AB10" s="48"/>
      <c r="AC10" s="48" t="n">
        <f aca="false">M10*8*AA10</f>
        <v>336</v>
      </c>
      <c r="AD10" s="50"/>
      <c r="AE10" s="50" t="n">
        <f aca="false">AO10/AQ10</f>
        <v>0.476909145789315</v>
      </c>
      <c r="AF10" s="51" t="n">
        <f aca="false">P10+R10+T10+U10+V10+W10+X10+AB10+AC10+AD10</f>
        <v>946.4</v>
      </c>
      <c r="AG10" s="48" t="n">
        <f aca="false">AF10*0.5</f>
        <v>473.2</v>
      </c>
      <c r="AH10" s="49" t="n">
        <f aca="false">(AF10-AG10)*$AH$1+S10</f>
        <v>14964.205256</v>
      </c>
      <c r="AI10" s="52" t="n">
        <f aca="false">IF(Q10&gt;18519.27,0.045*18519.27,Q10*0.045)</f>
        <v>699.6251808</v>
      </c>
      <c r="AJ10" s="48" t="n">
        <f aca="false">(AI10*0.5)/$AQ$1</f>
        <v>13.104</v>
      </c>
      <c r="AK10" s="48" t="n">
        <f aca="false">(AI10*0.4)</f>
        <v>279.85007232</v>
      </c>
      <c r="AL10" s="53" t="n">
        <f aca="false">Q10*0.075</f>
        <v>1166.041968</v>
      </c>
      <c r="AM10" s="53" t="n">
        <f aca="false">Q10*0.003</f>
        <v>46.64167872</v>
      </c>
      <c r="AN10" s="53" t="n">
        <f aca="false">IF(AD10&gt;320,320,AD10)</f>
        <v>0</v>
      </c>
      <c r="AO10" s="48" t="n">
        <f aca="false">AG10-AN10-AJ10</f>
        <v>460.096</v>
      </c>
      <c r="AP10" s="48" t="n">
        <f aca="false">AH10-AK10-AL10-AM10-BB10</f>
        <v>13471.67153696</v>
      </c>
      <c r="AQ10" s="49" t="n">
        <f aca="false">AO10+(AP10/$AQ$1)</f>
        <v>964.7456</v>
      </c>
      <c r="AR10" s="48" t="n">
        <f aca="false">BT10</f>
        <v>206.1864</v>
      </c>
      <c r="AS10" s="48" t="n">
        <v>0</v>
      </c>
      <c r="AT10" s="48" t="n">
        <f aca="false">AR10-AS10</f>
        <v>206.1864</v>
      </c>
      <c r="AU10" s="48" t="n">
        <f aca="false">AT10*AE10</f>
        <v>98.332179897374</v>
      </c>
      <c r="AV10" s="48" t="n">
        <f aca="false">AU10*0.03</f>
        <v>2.94996539692122</v>
      </c>
      <c r="AW10" s="49" t="n">
        <f aca="false">(AT10-AU10)*$AQ$1</f>
        <v>2879.17919106161</v>
      </c>
      <c r="AX10" s="48" t="n">
        <f aca="false">AW10*0.03</f>
        <v>86.3753757318484</v>
      </c>
      <c r="AY10" s="48" t="n">
        <f aca="false">AO10-AU10-AV10</f>
        <v>358.813854705705</v>
      </c>
      <c r="AZ10" s="48" t="n">
        <f aca="false">AP10-AW10-AX10</f>
        <v>10506.1169701665</v>
      </c>
      <c r="BA10" s="54" t="n">
        <f aca="false">'Nyaradzo Workings'!K14</f>
        <v>901.0247</v>
      </c>
      <c r="BB10" s="48" t="n">
        <v>0</v>
      </c>
      <c r="BC10" s="48"/>
      <c r="BD10" s="48"/>
      <c r="BE10" s="48" t="n">
        <v>0</v>
      </c>
      <c r="BF10" s="48"/>
      <c r="BG10" s="48"/>
      <c r="BH10" s="48"/>
      <c r="BI10" s="48"/>
      <c r="BJ10" s="48"/>
      <c r="BK10" s="48"/>
      <c r="BL10" s="48" t="n">
        <f aca="false">AY10-BI10-BG10-BH10-BD10+BJ10</f>
        <v>358.813854705705</v>
      </c>
      <c r="BM10" s="48" t="n">
        <f aca="false">AZ10-BA10-BC10-BE10-BF10+BK10</f>
        <v>9605.09227016654</v>
      </c>
      <c r="BN10" s="48" t="n">
        <f aca="false">IF(AQ10&lt;100,0,0)</f>
        <v>0</v>
      </c>
      <c r="BO10" s="48" t="n">
        <f aca="false">IF(AQ10&lt;100,"",IF(AQ10&lt;=300,AQ10*0.2-20,))</f>
        <v>0</v>
      </c>
      <c r="BP10" s="48" t="n">
        <f aca="false">IF(AQ10&lt;300.01,"",IF(AQ10&lt;=1000,AQ10*0.25-35,))</f>
        <v>206.1864</v>
      </c>
      <c r="BQ10" s="48" t="str">
        <f aca="false">IF(AQ10&lt;1000.01,"",IF(AQ10&lt;=2000,AQ10*0.3-85,))</f>
        <v/>
      </c>
      <c r="BR10" s="48" t="str">
        <f aca="false">IF(AQ10&lt;2000.01,"",IF(AQ10&lt;=3000,AQ10*0.35-185,))</f>
        <v/>
      </c>
      <c r="BS10" s="48" t="str">
        <f aca="false">IF(AQ10&lt;3000.01,"",IF(AQ10&gt;3000,AQ10*0.4-335,))</f>
        <v/>
      </c>
      <c r="BT10" s="55" t="n">
        <f aca="false">SUM(BN10:BS10)</f>
        <v>206.1864</v>
      </c>
      <c r="BU10" s="41" t="s">
        <v>99</v>
      </c>
      <c r="BV10" s="41" t="s">
        <v>100</v>
      </c>
      <c r="BW10" s="41" t="s">
        <v>153</v>
      </c>
      <c r="BX10" s="41" t="s">
        <v>99</v>
      </c>
      <c r="BY10" s="41" t="s">
        <v>100</v>
      </c>
      <c r="BZ10" s="41" t="s">
        <v>154</v>
      </c>
      <c r="CA10" s="41" t="n">
        <v>18.03</v>
      </c>
      <c r="CB10" s="41" t="n">
        <v>2.5</v>
      </c>
      <c r="CC10" s="41"/>
      <c r="CD10" s="41" t="n">
        <v>15</v>
      </c>
      <c r="CE10" s="41" t="n">
        <f aca="false">CA10+CB10-CC10-CD10</f>
        <v>5.53</v>
      </c>
      <c r="CF10" s="57" t="n">
        <f aca="false">M10*8</f>
        <v>22.4</v>
      </c>
      <c r="CG10" s="57" t="n">
        <f aca="false">CE10*CF10</f>
        <v>123.872</v>
      </c>
      <c r="CH10" s="57" t="n">
        <f aca="false">CG10*0.4</f>
        <v>49.5488</v>
      </c>
      <c r="CI10" s="57" t="n">
        <f aca="false">(CG10-CH10)*$CI$2</f>
        <v>1984.06525632</v>
      </c>
    </row>
    <row r="11" customFormat="false" ht="15.75" hidden="false" customHeight="true" outlineLevel="0" collapsed="false">
      <c r="A11" s="41" t="s">
        <v>155</v>
      </c>
      <c r="B11" s="58" t="s">
        <v>156</v>
      </c>
      <c r="C11" s="43" t="s">
        <v>157</v>
      </c>
      <c r="D11" s="43" t="s">
        <v>158</v>
      </c>
      <c r="E11" s="44" t="n">
        <f aca="false">E10</f>
        <v>45747</v>
      </c>
      <c r="F11" s="43" t="s">
        <v>94</v>
      </c>
      <c r="G11" s="43" t="s">
        <v>159</v>
      </c>
      <c r="H11" s="43" t="s">
        <v>160</v>
      </c>
      <c r="I11" s="43" t="s">
        <v>161</v>
      </c>
      <c r="J11" s="45" t="n">
        <f aca="false">AO11/AQ11</f>
        <v>0.46456945384588</v>
      </c>
      <c r="K11" s="45" t="str">
        <f aca="false">K10</f>
        <v>3/2025</v>
      </c>
      <c r="L11" s="46" t="n">
        <v>208</v>
      </c>
      <c r="M11" s="45" t="n">
        <v>1.62</v>
      </c>
      <c r="N11" s="47" t="n">
        <v>25</v>
      </c>
      <c r="O11" s="45"/>
      <c r="P11" s="48" t="n">
        <f aca="false">L11*M11</f>
        <v>336.96</v>
      </c>
      <c r="Q11" s="49" t="n">
        <f aca="false">P11*$Q$1</f>
        <v>8995.180896</v>
      </c>
      <c r="R11" s="48"/>
      <c r="S11" s="48" t="n">
        <f aca="false">P11*0.3*$S$1*0.5</f>
        <v>1349.2771344</v>
      </c>
      <c r="T11" s="48" t="n">
        <f aca="false">N11*M11*8*0.05</f>
        <v>16.2</v>
      </c>
      <c r="U11" s="48" t="n">
        <f aca="false">O11*M11*0.1</f>
        <v>0</v>
      </c>
      <c r="V11" s="48"/>
      <c r="W11" s="48" t="n">
        <f aca="false">Y11*M11*2</f>
        <v>0</v>
      </c>
      <c r="X11" s="48" t="n">
        <f aca="false">Z11*M11*1.5</f>
        <v>0</v>
      </c>
      <c r="Y11" s="48"/>
      <c r="Z11" s="48"/>
      <c r="AA11" s="48" t="n">
        <f aca="false">CD11</f>
        <v>0</v>
      </c>
      <c r="AB11" s="48"/>
      <c r="AC11" s="48" t="n">
        <f aca="false">M11*8*AA11</f>
        <v>0</v>
      </c>
      <c r="AD11" s="50"/>
      <c r="AE11" s="50" t="n">
        <f aca="false">AO11/AQ11</f>
        <v>0.46456945384588</v>
      </c>
      <c r="AF11" s="51" t="n">
        <f aca="false">P11+R11+T11+U11+V11+W11+X11+AB11+AC11+AD11</f>
        <v>353.16</v>
      </c>
      <c r="AG11" s="48" t="n">
        <f aca="false">AF11*0.5</f>
        <v>176.58</v>
      </c>
      <c r="AH11" s="49" t="n">
        <f aca="false">(AF11-AG11)*$AH$1+S11</f>
        <v>6063.0978924</v>
      </c>
      <c r="AI11" s="52" t="n">
        <f aca="false">IF(Q11&gt;18519.27,0.045*18519.27,Q11*0.045)</f>
        <v>404.78314032</v>
      </c>
      <c r="AJ11" s="48" t="n">
        <f aca="false">(AI11*0.5)/$AQ$1</f>
        <v>7.5816</v>
      </c>
      <c r="AK11" s="48" t="n">
        <f aca="false">(AI11*0.4)</f>
        <v>161.913256128</v>
      </c>
      <c r="AL11" s="53" t="n">
        <f aca="false">Q11*0.075</f>
        <v>674.6385672</v>
      </c>
      <c r="AM11" s="53" t="n">
        <f aca="false">Q11*0.003</f>
        <v>26.985542688</v>
      </c>
      <c r="AN11" s="53" t="n">
        <f aca="false">IF(AD11&gt;320,320,AD11)</f>
        <v>0</v>
      </c>
      <c r="AO11" s="48" t="n">
        <f aca="false">AG11-AN11-AJ11</f>
        <v>168.9984</v>
      </c>
      <c r="AP11" s="48" t="n">
        <f aca="false">AH11-AK11-AL11-AM11-BB11</f>
        <v>5199.560526384</v>
      </c>
      <c r="AQ11" s="49" t="n">
        <f aca="false">AO11+(AP11/$AQ$1)</f>
        <v>363.77424</v>
      </c>
      <c r="AR11" s="48" t="n">
        <f aca="false">BT11</f>
        <v>55.94356</v>
      </c>
      <c r="AS11" s="48" t="n">
        <v>0</v>
      </c>
      <c r="AT11" s="48" t="n">
        <f aca="false">AR11-AS11</f>
        <v>55.94356</v>
      </c>
      <c r="AU11" s="48" t="n">
        <f aca="false">AT11*AE11</f>
        <v>25.9896691153942</v>
      </c>
      <c r="AV11" s="48" t="n">
        <f aca="false">AU11*0.03</f>
        <v>0.779690073461826</v>
      </c>
      <c r="AW11" s="49" t="n">
        <f aca="false">(AT11-AU11)*$AQ$1</f>
        <v>799.62211255364</v>
      </c>
      <c r="AX11" s="48" t="n">
        <f aca="false">AW11*0.03</f>
        <v>23.9886633766092</v>
      </c>
      <c r="AY11" s="48" t="n">
        <f aca="false">AO11-AU11-AV11</f>
        <v>142.229040811144</v>
      </c>
      <c r="AZ11" s="48" t="n">
        <f aca="false">AP11-AW11-AX11</f>
        <v>4375.94975045375</v>
      </c>
      <c r="BA11" s="54" t="n">
        <f aca="false">'Nyaradzo Workings'!K15</f>
        <v>785.3847</v>
      </c>
      <c r="BB11" s="48" t="n">
        <v>0</v>
      </c>
      <c r="BC11" s="48"/>
      <c r="BD11" s="48"/>
      <c r="BE11" s="48"/>
      <c r="BF11" s="48"/>
      <c r="BG11" s="48"/>
      <c r="BH11" s="48"/>
      <c r="BI11" s="48"/>
      <c r="BJ11" s="48"/>
      <c r="BK11" s="48"/>
      <c r="BL11" s="48" t="n">
        <f aca="false">AY11-BI11-BG11-BH11-BD11+BJ11</f>
        <v>142.229040811144</v>
      </c>
      <c r="BM11" s="48" t="n">
        <f aca="false">AZ11-BA11-BC11-BE11-BF11+BK11</f>
        <v>3590.56505045375</v>
      </c>
      <c r="BN11" s="48" t="n">
        <f aca="false">IF(AQ11&lt;100,0,0)</f>
        <v>0</v>
      </c>
      <c r="BO11" s="48" t="n">
        <f aca="false">IF(AQ11&lt;100,"",IF(AQ11&lt;=300,AQ11*0.2-20,))</f>
        <v>0</v>
      </c>
      <c r="BP11" s="48" t="n">
        <f aca="false">IF(AQ11&lt;300.01,"",IF(AQ11&lt;=1000,AQ11*0.25-35,))</f>
        <v>55.94356</v>
      </c>
      <c r="BQ11" s="48" t="str">
        <f aca="false">IF(AQ11&lt;1000.01,"",IF(AQ11&lt;=2000,AQ11*0.3-85,))</f>
        <v/>
      </c>
      <c r="BR11" s="48" t="str">
        <f aca="false">IF(AQ11&lt;2000.01,"",IF(AQ11&lt;=3000,AQ11*0.35-185,))</f>
        <v/>
      </c>
      <c r="BS11" s="48" t="str">
        <f aca="false">IF(AQ11&lt;3000.01,"",IF(AQ11&gt;3000,AQ11*0.4-335,))</f>
        <v/>
      </c>
      <c r="BT11" s="55" t="n">
        <f aca="false">SUM(BN11:BS11)</f>
        <v>55.94356</v>
      </c>
      <c r="BU11" s="41" t="s">
        <v>99</v>
      </c>
      <c r="BV11" s="41" t="s">
        <v>100</v>
      </c>
      <c r="BW11" s="41" t="s">
        <v>162</v>
      </c>
      <c r="BX11" s="41" t="s">
        <v>99</v>
      </c>
      <c r="BY11" s="41" t="s">
        <v>100</v>
      </c>
      <c r="BZ11" s="41" t="s">
        <v>163</v>
      </c>
      <c r="CA11" s="41" t="n">
        <v>13.82</v>
      </c>
      <c r="CB11" s="41" t="n">
        <v>2.5</v>
      </c>
      <c r="CC11" s="41"/>
      <c r="CD11" s="41"/>
      <c r="CE11" s="41" t="n">
        <f aca="false">CA11+CB11-CC11-CD11</f>
        <v>16.32</v>
      </c>
      <c r="CF11" s="57" t="n">
        <f aca="false">M11*8</f>
        <v>12.96</v>
      </c>
      <c r="CG11" s="57" t="n">
        <f aca="false">CE11*CF11</f>
        <v>211.5072</v>
      </c>
      <c r="CH11" s="57" t="n">
        <f aca="false">CG11*0.4</f>
        <v>84.60288</v>
      </c>
      <c r="CI11" s="57" t="n">
        <f aca="false">(CG11-CH11)*$CI$2</f>
        <v>3387.723512832</v>
      </c>
    </row>
    <row r="12" customFormat="false" ht="15.75" hidden="false" customHeight="true" outlineLevel="0" collapsed="false">
      <c r="A12" s="41" t="s">
        <v>164</v>
      </c>
      <c r="B12" s="58" t="s">
        <v>91</v>
      </c>
      <c r="C12" s="43" t="s">
        <v>165</v>
      </c>
      <c r="D12" s="43" t="s">
        <v>166</v>
      </c>
      <c r="E12" s="44" t="n">
        <f aca="false">E11</f>
        <v>45747</v>
      </c>
      <c r="F12" s="43" t="s">
        <v>94</v>
      </c>
      <c r="G12" s="43" t="s">
        <v>159</v>
      </c>
      <c r="H12" s="43" t="s">
        <v>160</v>
      </c>
      <c r="I12" s="43" t="s">
        <v>167</v>
      </c>
      <c r="J12" s="45" t="n">
        <f aca="false">AO12/AQ12</f>
        <v>0.46456945384588</v>
      </c>
      <c r="K12" s="45" t="str">
        <f aca="false">K11</f>
        <v>3/2025</v>
      </c>
      <c r="L12" s="46" t="n">
        <v>208</v>
      </c>
      <c r="M12" s="45" t="n">
        <v>1.62</v>
      </c>
      <c r="N12" s="47" t="n">
        <v>25</v>
      </c>
      <c r="O12" s="45"/>
      <c r="P12" s="48" t="n">
        <f aca="false">L12*M12</f>
        <v>336.96</v>
      </c>
      <c r="Q12" s="49" t="n">
        <f aca="false">P12*$Q$1</f>
        <v>8995.180896</v>
      </c>
      <c r="R12" s="48"/>
      <c r="S12" s="48" t="n">
        <f aca="false">P12*0.3*$S$1*0.5</f>
        <v>1349.2771344</v>
      </c>
      <c r="T12" s="48" t="n">
        <f aca="false">N12*M12*8*0.05</f>
        <v>16.2</v>
      </c>
      <c r="U12" s="48" t="n">
        <f aca="false">O12*M12*0.1</f>
        <v>0</v>
      </c>
      <c r="V12" s="48"/>
      <c r="W12" s="48" t="n">
        <f aca="false">Y12*M12*2</f>
        <v>0</v>
      </c>
      <c r="X12" s="48" t="n">
        <f aca="false">Z12*M12*1.5</f>
        <v>0</v>
      </c>
      <c r="Y12" s="48"/>
      <c r="Z12" s="48"/>
      <c r="AA12" s="48" t="n">
        <f aca="false">CD12</f>
        <v>0</v>
      </c>
      <c r="AB12" s="48"/>
      <c r="AC12" s="48" t="n">
        <f aca="false">M12*8*AA12</f>
        <v>0</v>
      </c>
      <c r="AD12" s="50"/>
      <c r="AE12" s="50" t="n">
        <f aca="false">AO12/AQ12</f>
        <v>0.46456945384588</v>
      </c>
      <c r="AF12" s="51" t="n">
        <f aca="false">P12+R12+T12+U12+V12+W12+X12+AB12+AC12+AD12</f>
        <v>353.16</v>
      </c>
      <c r="AG12" s="48" t="n">
        <f aca="false">AF12*0.5</f>
        <v>176.58</v>
      </c>
      <c r="AH12" s="49" t="n">
        <f aca="false">(AF12-AG12)*$AH$1+S12</f>
        <v>6063.0978924</v>
      </c>
      <c r="AI12" s="52" t="n">
        <f aca="false">IF(Q12&gt;18519.27,0.045*18519.27,Q12*0.045)</f>
        <v>404.78314032</v>
      </c>
      <c r="AJ12" s="48" t="n">
        <f aca="false">(AI12*0.5)/$AQ$1</f>
        <v>7.5816</v>
      </c>
      <c r="AK12" s="48" t="n">
        <f aca="false">(AI12*0.4)</f>
        <v>161.913256128</v>
      </c>
      <c r="AL12" s="53" t="n">
        <f aca="false">Q12*0.075</f>
        <v>674.6385672</v>
      </c>
      <c r="AM12" s="53" t="n">
        <f aca="false">Q12*0.003</f>
        <v>26.985542688</v>
      </c>
      <c r="AN12" s="53" t="n">
        <f aca="false">IF(AD12&gt;320,320,AD12)</f>
        <v>0</v>
      </c>
      <c r="AO12" s="48" t="n">
        <f aca="false">AG12-AN12-AJ12</f>
        <v>168.9984</v>
      </c>
      <c r="AP12" s="48" t="n">
        <f aca="false">AH12-AK12-AL12-AM12-BB12</f>
        <v>5199.560526384</v>
      </c>
      <c r="AQ12" s="49" t="n">
        <f aca="false">AO12+(AP12/$AQ$1)</f>
        <v>363.77424</v>
      </c>
      <c r="AR12" s="48" t="n">
        <f aca="false">BT12</f>
        <v>55.94356</v>
      </c>
      <c r="AS12" s="48" t="n">
        <v>0</v>
      </c>
      <c r="AT12" s="48" t="n">
        <f aca="false">AR12-AS12</f>
        <v>55.94356</v>
      </c>
      <c r="AU12" s="48" t="n">
        <f aca="false">AT12*AE12</f>
        <v>25.9896691153942</v>
      </c>
      <c r="AV12" s="48" t="n">
        <f aca="false">AU12*0.03</f>
        <v>0.779690073461826</v>
      </c>
      <c r="AW12" s="49" t="n">
        <f aca="false">(AT12-AU12)*$AQ$1</f>
        <v>799.62211255364</v>
      </c>
      <c r="AX12" s="48" t="n">
        <f aca="false">AW12*0.03</f>
        <v>23.9886633766092</v>
      </c>
      <c r="AY12" s="48" t="n">
        <f aca="false">AO12-AU12-AV12</f>
        <v>142.229040811144</v>
      </c>
      <c r="AZ12" s="48" t="n">
        <f aca="false">AP12-AW12-AX12</f>
        <v>4375.94975045375</v>
      </c>
      <c r="BA12" s="53" t="n">
        <v>0</v>
      </c>
      <c r="BB12" s="48" t="n">
        <v>0</v>
      </c>
      <c r="BC12" s="48"/>
      <c r="BD12" s="48"/>
      <c r="BE12" s="48"/>
      <c r="BF12" s="48"/>
      <c r="BG12" s="48"/>
      <c r="BH12" s="48"/>
      <c r="BI12" s="48"/>
      <c r="BJ12" s="48"/>
      <c r="BK12" s="48"/>
      <c r="BL12" s="48" t="n">
        <f aca="false">AY12-BI12-BG12-BH12-BD12+BJ12</f>
        <v>142.229040811144</v>
      </c>
      <c r="BM12" s="48" t="n">
        <f aca="false">AZ12-BA12-BC12-BE12-BF12+BK12</f>
        <v>4375.94975045375</v>
      </c>
      <c r="BN12" s="48" t="n">
        <f aca="false">IF(AQ12&lt;100,0,0)</f>
        <v>0</v>
      </c>
      <c r="BO12" s="48" t="n">
        <f aca="false">IF(AQ12&lt;100,"",IF(AQ12&lt;=300,AQ12*0.2-20,))</f>
        <v>0</v>
      </c>
      <c r="BP12" s="48" t="n">
        <f aca="false">IF(AQ12&lt;300.01,"",IF(AQ12&lt;=1000,AQ12*0.25-35,))</f>
        <v>55.94356</v>
      </c>
      <c r="BQ12" s="48" t="str">
        <f aca="false">IF(AQ12&lt;1000.01,"",IF(AQ12&lt;=2000,AQ12*0.3-85,))</f>
        <v/>
      </c>
      <c r="BR12" s="48" t="str">
        <f aca="false">IF(AQ12&lt;2000.01,"",IF(AQ12&lt;=3000,AQ12*0.35-185,))</f>
        <v/>
      </c>
      <c r="BS12" s="48" t="str">
        <f aca="false">IF(AQ12&lt;3000.01,"",IF(AQ12&gt;3000,AQ12*0.4-335,))</f>
        <v/>
      </c>
      <c r="BT12" s="55" t="n">
        <f aca="false">SUM(BN12:BS12)</f>
        <v>55.94356</v>
      </c>
      <c r="BU12" s="41" t="s">
        <v>99</v>
      </c>
      <c r="BV12" s="41" t="s">
        <v>100</v>
      </c>
      <c r="BW12" s="41" t="s">
        <v>168</v>
      </c>
      <c r="BX12" s="41" t="s">
        <v>99</v>
      </c>
      <c r="BY12" s="41" t="s">
        <v>100</v>
      </c>
      <c r="BZ12" s="41" t="s">
        <v>169</v>
      </c>
      <c r="CA12" s="41" t="n">
        <v>20</v>
      </c>
      <c r="CB12" s="41" t="n">
        <v>2.5</v>
      </c>
      <c r="CC12" s="41"/>
      <c r="CD12" s="41"/>
      <c r="CE12" s="41" t="n">
        <f aca="false">CA12+CB12-CC12-CD12</f>
        <v>22.5</v>
      </c>
      <c r="CF12" s="57" t="n">
        <f aca="false">M12*8</f>
        <v>12.96</v>
      </c>
      <c r="CG12" s="57" t="n">
        <f aca="false">CE12*CF12</f>
        <v>291.6</v>
      </c>
      <c r="CH12" s="57" t="n">
        <f aca="false">CG12*0.4</f>
        <v>116.64</v>
      </c>
      <c r="CI12" s="57" t="n">
        <f aca="false">(CG12-CH12)*$CI$2</f>
        <v>4670.574696</v>
      </c>
    </row>
    <row r="13" customFormat="false" ht="15.75" hidden="false" customHeight="true" outlineLevel="0" collapsed="false">
      <c r="A13" s="41" t="s">
        <v>170</v>
      </c>
      <c r="B13" s="58" t="s">
        <v>171</v>
      </c>
      <c r="C13" s="43" t="s">
        <v>172</v>
      </c>
      <c r="D13" s="43" t="s">
        <v>173</v>
      </c>
      <c r="E13" s="44" t="n">
        <f aca="false">E12</f>
        <v>45747</v>
      </c>
      <c r="F13" s="43" t="s">
        <v>94</v>
      </c>
      <c r="G13" s="43" t="s">
        <v>159</v>
      </c>
      <c r="H13" s="43" t="s">
        <v>160</v>
      </c>
      <c r="I13" s="43" t="s">
        <v>174</v>
      </c>
      <c r="J13" s="45" t="n">
        <f aca="false">AO13/AQ13</f>
        <v>0.438296939127166</v>
      </c>
      <c r="K13" s="45" t="str">
        <f aca="false">K12</f>
        <v>3/2025</v>
      </c>
      <c r="L13" s="46" t="n">
        <v>208</v>
      </c>
      <c r="M13" s="45" t="n">
        <v>1.62</v>
      </c>
      <c r="N13" s="47" t="n">
        <v>24</v>
      </c>
      <c r="O13" s="47"/>
      <c r="P13" s="48" t="n">
        <f aca="false">L13*M13</f>
        <v>336.96</v>
      </c>
      <c r="Q13" s="49" t="n">
        <f aca="false">P13*$Q$1</f>
        <v>8995.180896</v>
      </c>
      <c r="R13" s="48"/>
      <c r="S13" s="48" t="n">
        <f aca="false">P13*0.3*$S$1*0.5</f>
        <v>1349.2771344</v>
      </c>
      <c r="T13" s="48" t="n">
        <f aca="false">N13*M13*8*0.05</f>
        <v>15.552</v>
      </c>
      <c r="U13" s="48" t="n">
        <f aca="false">O13*M13*0.1</f>
        <v>0</v>
      </c>
      <c r="V13" s="48"/>
      <c r="W13" s="48" t="n">
        <f aca="false">Y13*M13*2</f>
        <v>0</v>
      </c>
      <c r="X13" s="48" t="n">
        <f aca="false">Z13*M13*1.5</f>
        <v>0</v>
      </c>
      <c r="Y13" s="48"/>
      <c r="Z13" s="48"/>
      <c r="AA13" s="48" t="n">
        <f aca="false">CD13</f>
        <v>0</v>
      </c>
      <c r="AB13" s="48" t="n">
        <f aca="false">P13*0.075</f>
        <v>25.272</v>
      </c>
      <c r="AC13" s="48" t="n">
        <f aca="false">M13*8*AA13</f>
        <v>0</v>
      </c>
      <c r="AD13" s="48"/>
      <c r="AE13" s="50" t="n">
        <f aca="false">AO13/AQ13</f>
        <v>0.438296939127166</v>
      </c>
      <c r="AF13" s="51" t="n">
        <f aca="false">P13+R13+T13+U13+V13+W13+X13+AB13+AC13+AD13</f>
        <v>377.784</v>
      </c>
      <c r="AG13" s="48" t="n">
        <f aca="false">AF13*0.5</f>
        <v>188.892</v>
      </c>
      <c r="AH13" s="49" t="n">
        <f aca="false">(AF13-AG13)*$AH$1+S13</f>
        <v>6391.7679636</v>
      </c>
      <c r="AI13" s="52" t="n">
        <f aca="false">IF(Q13&gt;18519.27,0.045*18519.27,Q13*0.045)</f>
        <v>404.78314032</v>
      </c>
      <c r="AJ13" s="48" t="n">
        <f aca="false">(AI13*0.5)/$AQ$1</f>
        <v>7.5816</v>
      </c>
      <c r="AK13" s="48" t="n">
        <f aca="false">(AI13*0.4)</f>
        <v>161.913256128</v>
      </c>
      <c r="AL13" s="48" t="n">
        <v>0</v>
      </c>
      <c r="AM13" s="48" t="n">
        <f aca="false">Q13*0.003</f>
        <v>26.985542688</v>
      </c>
      <c r="AN13" s="48" t="n">
        <f aca="false">IF(AD13&gt;320,320,AD13)</f>
        <v>0</v>
      </c>
      <c r="AO13" s="48" t="n">
        <f aca="false">AG13-AN13-AJ13</f>
        <v>181.3104</v>
      </c>
      <c r="AP13" s="48" t="n">
        <f aca="false">AH13-AK13-AL13-AM13-BB13</f>
        <v>6202.869164784</v>
      </c>
      <c r="AQ13" s="49" t="n">
        <f aca="false">AO13+(AP13/$AQ$1)</f>
        <v>413.67024</v>
      </c>
      <c r="AR13" s="48" t="n">
        <f aca="false">BT13</f>
        <v>68.41756</v>
      </c>
      <c r="AS13" s="48" t="n">
        <v>0</v>
      </c>
      <c r="AT13" s="48" t="n">
        <f aca="false">AR13-AS13</f>
        <v>68.41756</v>
      </c>
      <c r="AU13" s="48" t="n">
        <f aca="false">AT13*AE13</f>
        <v>29.9872071305492</v>
      </c>
      <c r="AV13" s="48" t="n">
        <f aca="false">AU13*0.03</f>
        <v>0.899616213916476</v>
      </c>
      <c r="AW13" s="49" t="n">
        <f aca="false">(AT13-AU13)*$AQ$1</f>
        <v>1025.90211288528</v>
      </c>
      <c r="AX13" s="48" t="n">
        <f aca="false">AW13*0.03</f>
        <v>30.7770633865583</v>
      </c>
      <c r="AY13" s="48" t="n">
        <f aca="false">AO13-AU13-AV13</f>
        <v>150.423576655534</v>
      </c>
      <c r="AZ13" s="48" t="n">
        <f aca="false">AP13-AW13-AX13</f>
        <v>5146.18998851217</v>
      </c>
      <c r="BA13" s="53" t="n">
        <v>0</v>
      </c>
      <c r="BB13" s="48" t="n">
        <v>0</v>
      </c>
      <c r="BC13" s="48"/>
      <c r="BD13" s="48"/>
      <c r="BE13" s="48"/>
      <c r="BF13" s="48"/>
      <c r="BG13" s="60" t="n">
        <v>120</v>
      </c>
      <c r="BH13" s="48"/>
      <c r="BI13" s="48"/>
      <c r="BJ13" s="48"/>
      <c r="BK13" s="48"/>
      <c r="BL13" s="48" t="n">
        <f aca="false">AY13-BI13-BG13-BH13-BD13+BJ13</f>
        <v>30.4235766555343</v>
      </c>
      <c r="BM13" s="48" t="n">
        <f aca="false">AZ13-BA13-BC13-BE13-BF13+BK13</f>
        <v>5146.18998851217</v>
      </c>
      <c r="BN13" s="48" t="n">
        <f aca="false">IF(AQ13&lt;100,0,0)</f>
        <v>0</v>
      </c>
      <c r="BO13" s="48" t="n">
        <f aca="false">IF(AQ13&lt;100,"",IF(AQ13&lt;=300,AQ13*0.2-20,))</f>
        <v>0</v>
      </c>
      <c r="BP13" s="48" t="n">
        <f aca="false">IF(AQ13&lt;300.01,"",IF(AQ13&lt;=1000,AQ13*0.25-35,))</f>
        <v>68.41756</v>
      </c>
      <c r="BQ13" s="48" t="str">
        <f aca="false">IF(AQ13&lt;1000.01,"",IF(AQ13&lt;=2000,AQ13*0.3-85,))</f>
        <v/>
      </c>
      <c r="BR13" s="48" t="str">
        <f aca="false">IF(AQ13&lt;2000.01,"",IF(AQ13&lt;=3000,AQ13*0.35-185,))</f>
        <v/>
      </c>
      <c r="BS13" s="48" t="str">
        <f aca="false">IF(AQ13&lt;3000.01,"",IF(AQ13&gt;3000,AQ13*0.4-335,))</f>
        <v/>
      </c>
      <c r="BT13" s="57" t="n">
        <f aca="false">SUM(BN13:BS13)</f>
        <v>68.41756</v>
      </c>
      <c r="BU13" s="41" t="s">
        <v>99</v>
      </c>
      <c r="BV13" s="41" t="s">
        <v>100</v>
      </c>
      <c r="BW13" s="41" t="s">
        <v>175</v>
      </c>
      <c r="BX13" s="41" t="s">
        <v>99</v>
      </c>
      <c r="BY13" s="41" t="s">
        <v>100</v>
      </c>
      <c r="BZ13" s="41" t="s">
        <v>176</v>
      </c>
      <c r="CA13" s="41" t="n">
        <v>4.02</v>
      </c>
      <c r="CB13" s="41" t="n">
        <v>2.5</v>
      </c>
      <c r="CC13" s="41" t="n">
        <v>1</v>
      </c>
      <c r="CD13" s="41"/>
      <c r="CE13" s="41" t="n">
        <f aca="false">CA13+CB13-CC13-CD13</f>
        <v>5.52</v>
      </c>
      <c r="CF13" s="57" t="n">
        <f aca="false">M13*8</f>
        <v>12.96</v>
      </c>
      <c r="CG13" s="57" t="n">
        <f aca="false">CE13*CF13</f>
        <v>71.5392</v>
      </c>
      <c r="CH13" s="57" t="n">
        <f aca="false">CG13*0.4</f>
        <v>28.61568</v>
      </c>
      <c r="CI13" s="57" t="n">
        <f aca="false">(CG13-CH13)*$CI$2</f>
        <v>1145.847658752</v>
      </c>
    </row>
    <row r="14" customFormat="false" ht="15.75" hidden="false" customHeight="true" outlineLevel="0" collapsed="false">
      <c r="A14" s="41" t="s">
        <v>177</v>
      </c>
      <c r="B14" s="58" t="s">
        <v>178</v>
      </c>
      <c r="C14" s="43" t="s">
        <v>179</v>
      </c>
      <c r="D14" s="43" t="s">
        <v>180</v>
      </c>
      <c r="E14" s="44" t="n">
        <f aca="false">E13</f>
        <v>45747</v>
      </c>
      <c r="F14" s="43" t="s">
        <v>94</v>
      </c>
      <c r="G14" s="43" t="s">
        <v>159</v>
      </c>
      <c r="H14" s="43" t="s">
        <v>160</v>
      </c>
      <c r="I14" s="43" t="s">
        <v>181</v>
      </c>
      <c r="J14" s="45" t="n">
        <f aca="false">AO14/AQ14</f>
        <v>0.438393443648535</v>
      </c>
      <c r="K14" s="45" t="str">
        <f aca="false">K13</f>
        <v>3/2025</v>
      </c>
      <c r="L14" s="46" t="n">
        <v>208</v>
      </c>
      <c r="M14" s="45" t="n">
        <v>1.62</v>
      </c>
      <c r="N14" s="47" t="n">
        <v>25</v>
      </c>
      <c r="O14" s="47"/>
      <c r="P14" s="48" t="n">
        <f aca="false">L14*M14</f>
        <v>336.96</v>
      </c>
      <c r="Q14" s="49" t="n">
        <f aca="false">P14*$Q$1</f>
        <v>8995.180896</v>
      </c>
      <c r="R14" s="48"/>
      <c r="S14" s="48" t="n">
        <f aca="false">P14*0.3*$S$1*0.5</f>
        <v>1349.2771344</v>
      </c>
      <c r="T14" s="48" t="n">
        <f aca="false">N14*M14*8*0.05</f>
        <v>16.2</v>
      </c>
      <c r="U14" s="48" t="n">
        <f aca="false">O14*M14*0.1</f>
        <v>0</v>
      </c>
      <c r="V14" s="48"/>
      <c r="W14" s="48" t="n">
        <f aca="false">Y14*M14*2</f>
        <v>0</v>
      </c>
      <c r="X14" s="48" t="n">
        <f aca="false">Z14*M14*1.5</f>
        <v>0</v>
      </c>
      <c r="Y14" s="48"/>
      <c r="Z14" s="48"/>
      <c r="AA14" s="48" t="n">
        <f aca="false">CD14</f>
        <v>0</v>
      </c>
      <c r="AB14" s="48" t="n">
        <f aca="false">P14*0.075</f>
        <v>25.272</v>
      </c>
      <c r="AC14" s="48" t="n">
        <f aca="false">M14*8*AA14</f>
        <v>0</v>
      </c>
      <c r="AD14" s="48"/>
      <c r="AE14" s="50" t="n">
        <f aca="false">AO14/AQ14</f>
        <v>0.438393443648535</v>
      </c>
      <c r="AF14" s="51" t="n">
        <f aca="false">P14+R14+T14+U14+V14+W14+X14+AB14+AC14+AD14</f>
        <v>378.432</v>
      </c>
      <c r="AG14" s="48" t="n">
        <f aca="false">AF14*0.5</f>
        <v>189.216</v>
      </c>
      <c r="AH14" s="49" t="n">
        <f aca="false">(AF14-AG14)*$AH$1+S14</f>
        <v>6400.417176</v>
      </c>
      <c r="AI14" s="52" t="n">
        <f aca="false">IF(Q14&gt;18519.27,0.045*18519.27,Q14*0.045)</f>
        <v>404.78314032</v>
      </c>
      <c r="AJ14" s="48" t="n">
        <f aca="false">(AI14*0.5)/$AQ$1</f>
        <v>7.5816</v>
      </c>
      <c r="AK14" s="48" t="n">
        <f aca="false">(AI14*0.4)</f>
        <v>161.913256128</v>
      </c>
      <c r="AL14" s="48" t="n">
        <v>0</v>
      </c>
      <c r="AM14" s="48" t="n">
        <f aca="false">Q14*0.003</f>
        <v>26.985542688</v>
      </c>
      <c r="AN14" s="48" t="n">
        <f aca="false">IF(AD14&gt;320,320,AD14)</f>
        <v>0</v>
      </c>
      <c r="AO14" s="48" t="n">
        <f aca="false">AG14-AN14-AJ14</f>
        <v>181.6344</v>
      </c>
      <c r="AP14" s="48" t="n">
        <f aca="false">AH14-AK14-AL14-AM14-BB14</f>
        <v>6211.518377184</v>
      </c>
      <c r="AQ14" s="49" t="n">
        <f aca="false">AO14+(AP14/$AQ$1)</f>
        <v>414.31824</v>
      </c>
      <c r="AR14" s="48" t="n">
        <f aca="false">BT14</f>
        <v>68.57956</v>
      </c>
      <c r="AS14" s="48" t="n">
        <v>0</v>
      </c>
      <c r="AT14" s="48" t="n">
        <f aca="false">AR14-AS14</f>
        <v>68.57956</v>
      </c>
      <c r="AU14" s="48" t="n">
        <f aca="false">AT14*AE14</f>
        <v>30.0648294723013</v>
      </c>
      <c r="AV14" s="48" t="n">
        <f aca="false">AU14*0.03</f>
        <v>0.901944884169039</v>
      </c>
      <c r="AW14" s="49" t="n">
        <f aca="false">(AT14-AU14)*$AQ$1</f>
        <v>1028.15458290997</v>
      </c>
      <c r="AX14" s="48" t="n">
        <f aca="false">AW14*0.03</f>
        <v>30.8446374872991</v>
      </c>
      <c r="AY14" s="48" t="n">
        <f aca="false">AO14-AU14-AV14</f>
        <v>150.66762564353</v>
      </c>
      <c r="AZ14" s="48" t="n">
        <f aca="false">AP14-AW14-AX14</f>
        <v>5152.51915678673</v>
      </c>
      <c r="BA14" s="54" t="n">
        <f aca="false">'Nyaradzo Workings'!K16</f>
        <v>404.5147</v>
      </c>
      <c r="BB14" s="48" t="n">
        <v>0</v>
      </c>
      <c r="BC14" s="48"/>
      <c r="BD14" s="48"/>
      <c r="BE14" s="48"/>
      <c r="BF14" s="48"/>
      <c r="BG14" s="48"/>
      <c r="BH14" s="48"/>
      <c r="BI14" s="48" t="n">
        <v>12.5</v>
      </c>
      <c r="BJ14" s="48"/>
      <c r="BK14" s="48"/>
      <c r="BL14" s="48" t="n">
        <f aca="false">AY14-BI14-BG14-BH14-BD14+BJ14</f>
        <v>138.16762564353</v>
      </c>
      <c r="BM14" s="48" t="n">
        <f aca="false">AZ14-BA14-BC14-BE14-BF14+BK14</f>
        <v>4748.00445678673</v>
      </c>
      <c r="BN14" s="48" t="n">
        <f aca="false">IF(AQ14&lt;100,0,0)</f>
        <v>0</v>
      </c>
      <c r="BO14" s="48" t="n">
        <f aca="false">IF(AQ14&lt;100,"",IF(AQ14&lt;=300,AQ14*0.2-20,))</f>
        <v>0</v>
      </c>
      <c r="BP14" s="48" t="n">
        <f aca="false">IF(AQ14&lt;300.01,"",IF(AQ14&lt;=1000,AQ14*0.25-35,))</f>
        <v>68.57956</v>
      </c>
      <c r="BQ14" s="48" t="str">
        <f aca="false">IF(AQ14&lt;1000.01,"",IF(AQ14&lt;=2000,AQ14*0.3-85,))</f>
        <v/>
      </c>
      <c r="BR14" s="48" t="str">
        <f aca="false">IF(AQ14&lt;2000.01,"",IF(AQ14&lt;=3000,AQ14*0.35-185,))</f>
        <v/>
      </c>
      <c r="BS14" s="48" t="str">
        <f aca="false">IF(AQ14&lt;3000.01,"",IF(AQ14&gt;3000,AQ14*0.4-335,))</f>
        <v/>
      </c>
      <c r="BT14" s="55" t="n">
        <f aca="false">SUM(BN14:BS14)</f>
        <v>68.57956</v>
      </c>
      <c r="BU14" s="41" t="s">
        <v>99</v>
      </c>
      <c r="BV14" s="41" t="s">
        <v>100</v>
      </c>
      <c r="BW14" s="41" t="s">
        <v>182</v>
      </c>
      <c r="BX14" s="41" t="s">
        <v>99</v>
      </c>
      <c r="BY14" s="41" t="s">
        <v>100</v>
      </c>
      <c r="BZ14" s="41" t="s">
        <v>183</v>
      </c>
      <c r="CA14" s="41" t="n">
        <v>15.76</v>
      </c>
      <c r="CB14" s="41" t="n">
        <v>2.5</v>
      </c>
      <c r="CC14" s="41"/>
      <c r="CD14" s="41"/>
      <c r="CE14" s="41" t="n">
        <f aca="false">CA14+CB14-CC14-CD14</f>
        <v>18.26</v>
      </c>
      <c r="CF14" s="57" t="n">
        <f aca="false">M14*8</f>
        <v>12.96</v>
      </c>
      <c r="CG14" s="57" t="n">
        <f aca="false">CE14*CF14</f>
        <v>236.6496</v>
      </c>
      <c r="CH14" s="57" t="n">
        <f aca="false">CG14*0.4</f>
        <v>94.6598400000001</v>
      </c>
      <c r="CI14" s="57" t="n">
        <f aca="false">(CG14-CH14)*$CI$2</f>
        <v>3790.430842176</v>
      </c>
    </row>
    <row r="15" customFormat="false" ht="15.75" hidden="false" customHeight="true" outlineLevel="0" collapsed="false">
      <c r="A15" s="41" t="s">
        <v>184</v>
      </c>
      <c r="B15" s="58" t="s">
        <v>185</v>
      </c>
      <c r="C15" s="43" t="s">
        <v>186</v>
      </c>
      <c r="D15" s="43" t="s">
        <v>187</v>
      </c>
      <c r="E15" s="44" t="n">
        <f aca="false">E14</f>
        <v>45747</v>
      </c>
      <c r="F15" s="43" t="s">
        <v>94</v>
      </c>
      <c r="G15" s="43" t="s">
        <v>159</v>
      </c>
      <c r="H15" s="43" t="s">
        <v>160</v>
      </c>
      <c r="I15" s="43" t="s">
        <v>188</v>
      </c>
      <c r="J15" s="45" t="n">
        <f aca="false">AO15/AQ15</f>
        <v>0.438393443648535</v>
      </c>
      <c r="K15" s="45" t="str">
        <f aca="false">K14</f>
        <v>3/2025</v>
      </c>
      <c r="L15" s="46" t="n">
        <v>208</v>
      </c>
      <c r="M15" s="45" t="n">
        <v>1.62</v>
      </c>
      <c r="N15" s="47" t="n">
        <v>25</v>
      </c>
      <c r="O15" s="45"/>
      <c r="P15" s="48" t="n">
        <f aca="false">L15*M15</f>
        <v>336.96</v>
      </c>
      <c r="Q15" s="49" t="n">
        <f aca="false">P15*$Q$1</f>
        <v>8995.180896</v>
      </c>
      <c r="R15" s="48"/>
      <c r="S15" s="48" t="n">
        <f aca="false">P15*0.3*$S$1*0.5</f>
        <v>1349.2771344</v>
      </c>
      <c r="T15" s="48" t="n">
        <f aca="false">N15*M15*8*0.05</f>
        <v>16.2</v>
      </c>
      <c r="U15" s="48" t="n">
        <f aca="false">O15*M15*0.1</f>
        <v>0</v>
      </c>
      <c r="V15" s="48"/>
      <c r="W15" s="48" t="n">
        <f aca="false">Y15*M15*2</f>
        <v>0</v>
      </c>
      <c r="X15" s="48" t="n">
        <f aca="false">Z15*M15*1.5</f>
        <v>0</v>
      </c>
      <c r="Y15" s="48"/>
      <c r="Z15" s="48"/>
      <c r="AA15" s="48" t="n">
        <f aca="false">CD15</f>
        <v>0</v>
      </c>
      <c r="AB15" s="48" t="n">
        <f aca="false">P15*0.075</f>
        <v>25.272</v>
      </c>
      <c r="AC15" s="48" t="n">
        <f aca="false">M15*8*AA15</f>
        <v>0</v>
      </c>
      <c r="AD15" s="50"/>
      <c r="AE15" s="50" t="n">
        <f aca="false">AO15/AQ15</f>
        <v>0.438393443648535</v>
      </c>
      <c r="AF15" s="51" t="n">
        <f aca="false">P15+R15+T15+U15+V15+W15+X15+AB15+AC15+AD15</f>
        <v>378.432</v>
      </c>
      <c r="AG15" s="48" t="n">
        <f aca="false">AF15*0.5</f>
        <v>189.216</v>
      </c>
      <c r="AH15" s="49" t="n">
        <f aca="false">(AF15-AG15)*$AH$1+S15</f>
        <v>6400.417176</v>
      </c>
      <c r="AI15" s="52" t="n">
        <f aca="false">IF(Q15&gt;18519.27,0.045*18519.27,Q15*0.045)</f>
        <v>404.78314032</v>
      </c>
      <c r="AJ15" s="48" t="n">
        <f aca="false">(AI15*0.5)/$AQ$1</f>
        <v>7.5816</v>
      </c>
      <c r="AK15" s="48" t="n">
        <f aca="false">(AI15*0.4)</f>
        <v>161.913256128</v>
      </c>
      <c r="AL15" s="53" t="n">
        <v>0</v>
      </c>
      <c r="AM15" s="53" t="n">
        <f aca="false">Q15*0.003</f>
        <v>26.985542688</v>
      </c>
      <c r="AN15" s="53" t="n">
        <f aca="false">IF(AD15&gt;320,320,AD15)</f>
        <v>0</v>
      </c>
      <c r="AO15" s="48" t="n">
        <f aca="false">AG15-AN15-AJ15</f>
        <v>181.6344</v>
      </c>
      <c r="AP15" s="48" t="n">
        <f aca="false">AH15-AK15-AL15-AM15-BB15</f>
        <v>6211.518377184</v>
      </c>
      <c r="AQ15" s="49" t="n">
        <f aca="false">AO15+(AP15/$AQ$1)</f>
        <v>414.31824</v>
      </c>
      <c r="AR15" s="48" t="n">
        <f aca="false">BT15</f>
        <v>68.57956</v>
      </c>
      <c r="AS15" s="48" t="n">
        <v>0</v>
      </c>
      <c r="AT15" s="48" t="n">
        <f aca="false">AR15-AS15</f>
        <v>68.57956</v>
      </c>
      <c r="AU15" s="48" t="n">
        <f aca="false">AT15*AE15</f>
        <v>30.0648294723013</v>
      </c>
      <c r="AV15" s="48" t="n">
        <f aca="false">AU15*0.03</f>
        <v>0.901944884169039</v>
      </c>
      <c r="AW15" s="49" t="n">
        <f aca="false">(AT15-AU15)*$AQ$1</f>
        <v>1028.15458290997</v>
      </c>
      <c r="AX15" s="48" t="n">
        <f aca="false">AW15*0.03</f>
        <v>30.8446374872991</v>
      </c>
      <c r="AY15" s="48" t="n">
        <f aca="false">AO15-AU15-AV15</f>
        <v>150.66762564353</v>
      </c>
      <c r="AZ15" s="48" t="n">
        <f aca="false">AP15-AW15-AX15</f>
        <v>5152.51915678673</v>
      </c>
      <c r="BA15" s="54" t="n">
        <f aca="false">'Nyaradzo Workings'!K18</f>
        <v>472.7647</v>
      </c>
      <c r="BB15" s="48" t="n">
        <v>0</v>
      </c>
      <c r="BC15" s="48"/>
      <c r="BD15" s="48"/>
      <c r="BE15" s="48"/>
      <c r="BF15" s="48"/>
      <c r="BG15" s="48"/>
      <c r="BH15" s="48"/>
      <c r="BI15" s="48" t="n">
        <v>12.5</v>
      </c>
      <c r="BJ15" s="48"/>
      <c r="BK15" s="48"/>
      <c r="BL15" s="48" t="n">
        <f aca="false">AY15-BI15-BG15-BH15-BD15+BJ15</f>
        <v>138.16762564353</v>
      </c>
      <c r="BM15" s="48" t="n">
        <f aca="false">AZ15-BA15-BC15-BE15-BF15+BK15</f>
        <v>4679.75445678673</v>
      </c>
      <c r="BN15" s="48" t="n">
        <f aca="false">IF(AQ15&lt;100,0,0)</f>
        <v>0</v>
      </c>
      <c r="BO15" s="48" t="n">
        <f aca="false">IF(AQ15&lt;100,"",IF(AQ15&lt;=300,AQ15*0.2-20,))</f>
        <v>0</v>
      </c>
      <c r="BP15" s="48" t="n">
        <f aca="false">IF(AQ15&lt;300.01,"",IF(AQ15&lt;=1000,AQ15*0.25-35,))</f>
        <v>68.57956</v>
      </c>
      <c r="BQ15" s="48" t="str">
        <f aca="false">IF(AQ15&lt;1000.01,"",IF(AQ15&lt;=2000,AQ15*0.3-85,))</f>
        <v/>
      </c>
      <c r="BR15" s="48" t="str">
        <f aca="false">IF(AQ15&lt;2000.01,"",IF(AQ15&lt;=3000,AQ15*0.35-185,))</f>
        <v/>
      </c>
      <c r="BS15" s="48" t="str">
        <f aca="false">IF(AQ15&lt;3000.01,"",IF(AQ15&gt;3000,AQ15*0.4-335,))</f>
        <v/>
      </c>
      <c r="BT15" s="55" t="n">
        <f aca="false">SUM(BN15:BS15)</f>
        <v>68.57956</v>
      </c>
      <c r="BU15" s="41" t="s">
        <v>99</v>
      </c>
      <c r="BV15" s="41" t="s">
        <v>100</v>
      </c>
      <c r="BW15" s="41" t="s">
        <v>189</v>
      </c>
      <c r="BX15" s="41" t="s">
        <v>99</v>
      </c>
      <c r="BY15" s="41" t="s">
        <v>100</v>
      </c>
      <c r="BZ15" s="41" t="s">
        <v>190</v>
      </c>
      <c r="CA15" s="41" t="n">
        <v>16.81</v>
      </c>
      <c r="CB15" s="41" t="n">
        <v>2.5</v>
      </c>
      <c r="CC15" s="41"/>
      <c r="CD15" s="41"/>
      <c r="CE15" s="41" t="n">
        <f aca="false">CA15+CB15-CC15-CD15</f>
        <v>19.31</v>
      </c>
      <c r="CF15" s="57" t="n">
        <f aca="false">M15*8</f>
        <v>12.96</v>
      </c>
      <c r="CG15" s="57" t="n">
        <f aca="false">CE15*CF15</f>
        <v>250.2576</v>
      </c>
      <c r="CH15" s="57" t="n">
        <f aca="false">CG15*0.4</f>
        <v>100.10304</v>
      </c>
      <c r="CI15" s="57" t="n">
        <f aca="false">(CG15-CH15)*$CI$2</f>
        <v>4008.390994656</v>
      </c>
    </row>
    <row r="16" customFormat="false" ht="15.75" hidden="false" customHeight="true" outlineLevel="0" collapsed="false">
      <c r="A16" s="41" t="s">
        <v>191</v>
      </c>
      <c r="B16" s="58" t="s">
        <v>192</v>
      </c>
      <c r="C16" s="43" t="s">
        <v>193</v>
      </c>
      <c r="D16" s="43" t="s">
        <v>194</v>
      </c>
      <c r="E16" s="44" t="n">
        <f aca="false">E15</f>
        <v>45747</v>
      </c>
      <c r="F16" s="43" t="s">
        <v>94</v>
      </c>
      <c r="G16" s="43" t="s">
        <v>159</v>
      </c>
      <c r="H16" s="43" t="s">
        <v>160</v>
      </c>
      <c r="I16" s="43" t="s">
        <v>195</v>
      </c>
      <c r="J16" s="45" t="n">
        <f aca="false">AO16/AQ16</f>
        <v>0.438296939127166</v>
      </c>
      <c r="K16" s="45" t="str">
        <f aca="false">K15</f>
        <v>3/2025</v>
      </c>
      <c r="L16" s="46" t="n">
        <v>208</v>
      </c>
      <c r="M16" s="45" t="n">
        <v>1.62</v>
      </c>
      <c r="N16" s="47" t="n">
        <v>24</v>
      </c>
      <c r="O16" s="45"/>
      <c r="P16" s="48" t="n">
        <f aca="false">L16*M16</f>
        <v>336.96</v>
      </c>
      <c r="Q16" s="49" t="n">
        <f aca="false">P16*$Q$1</f>
        <v>8995.180896</v>
      </c>
      <c r="R16" s="48"/>
      <c r="S16" s="48" t="n">
        <f aca="false">P16*0.3*$S$1*0.5</f>
        <v>1349.2771344</v>
      </c>
      <c r="T16" s="48" t="n">
        <f aca="false">N16*M16*8*0.05</f>
        <v>15.552</v>
      </c>
      <c r="U16" s="48" t="n">
        <f aca="false">O16*M16*0.1</f>
        <v>0</v>
      </c>
      <c r="V16" s="48"/>
      <c r="W16" s="48" t="n">
        <f aca="false">Y16*M16*2</f>
        <v>0</v>
      </c>
      <c r="X16" s="48" t="n">
        <f aca="false">Z16*M16*1.5</f>
        <v>0</v>
      </c>
      <c r="Y16" s="48"/>
      <c r="Z16" s="48"/>
      <c r="AA16" s="48" t="n">
        <f aca="false">CD16</f>
        <v>0</v>
      </c>
      <c r="AB16" s="48" t="n">
        <f aca="false">P16*0.075</f>
        <v>25.272</v>
      </c>
      <c r="AC16" s="48" t="n">
        <f aca="false">M16*8*AA16</f>
        <v>0</v>
      </c>
      <c r="AD16" s="50"/>
      <c r="AE16" s="50" t="n">
        <f aca="false">AO16/AQ16</f>
        <v>0.438296939127166</v>
      </c>
      <c r="AF16" s="51" t="n">
        <f aca="false">P16+R16+T16+U16+V16+W16+X16+AB16+AC16+AD16</f>
        <v>377.784</v>
      </c>
      <c r="AG16" s="48" t="n">
        <f aca="false">AF16*0.5</f>
        <v>188.892</v>
      </c>
      <c r="AH16" s="49" t="n">
        <f aca="false">(AF16-AG16)*$AH$1+S16</f>
        <v>6391.7679636</v>
      </c>
      <c r="AI16" s="52" t="n">
        <f aca="false">IF(Q16&gt;18519.27,0.045*18519.27,Q16*0.045)</f>
        <v>404.78314032</v>
      </c>
      <c r="AJ16" s="48" t="n">
        <f aca="false">(AI16*0.5)/$AQ$1</f>
        <v>7.5816</v>
      </c>
      <c r="AK16" s="48" t="n">
        <f aca="false">(AI16*0.4)</f>
        <v>161.913256128</v>
      </c>
      <c r="AL16" s="53" t="n">
        <v>0</v>
      </c>
      <c r="AM16" s="53" t="n">
        <f aca="false">Q16*0.003</f>
        <v>26.985542688</v>
      </c>
      <c r="AN16" s="53" t="n">
        <f aca="false">IF(AD16&gt;320,320,AD16)</f>
        <v>0</v>
      </c>
      <c r="AO16" s="48" t="n">
        <f aca="false">AG16-AN16-AJ16</f>
        <v>181.3104</v>
      </c>
      <c r="AP16" s="48" t="n">
        <f aca="false">AH16-AK16-AL16-AM16-BB16</f>
        <v>6202.869164784</v>
      </c>
      <c r="AQ16" s="49" t="n">
        <f aca="false">AO16+(AP16/$AQ$1)</f>
        <v>413.67024</v>
      </c>
      <c r="AR16" s="48" t="n">
        <f aca="false">BT16</f>
        <v>68.41756</v>
      </c>
      <c r="AS16" s="48" t="n">
        <v>0</v>
      </c>
      <c r="AT16" s="48" t="n">
        <f aca="false">AR16-AS16</f>
        <v>68.41756</v>
      </c>
      <c r="AU16" s="48" t="n">
        <f aca="false">AT16*AE16</f>
        <v>29.9872071305492</v>
      </c>
      <c r="AV16" s="48" t="n">
        <f aca="false">AU16*0.03</f>
        <v>0.899616213916476</v>
      </c>
      <c r="AW16" s="49" t="n">
        <f aca="false">(AT16-AU16)*$AQ$1</f>
        <v>1025.90211288528</v>
      </c>
      <c r="AX16" s="48" t="n">
        <f aca="false">AW16*0.03</f>
        <v>30.7770633865583</v>
      </c>
      <c r="AY16" s="48" t="n">
        <f aca="false">AO16-AU16-AV16</f>
        <v>150.423576655534</v>
      </c>
      <c r="AZ16" s="48" t="n">
        <f aca="false">AP16-AW16-AX16</f>
        <v>5146.18998851217</v>
      </c>
      <c r="BA16" s="54" t="n">
        <f aca="false">'Nyaradzo Workings'!K19</f>
        <v>316.4547</v>
      </c>
      <c r="BB16" s="48" t="n">
        <v>0</v>
      </c>
      <c r="BC16" s="48"/>
      <c r="BD16" s="48"/>
      <c r="BE16" s="48"/>
      <c r="BF16" s="48"/>
      <c r="BG16" s="48"/>
      <c r="BH16" s="48"/>
      <c r="BI16" s="48"/>
      <c r="BJ16" s="48"/>
      <c r="BK16" s="48"/>
      <c r="BL16" s="48" t="n">
        <f aca="false">AY16-BI16-BG16-BH16-BD16+BJ16</f>
        <v>150.423576655534</v>
      </c>
      <c r="BM16" s="48" t="n">
        <f aca="false">AZ16-BA16-BC16-BE16-BF16+BK16</f>
        <v>4829.73528851217</v>
      </c>
      <c r="BN16" s="48" t="n">
        <f aca="false">IF(AQ16&lt;100,0,0)</f>
        <v>0</v>
      </c>
      <c r="BO16" s="48" t="n">
        <f aca="false">IF(AQ16&lt;100,"",IF(AQ16&lt;=300,AQ16*0.2-20,))</f>
        <v>0</v>
      </c>
      <c r="BP16" s="48" t="n">
        <f aca="false">IF(AQ16&lt;300.01,"",IF(AQ16&lt;=1000,AQ16*0.25-35,))</f>
        <v>68.41756</v>
      </c>
      <c r="BQ16" s="48" t="str">
        <f aca="false">IF(AQ16&lt;1000.01,"",IF(AQ16&lt;=2000,AQ16*0.3-85,))</f>
        <v/>
      </c>
      <c r="BR16" s="48" t="str">
        <f aca="false">IF(AQ16&lt;2000.01,"",IF(AQ16&lt;=3000,AQ16*0.35-185,))</f>
        <v/>
      </c>
      <c r="BS16" s="48" t="str">
        <f aca="false">IF(AQ16&lt;3000.01,"",IF(AQ16&gt;3000,AQ16*0.4-335,))</f>
        <v/>
      </c>
      <c r="BT16" s="55" t="n">
        <f aca="false">SUM(BN16:BS16)</f>
        <v>68.41756</v>
      </c>
      <c r="BU16" s="41" t="s">
        <v>99</v>
      </c>
      <c r="BV16" s="41" t="s">
        <v>100</v>
      </c>
      <c r="BW16" s="41" t="s">
        <v>196</v>
      </c>
      <c r="BX16" s="41" t="s">
        <v>99</v>
      </c>
      <c r="BY16" s="41" t="s">
        <v>100</v>
      </c>
      <c r="BZ16" s="41" t="s">
        <v>197</v>
      </c>
      <c r="CA16" s="41" t="n">
        <v>23.62</v>
      </c>
      <c r="CB16" s="41" t="n">
        <v>2.5</v>
      </c>
      <c r="CC16" s="41" t="n">
        <v>1</v>
      </c>
      <c r="CD16" s="41"/>
      <c r="CE16" s="41" t="n">
        <f aca="false">CA16+CB16-CC16-CD16</f>
        <v>25.12</v>
      </c>
      <c r="CF16" s="57" t="n">
        <f aca="false">M16*8</f>
        <v>12.96</v>
      </c>
      <c r="CG16" s="57" t="n">
        <f aca="false">CE16*CF16</f>
        <v>325.5552</v>
      </c>
      <c r="CH16" s="57" t="n">
        <f aca="false">CG16*0.4</f>
        <v>130.22208</v>
      </c>
      <c r="CI16" s="57" t="n">
        <f aca="false">(CG16-CH16)*$CI$2</f>
        <v>5214.437171712</v>
      </c>
    </row>
    <row r="17" customFormat="false" ht="15.75" hidden="false" customHeight="true" outlineLevel="0" collapsed="false">
      <c r="A17" s="41" t="s">
        <v>198</v>
      </c>
      <c r="B17" s="58" t="s">
        <v>199</v>
      </c>
      <c r="C17" s="43" t="s">
        <v>200</v>
      </c>
      <c r="D17" s="43" t="s">
        <v>201</v>
      </c>
      <c r="E17" s="44" t="n">
        <f aca="false">E16</f>
        <v>45747</v>
      </c>
      <c r="F17" s="43" t="s">
        <v>94</v>
      </c>
      <c r="G17" s="43" t="s">
        <v>202</v>
      </c>
      <c r="H17" s="43" t="s">
        <v>203</v>
      </c>
      <c r="I17" s="43" t="s">
        <v>204</v>
      </c>
      <c r="J17" s="45" t="n">
        <f aca="false">AO17/AQ17</f>
        <v>0.453193326573294</v>
      </c>
      <c r="K17" s="45" t="str">
        <f aca="false">K16</f>
        <v>3/2025</v>
      </c>
      <c r="L17" s="46" t="n">
        <v>208</v>
      </c>
      <c r="M17" s="45" t="n">
        <v>1.8</v>
      </c>
      <c r="N17" s="47" t="n">
        <v>23</v>
      </c>
      <c r="O17" s="45"/>
      <c r="P17" s="48" t="n">
        <f aca="false">L17*M17</f>
        <v>374.4</v>
      </c>
      <c r="Q17" s="49" t="n">
        <f aca="false">P17*$Q$1</f>
        <v>9994.64544</v>
      </c>
      <c r="R17" s="48" t="n">
        <v>3</v>
      </c>
      <c r="S17" s="48" t="n">
        <f aca="false">P17*0.3*$S$1*0.5</f>
        <v>1499.196816</v>
      </c>
      <c r="T17" s="48" t="n">
        <f aca="false">N17*M17*8*0.05</f>
        <v>16.56</v>
      </c>
      <c r="U17" s="48" t="n">
        <f aca="false">O17*M17*0.1</f>
        <v>0</v>
      </c>
      <c r="V17" s="48"/>
      <c r="W17" s="48" t="n">
        <f aca="false">Y17*M17*2</f>
        <v>0</v>
      </c>
      <c r="X17" s="48" t="n">
        <f aca="false">Z17*M17*1.5</f>
        <v>0</v>
      </c>
      <c r="Y17" s="48"/>
      <c r="Z17" s="48"/>
      <c r="AA17" s="48" t="n">
        <f aca="false">CD17</f>
        <v>10</v>
      </c>
      <c r="AB17" s="48" t="n">
        <f aca="false">P17*0.075</f>
        <v>28.08</v>
      </c>
      <c r="AC17" s="48" t="n">
        <f aca="false">M17*8*AA17</f>
        <v>144</v>
      </c>
      <c r="AD17" s="50"/>
      <c r="AE17" s="50" t="n">
        <f aca="false">AO17/AQ17</f>
        <v>0.453193326573294</v>
      </c>
      <c r="AF17" s="51" t="n">
        <f aca="false">P17+R17+T17+U17+V17+W17+X17+AB17+AC17+AD17</f>
        <v>566.04</v>
      </c>
      <c r="AG17" s="48" t="n">
        <f aca="false">AF17*0.5</f>
        <v>283.02</v>
      </c>
      <c r="AH17" s="49" t="n">
        <f aca="false">(AF17-AG17)*$AH$1+S17</f>
        <v>9054.444018</v>
      </c>
      <c r="AI17" s="52" t="n">
        <f aca="false">IF(Q17&gt;18519.27,0.045*18519.27,Q17*0.045)</f>
        <v>449.7590448</v>
      </c>
      <c r="AJ17" s="48" t="n">
        <f aca="false">(AI17*0.5)/$AQ$1</f>
        <v>8.424</v>
      </c>
      <c r="AK17" s="48" t="n">
        <f aca="false">(AI17*0.4)</f>
        <v>179.90361792</v>
      </c>
      <c r="AL17" s="53" t="n">
        <v>0</v>
      </c>
      <c r="AM17" s="53" t="n">
        <f aca="false">Q17*0.003</f>
        <v>29.98393632</v>
      </c>
      <c r="AN17" s="53" t="n">
        <f aca="false">IF(AD17&gt;320,320,AD17)</f>
        <v>0</v>
      </c>
      <c r="AO17" s="48" t="n">
        <f aca="false">AG17-AN17-AJ17</f>
        <v>274.596</v>
      </c>
      <c r="AP17" s="48" t="n">
        <f aca="false">AH17-AK17-AL17-AM17-BB17</f>
        <v>8844.55646376</v>
      </c>
      <c r="AQ17" s="49" t="n">
        <f aca="false">AO17+(AP17/$AQ$1)</f>
        <v>605.9136</v>
      </c>
      <c r="AR17" s="48" t="n">
        <f aca="false">BT17</f>
        <v>116.4784</v>
      </c>
      <c r="AS17" s="48" t="n">
        <v>0</v>
      </c>
      <c r="AT17" s="48" t="n">
        <f aca="false">AR17-AS17</f>
        <v>116.4784</v>
      </c>
      <c r="AU17" s="48" t="n">
        <f aca="false">AT17*AE17</f>
        <v>52.7872335699347</v>
      </c>
      <c r="AV17" s="48" t="n">
        <f aca="false">AU17*0.03</f>
        <v>1.58361700709804</v>
      </c>
      <c r="AW17" s="49" t="n">
        <f aca="false">(AT17-AU17)*$AQ$1</f>
        <v>1700.24205696724</v>
      </c>
      <c r="AX17" s="48" t="n">
        <f aca="false">AW17*0.03</f>
        <v>51.0072617090171</v>
      </c>
      <c r="AY17" s="48" t="n">
        <f aca="false">AO17-AU17-AV17</f>
        <v>220.225149422967</v>
      </c>
      <c r="AZ17" s="48" t="n">
        <f aca="false">AP17-AW17-AX17</f>
        <v>7093.30714508375</v>
      </c>
      <c r="BA17" s="53" t="n">
        <v>0</v>
      </c>
      <c r="BB17" s="48" t="n">
        <v>0</v>
      </c>
      <c r="BC17" s="48"/>
      <c r="BD17" s="48"/>
      <c r="BE17" s="48"/>
      <c r="BF17" s="48"/>
      <c r="BG17" s="48"/>
      <c r="BH17" s="48"/>
      <c r="BI17" s="48" t="n">
        <v>12.5</v>
      </c>
      <c r="BJ17" s="48"/>
      <c r="BK17" s="48"/>
      <c r="BL17" s="48" t="n">
        <f aca="false">AY17-BI17-BG17-BH17-BD17+BJ17</f>
        <v>207.725149422967</v>
      </c>
      <c r="BM17" s="48" t="n">
        <f aca="false">AZ17-BA17-BC17-BE17-BF17+BK17</f>
        <v>7093.30714508375</v>
      </c>
      <c r="BN17" s="48" t="n">
        <f aca="false">IF(AQ17&lt;100,0,0)</f>
        <v>0</v>
      </c>
      <c r="BO17" s="48" t="n">
        <f aca="false">IF(AQ17&lt;100,"",IF(AQ17&lt;=300,AQ17*0.2-20,))</f>
        <v>0</v>
      </c>
      <c r="BP17" s="48" t="n">
        <f aca="false">IF(AQ17&lt;300.01,"",IF(AQ17&lt;=1000,AQ17*0.25-35,))</f>
        <v>116.4784</v>
      </c>
      <c r="BQ17" s="48" t="str">
        <f aca="false">IF(AQ17&lt;1000.01,"",IF(AQ17&lt;=2000,AQ17*0.3-85,))</f>
        <v/>
      </c>
      <c r="BR17" s="48" t="str">
        <f aca="false">IF(AQ17&lt;2000.01,"",IF(AQ17&lt;=3000,AQ17*0.35-185,))</f>
        <v/>
      </c>
      <c r="BS17" s="48" t="str">
        <f aca="false">IF(AQ17&lt;3000.01,"",IF(AQ17&gt;3000,AQ17*0.4-335,))</f>
        <v/>
      </c>
      <c r="BT17" s="55" t="n">
        <f aca="false">SUM(BN17:BS17)</f>
        <v>116.4784</v>
      </c>
      <c r="BU17" s="41" t="s">
        <v>99</v>
      </c>
      <c r="BV17" s="41" t="s">
        <v>100</v>
      </c>
      <c r="BW17" s="41" t="s">
        <v>205</v>
      </c>
      <c r="BX17" s="41" t="s">
        <v>99</v>
      </c>
      <c r="BY17" s="41" t="s">
        <v>100</v>
      </c>
      <c r="BZ17" s="41" t="s">
        <v>206</v>
      </c>
      <c r="CA17" s="41" t="n">
        <v>29.42</v>
      </c>
      <c r="CB17" s="41" t="n">
        <v>2.5</v>
      </c>
      <c r="CC17" s="41"/>
      <c r="CD17" s="41" t="n">
        <v>10</v>
      </c>
      <c r="CE17" s="41" t="n">
        <f aca="false">CA17+CB17-CC17-CD17</f>
        <v>21.92</v>
      </c>
      <c r="CF17" s="57" t="n">
        <f aca="false">M17*8</f>
        <v>14.4</v>
      </c>
      <c r="CG17" s="57" t="n">
        <f aca="false">CE17*CF17</f>
        <v>315.648</v>
      </c>
      <c r="CH17" s="57" t="n">
        <f aca="false">CG17*0.4</f>
        <v>126.2592</v>
      </c>
      <c r="CI17" s="57" t="n">
        <f aca="false">(CG17-CH17)*$CI$2</f>
        <v>5055.75295488</v>
      </c>
    </row>
    <row r="18" customFormat="false" ht="15.75" hidden="false" customHeight="true" outlineLevel="0" collapsed="false">
      <c r="A18" s="41" t="s">
        <v>207</v>
      </c>
      <c r="B18" s="58" t="s">
        <v>208</v>
      </c>
      <c r="C18" s="43" t="s">
        <v>209</v>
      </c>
      <c r="D18" s="43" t="s">
        <v>210</v>
      </c>
      <c r="E18" s="44" t="n">
        <f aca="false">E17</f>
        <v>45747</v>
      </c>
      <c r="F18" s="43" t="s">
        <v>94</v>
      </c>
      <c r="G18" s="43" t="s">
        <v>211</v>
      </c>
      <c r="H18" s="43" t="s">
        <v>144</v>
      </c>
      <c r="I18" s="43" t="s">
        <v>212</v>
      </c>
      <c r="J18" s="45" t="n">
        <f aca="false">AO18/AQ18</f>
        <v>0.464675078208052</v>
      </c>
      <c r="K18" s="45" t="str">
        <f aca="false">K17</f>
        <v>3/2025</v>
      </c>
      <c r="L18" s="46" t="n">
        <v>208</v>
      </c>
      <c r="M18" s="45" t="n">
        <v>2.8</v>
      </c>
      <c r="N18" s="47" t="n">
        <v>24</v>
      </c>
      <c r="O18" s="45"/>
      <c r="P18" s="48" t="n">
        <f aca="false">L18*M18</f>
        <v>582.4</v>
      </c>
      <c r="Q18" s="49" t="n">
        <f aca="false">P18*$Q$1</f>
        <v>15547.22624</v>
      </c>
      <c r="R18" s="48" t="n">
        <v>3</v>
      </c>
      <c r="S18" s="48" t="n">
        <f aca="false">P18*0.3*$S$1*0.5</f>
        <v>2332.083936</v>
      </c>
      <c r="T18" s="48" t="n">
        <f aca="false">N18*M18*8*0.05</f>
        <v>26.88</v>
      </c>
      <c r="U18" s="48" t="n">
        <f aca="false">O18*M18*0.1</f>
        <v>0</v>
      </c>
      <c r="V18" s="48"/>
      <c r="W18" s="48" t="n">
        <f aca="false">Y18*M18*2</f>
        <v>0</v>
      </c>
      <c r="X18" s="48" t="n">
        <f aca="false">Z18*M18*1.5</f>
        <v>0</v>
      </c>
      <c r="Y18" s="48"/>
      <c r="Z18" s="48"/>
      <c r="AA18" s="48" t="n">
        <f aca="false">CD18</f>
        <v>0</v>
      </c>
      <c r="AB18" s="48"/>
      <c r="AC18" s="48" t="n">
        <f aca="false">M18*8*AA18</f>
        <v>0</v>
      </c>
      <c r="AD18" s="50"/>
      <c r="AE18" s="50" t="n">
        <f aca="false">AO18/AQ18</f>
        <v>0.464675078208052</v>
      </c>
      <c r="AF18" s="51" t="n">
        <f aca="false">P18+R18+T18+U18+V18+W18+X18+AB18+AC18+AD18</f>
        <v>612.28</v>
      </c>
      <c r="AG18" s="48" t="n">
        <f aca="false">AF18*0.5</f>
        <v>306.14</v>
      </c>
      <c r="AH18" s="49" t="n">
        <f aca="false">(AF18-AG18)*$AH$1+S18</f>
        <v>10504.52185</v>
      </c>
      <c r="AI18" s="52" t="n">
        <f aca="false">IF(Q18&gt;18519.27,0.045*18519.27,Q18*0.045)</f>
        <v>699.6251808</v>
      </c>
      <c r="AJ18" s="48" t="n">
        <f aca="false">(AI18*0.5)/$AQ$1</f>
        <v>13.104</v>
      </c>
      <c r="AK18" s="48" t="n">
        <f aca="false">(AI18*0.4)</f>
        <v>279.85007232</v>
      </c>
      <c r="AL18" s="53" t="n">
        <f aca="false">Q18*0.075</f>
        <v>1166.041968</v>
      </c>
      <c r="AM18" s="53" t="n">
        <f aca="false">Q18*0.003</f>
        <v>46.64167872</v>
      </c>
      <c r="AN18" s="53" t="n">
        <f aca="false">IF(AD18&gt;320,320,AD18)</f>
        <v>0</v>
      </c>
      <c r="AO18" s="48" t="n">
        <f aca="false">AG18-AN18-AJ18</f>
        <v>293.036</v>
      </c>
      <c r="AP18" s="48" t="n">
        <f aca="false">AH18-AK18-AL18-AM18-BB18</f>
        <v>9011.98813096</v>
      </c>
      <c r="AQ18" s="49" t="n">
        <f aca="false">AO18+(AP18/$AQ$1)</f>
        <v>630.6256</v>
      </c>
      <c r="AR18" s="48" t="n">
        <f aca="false">BT18</f>
        <v>122.6564</v>
      </c>
      <c r="AS18" s="48" t="n">
        <v>0</v>
      </c>
      <c r="AT18" s="48" t="n">
        <f aca="false">AR18-AS18</f>
        <v>122.6564</v>
      </c>
      <c r="AU18" s="48" t="n">
        <f aca="false">AT18*AE18</f>
        <v>56.9953722627182</v>
      </c>
      <c r="AV18" s="48" t="n">
        <f aca="false">AU18*0.03</f>
        <v>1.70986116788154</v>
      </c>
      <c r="AW18" s="49" t="n">
        <f aca="false">(AT18-AU18)*$AQ$1</f>
        <v>1752.82770154951</v>
      </c>
      <c r="AX18" s="48" t="n">
        <f aca="false">AW18*0.03</f>
        <v>52.5848310464854</v>
      </c>
      <c r="AY18" s="48" t="n">
        <f aca="false">AO18-AU18-AV18</f>
        <v>234.3307665694</v>
      </c>
      <c r="AZ18" s="48" t="n">
        <f aca="false">AP18-AW18-AX18</f>
        <v>7206.575598364</v>
      </c>
      <c r="BA18" s="53" t="n">
        <v>0</v>
      </c>
      <c r="BB18" s="48" t="n">
        <v>0</v>
      </c>
      <c r="BC18" s="48" t="n">
        <f aca="false">20*AQ1</f>
        <v>533.902</v>
      </c>
      <c r="BD18" s="48"/>
      <c r="BE18" s="48"/>
      <c r="BF18" s="48"/>
      <c r="BG18" s="48"/>
      <c r="BH18" s="48"/>
      <c r="BI18" s="48" t="n">
        <v>12.5</v>
      </c>
      <c r="BJ18" s="48"/>
      <c r="BK18" s="48"/>
      <c r="BL18" s="48" t="n">
        <f aca="false">AY18-BI18-BG18-BH18-BD18+BJ18</f>
        <v>221.8307665694</v>
      </c>
      <c r="BM18" s="48" t="n">
        <f aca="false">AZ18-BA18-BC18-BE18-BF18+BK18</f>
        <v>6672.673598364</v>
      </c>
      <c r="BN18" s="48" t="n">
        <f aca="false">IF(AQ18&lt;100,0,0)</f>
        <v>0</v>
      </c>
      <c r="BO18" s="48" t="n">
        <f aca="false">IF(AQ18&lt;100,"",IF(AQ18&lt;=300,AQ18*0.2-20,))</f>
        <v>0</v>
      </c>
      <c r="BP18" s="48" t="n">
        <f aca="false">IF(AQ18&lt;300.01,"",IF(AQ18&lt;=1000,AQ18*0.25-35,))</f>
        <v>122.6564</v>
      </c>
      <c r="BQ18" s="48" t="str">
        <f aca="false">IF(AQ18&lt;1000.01,"",IF(AQ18&lt;=2000,AQ18*0.3-85,))</f>
        <v/>
      </c>
      <c r="BR18" s="48" t="str">
        <f aca="false">IF(AQ18&lt;2000.01,"",IF(AQ18&lt;=3000,AQ18*0.35-185,))</f>
        <v/>
      </c>
      <c r="BS18" s="48" t="str">
        <f aca="false">IF(AQ18&lt;3000.01,"",IF(AQ18&gt;3000,AQ18*0.4-335,))</f>
        <v/>
      </c>
      <c r="BT18" s="55" t="n">
        <f aca="false">SUM(BN18:BS18)</f>
        <v>122.6564</v>
      </c>
      <c r="BU18" s="41" t="s">
        <v>99</v>
      </c>
      <c r="BV18" s="41" t="s">
        <v>100</v>
      </c>
      <c r="BW18" s="41" t="s">
        <v>213</v>
      </c>
      <c r="BX18" s="41" t="s">
        <v>99</v>
      </c>
      <c r="BY18" s="41" t="s">
        <v>100</v>
      </c>
      <c r="BZ18" s="41" t="s">
        <v>214</v>
      </c>
      <c r="CA18" s="41" t="n">
        <v>29.13</v>
      </c>
      <c r="CB18" s="41" t="n">
        <v>2.5</v>
      </c>
      <c r="CC18" s="41" t="n">
        <v>1</v>
      </c>
      <c r="CD18" s="41"/>
      <c r="CE18" s="41" t="n">
        <f aca="false">CA18+CB18-CC18-CD18</f>
        <v>30.63</v>
      </c>
      <c r="CF18" s="57" t="n">
        <f aca="false">M18*8</f>
        <v>22.4</v>
      </c>
      <c r="CG18" s="57" t="n">
        <f aca="false">CE18*CF18</f>
        <v>686.112</v>
      </c>
      <c r="CH18" s="57" t="n">
        <f aca="false">CG18*0.4</f>
        <v>274.4448</v>
      </c>
      <c r="CI18" s="57" t="n">
        <f aca="false">(CG18-CH18)*$CI$2</f>
        <v>10989.49707072</v>
      </c>
    </row>
    <row r="19" customFormat="false" ht="15.75" hidden="false" customHeight="true" outlineLevel="0" collapsed="false">
      <c r="A19" s="41" t="s">
        <v>215</v>
      </c>
      <c r="B19" s="58" t="s">
        <v>216</v>
      </c>
      <c r="C19" s="43" t="s">
        <v>114</v>
      </c>
      <c r="D19" s="43" t="s">
        <v>217</v>
      </c>
      <c r="E19" s="44" t="n">
        <f aca="false">E18</f>
        <v>45747</v>
      </c>
      <c r="F19" s="43" t="s">
        <v>94</v>
      </c>
      <c r="G19" s="43" t="s">
        <v>159</v>
      </c>
      <c r="H19" s="43" t="s">
        <v>160</v>
      </c>
      <c r="I19" s="43" t="s">
        <v>218</v>
      </c>
      <c r="J19" s="45" t="n">
        <f aca="false">AO19/AQ19</f>
        <v>0.473876382358349</v>
      </c>
      <c r="K19" s="45" t="str">
        <f aca="false">K18</f>
        <v>3/2025</v>
      </c>
      <c r="L19" s="46" t="n">
        <v>208</v>
      </c>
      <c r="M19" s="45" t="n">
        <v>1.62</v>
      </c>
      <c r="N19" s="47" t="n">
        <v>25</v>
      </c>
      <c r="O19" s="45"/>
      <c r="P19" s="48" t="n">
        <f aca="false">L19*M19</f>
        <v>336.96</v>
      </c>
      <c r="Q19" s="49" t="n">
        <f aca="false">P19*$Q$1</f>
        <v>8995.180896</v>
      </c>
      <c r="R19" s="48"/>
      <c r="S19" s="48" t="n">
        <f aca="false">P19*0.3*$S$1*0.5</f>
        <v>1349.2771344</v>
      </c>
      <c r="T19" s="48" t="n">
        <f aca="false">N19*M19*8*0.05</f>
        <v>16.2</v>
      </c>
      <c r="U19" s="48" t="n">
        <f aca="false">O19*M19*0.1</f>
        <v>0</v>
      </c>
      <c r="V19" s="48"/>
      <c r="W19" s="48" t="n">
        <f aca="false">Y19*M19*2</f>
        <v>0</v>
      </c>
      <c r="X19" s="48" t="n">
        <f aca="false">Z19*M19*1.5</f>
        <v>0</v>
      </c>
      <c r="Y19" s="48"/>
      <c r="Z19" s="48"/>
      <c r="AA19" s="48" t="n">
        <f aca="false">CD19</f>
        <v>10</v>
      </c>
      <c r="AB19" s="48"/>
      <c r="AC19" s="48" t="n">
        <f aca="false">M19*8*AA19</f>
        <v>129.6</v>
      </c>
      <c r="AD19" s="50"/>
      <c r="AE19" s="50" t="n">
        <f aca="false">AO19/AQ19</f>
        <v>0.473876382358349</v>
      </c>
      <c r="AF19" s="51" t="n">
        <f aca="false">P19+R19+T19+U19+V19+W19+X19+AB19+AC19+AD19</f>
        <v>482.76</v>
      </c>
      <c r="AG19" s="48" t="n">
        <f aca="false">AF19*0.5</f>
        <v>241.38</v>
      </c>
      <c r="AH19" s="49" t="n">
        <f aca="false">(AF19-AG19)*$AH$1+S19</f>
        <v>7792.9403724</v>
      </c>
      <c r="AI19" s="52" t="n">
        <f aca="false">IF(Q19&gt;18519.27,0.045*18519.27,Q19*0.045)</f>
        <v>404.78314032</v>
      </c>
      <c r="AJ19" s="48" t="n">
        <f aca="false">(AI19*0.5)/$AQ$1</f>
        <v>7.5816</v>
      </c>
      <c r="AK19" s="48" t="n">
        <f aca="false">(AI19*0.4)</f>
        <v>161.913256128</v>
      </c>
      <c r="AL19" s="53" t="n">
        <f aca="false">Q19*0.075</f>
        <v>674.6385672</v>
      </c>
      <c r="AM19" s="53" t="n">
        <f aca="false">Q19*0.003</f>
        <v>26.985542688</v>
      </c>
      <c r="AN19" s="53" t="n">
        <f aca="false">IF(AD19&gt;320,320,AD19)</f>
        <v>0</v>
      </c>
      <c r="AO19" s="48" t="n">
        <f aca="false">AG19-AN19-AJ19</f>
        <v>233.7984</v>
      </c>
      <c r="AP19" s="48" t="n">
        <f aca="false">AH19-AK19-AL19-AM19-BB19</f>
        <v>6929.403006384</v>
      </c>
      <c r="AQ19" s="49" t="n">
        <f aca="false">AO19+(AP19/$AQ$1)</f>
        <v>493.37424</v>
      </c>
      <c r="AR19" s="48" t="n">
        <f aca="false">BT19</f>
        <v>88.34356</v>
      </c>
      <c r="AS19" s="48" t="n">
        <v>0</v>
      </c>
      <c r="AT19" s="48" t="n">
        <f aca="false">AR19-AS19</f>
        <v>88.34356</v>
      </c>
      <c r="AU19" s="48" t="n">
        <f aca="false">AT19*AE19</f>
        <v>41.8639266174578</v>
      </c>
      <c r="AV19" s="48" t="n">
        <f aca="false">AU19*0.03</f>
        <v>1.25591779852373</v>
      </c>
      <c r="AW19" s="49" t="n">
        <f aca="false">(AT19-AU19)*$AQ$1</f>
        <v>1240.7784611103</v>
      </c>
      <c r="AX19" s="48" t="n">
        <f aca="false">AW19*0.03</f>
        <v>37.2233538333091</v>
      </c>
      <c r="AY19" s="48" t="n">
        <f aca="false">AO19-AU19-AV19</f>
        <v>190.678555584019</v>
      </c>
      <c r="AZ19" s="48" t="n">
        <f aca="false">AP19-AW19-AX19</f>
        <v>5651.40119144039</v>
      </c>
      <c r="BA19" s="54" t="n">
        <f aca="false">'Nyaradzo Workings'!K20</f>
        <v>472.7647</v>
      </c>
      <c r="BB19" s="48" t="n">
        <v>0</v>
      </c>
      <c r="BC19" s="48"/>
      <c r="BD19" s="48"/>
      <c r="BE19" s="48"/>
      <c r="BF19" s="48"/>
      <c r="BG19" s="48"/>
      <c r="BH19" s="48"/>
      <c r="BI19" s="48"/>
      <c r="BJ19" s="48"/>
      <c r="BK19" s="48"/>
      <c r="BL19" s="48" t="n">
        <f aca="false">AY19-BI19-BG19-BH19-BD19+BJ19</f>
        <v>190.678555584019</v>
      </c>
      <c r="BM19" s="48" t="n">
        <f aca="false">AZ19-BA19-BC19-BE19-BF19+BK19</f>
        <v>5178.63649144039</v>
      </c>
      <c r="BN19" s="48" t="n">
        <f aca="false">IF(AQ19&lt;100,0,0)</f>
        <v>0</v>
      </c>
      <c r="BO19" s="48" t="n">
        <f aca="false">IF(AQ19&lt;100,"",IF(AQ19&lt;=300,AQ19*0.2-20,))</f>
        <v>0</v>
      </c>
      <c r="BP19" s="48" t="n">
        <f aca="false">IF(AQ19&lt;300.01,"",IF(AQ19&lt;=1000,AQ19*0.25-35,))</f>
        <v>88.34356</v>
      </c>
      <c r="BQ19" s="48" t="str">
        <f aca="false">IF(AQ19&lt;1000.01,"",IF(AQ19&lt;=2000,AQ19*0.3-85,))</f>
        <v/>
      </c>
      <c r="BR19" s="48" t="str">
        <f aca="false">IF(AQ19&lt;2000.01,"",IF(AQ19&lt;=3000,AQ19*0.35-185,))</f>
        <v/>
      </c>
      <c r="BS19" s="48" t="str">
        <f aca="false">IF(AQ19&lt;3000.01,"",IF(AQ19&gt;3000,AQ19*0.4-335,))</f>
        <v/>
      </c>
      <c r="BT19" s="55" t="n">
        <f aca="false">SUM(BN19:BS19)</f>
        <v>88.34356</v>
      </c>
      <c r="BU19" s="41" t="s">
        <v>99</v>
      </c>
      <c r="BV19" s="41" t="s">
        <v>100</v>
      </c>
      <c r="BW19" s="41" t="s">
        <v>219</v>
      </c>
      <c r="BX19" s="41" t="s">
        <v>99</v>
      </c>
      <c r="BY19" s="41" t="s">
        <v>100</v>
      </c>
      <c r="BZ19" s="41" t="s">
        <v>220</v>
      </c>
      <c r="CA19" s="41" t="n">
        <v>17.29</v>
      </c>
      <c r="CB19" s="41" t="n">
        <v>2.5</v>
      </c>
      <c r="CC19" s="41"/>
      <c r="CD19" s="41" t="n">
        <v>10</v>
      </c>
      <c r="CE19" s="41" t="n">
        <f aca="false">CA19+CB19-CC19-CD19</f>
        <v>9.79</v>
      </c>
      <c r="CF19" s="57" t="n">
        <f aca="false">M19*8</f>
        <v>12.96</v>
      </c>
      <c r="CG19" s="57" t="n">
        <f aca="false">CE19*CF19</f>
        <v>126.8784</v>
      </c>
      <c r="CH19" s="57" t="n">
        <f aca="false">CG19*0.4</f>
        <v>50.75136</v>
      </c>
      <c r="CI19" s="57" t="n">
        <f aca="false">(CG19-CH19)*$CI$2</f>
        <v>2032.218945504</v>
      </c>
    </row>
    <row r="20" customFormat="false" ht="15.75" hidden="false" customHeight="true" outlineLevel="0" collapsed="false">
      <c r="A20" s="41" t="s">
        <v>221</v>
      </c>
      <c r="B20" s="58" t="s">
        <v>222</v>
      </c>
      <c r="C20" s="43" t="s">
        <v>165</v>
      </c>
      <c r="D20" s="43" t="s">
        <v>223</v>
      </c>
      <c r="E20" s="44" t="n">
        <f aca="false">E19</f>
        <v>45747</v>
      </c>
      <c r="F20" s="43" t="s">
        <v>94</v>
      </c>
      <c r="G20" s="43" t="s">
        <v>224</v>
      </c>
      <c r="H20" s="43" t="s">
        <v>144</v>
      </c>
      <c r="I20" s="43" t="s">
        <v>225</v>
      </c>
      <c r="J20" s="45" t="n">
        <f aca="false">AO20/AQ20</f>
        <v>0.481445549357264</v>
      </c>
      <c r="K20" s="45" t="str">
        <f aca="false">K19</f>
        <v>3/2025</v>
      </c>
      <c r="L20" s="46" t="n">
        <v>136</v>
      </c>
      <c r="M20" s="45" t="n">
        <v>2.8</v>
      </c>
      <c r="N20" s="47" t="n">
        <v>15</v>
      </c>
      <c r="O20" s="45" t="n">
        <v>116</v>
      </c>
      <c r="P20" s="48" t="n">
        <f aca="false">L20*M20</f>
        <v>380.8</v>
      </c>
      <c r="Q20" s="49" t="n">
        <f aca="false">P20*$Q$1</f>
        <v>10165.49408</v>
      </c>
      <c r="R20" s="48"/>
      <c r="S20" s="48" t="n">
        <f aca="false">P20*0.3*$S$1*0.5</f>
        <v>1524.824112</v>
      </c>
      <c r="T20" s="48" t="n">
        <f aca="false">N20*M20*8*0.05</f>
        <v>16.8</v>
      </c>
      <c r="U20" s="48" t="n">
        <f aca="false">O20*M20*0.1</f>
        <v>32.48</v>
      </c>
      <c r="V20" s="48"/>
      <c r="W20" s="48" t="n">
        <f aca="false">Y20*M20*2</f>
        <v>0</v>
      </c>
      <c r="X20" s="48" t="n">
        <f aca="false">Z20*M20*1.5</f>
        <v>0</v>
      </c>
      <c r="Y20" s="48"/>
      <c r="Z20" s="48"/>
      <c r="AA20" s="48" t="n">
        <f aca="false">CD20</f>
        <v>15.31</v>
      </c>
      <c r="AB20" s="48"/>
      <c r="AC20" s="48" t="n">
        <f aca="false">M20*8*AA20</f>
        <v>342.944</v>
      </c>
      <c r="AD20" s="50"/>
      <c r="AE20" s="50" t="n">
        <f aca="false">AO20/AQ20</f>
        <v>0.481445549357264</v>
      </c>
      <c r="AF20" s="51" t="n">
        <f aca="false">P20+R20+T20+U20+V20+W20+X20+AB20+AC20+AD20</f>
        <v>773.024</v>
      </c>
      <c r="AG20" s="48" t="n">
        <f aca="false">AF20*0.5</f>
        <v>386.512</v>
      </c>
      <c r="AH20" s="49" t="n">
        <f aca="false">(AF20-AG20)*$AH$1+S20</f>
        <v>11842.8006032</v>
      </c>
      <c r="AI20" s="52" t="n">
        <f aca="false">IF(Q20&gt;18519.27,0.045*18519.27,Q20*0.045)</f>
        <v>457.4472336</v>
      </c>
      <c r="AJ20" s="48" t="n">
        <f aca="false">(AI20*0.5)/$AQ$1</f>
        <v>8.568</v>
      </c>
      <c r="AK20" s="48" t="n">
        <f aca="false">(AI20*0.4)</f>
        <v>182.97889344</v>
      </c>
      <c r="AL20" s="53" t="n">
        <f aca="false">Q20*0.075</f>
        <v>762.412056</v>
      </c>
      <c r="AM20" s="53" t="n">
        <f aca="false">Q20*0.003</f>
        <v>30.49648224</v>
      </c>
      <c r="AN20" s="53" t="n">
        <f aca="false">IF(AD20&gt;320,320,AD20)</f>
        <v>0</v>
      </c>
      <c r="AO20" s="48" t="n">
        <f aca="false">AG20-AN20-AJ20</f>
        <v>377.944</v>
      </c>
      <c r="AP20" s="48" t="n">
        <f aca="false">AH20-AK20-AL20-AM20-BB20</f>
        <v>10866.91317152</v>
      </c>
      <c r="AQ20" s="49" t="n">
        <f aca="false">AO20+(AP20/$AQ$1)</f>
        <v>785.0192</v>
      </c>
      <c r="AR20" s="48" t="n">
        <f aca="false">BT20</f>
        <v>161.2548</v>
      </c>
      <c r="AS20" s="48" t="n">
        <v>0</v>
      </c>
      <c r="AT20" s="48" t="n">
        <f aca="false">AR20-AS20</f>
        <v>161.2548</v>
      </c>
      <c r="AU20" s="48" t="n">
        <f aca="false">AT20*AE20</f>
        <v>77.6354057724958</v>
      </c>
      <c r="AV20" s="48" t="n">
        <f aca="false">AU20*0.03</f>
        <v>2.32906217317487</v>
      </c>
      <c r="AW20" s="49" t="n">
        <f aca="false">(AT20-AU20)*$AQ$1</f>
        <v>2232.22809084265</v>
      </c>
      <c r="AX20" s="48" t="n">
        <f aca="false">AW20*0.03</f>
        <v>66.9668427252795</v>
      </c>
      <c r="AY20" s="48" t="n">
        <f aca="false">AO20-AU20-AV20</f>
        <v>297.979532054329</v>
      </c>
      <c r="AZ20" s="48" t="n">
        <f aca="false">AP20-AW20-AX20</f>
        <v>8567.71823795207</v>
      </c>
      <c r="BA20" s="54" t="n">
        <f aca="false">'Nyaradzo Workings'!K21</f>
        <v>553.5847</v>
      </c>
      <c r="BB20" s="48" t="n">
        <v>0</v>
      </c>
      <c r="BC20" s="48"/>
      <c r="BD20" s="48"/>
      <c r="BE20" s="48"/>
      <c r="BF20" s="48"/>
      <c r="BG20" s="48"/>
      <c r="BH20" s="48"/>
      <c r="BI20" s="48"/>
      <c r="BJ20" s="48"/>
      <c r="BK20" s="48"/>
      <c r="BL20" s="48" t="n">
        <f aca="false">AY20-BI20-BG20-BH20-BD20+BJ20</f>
        <v>297.979532054329</v>
      </c>
      <c r="BM20" s="48" t="n">
        <f aca="false">AZ20-BA20-BC20-BE20-BF20+BK20</f>
        <v>8014.13353795207</v>
      </c>
      <c r="BN20" s="48" t="n">
        <f aca="false">IF(AQ20&lt;100,0,0)</f>
        <v>0</v>
      </c>
      <c r="BO20" s="48" t="n">
        <f aca="false">IF(AQ20&lt;100,"",IF(AQ20&lt;=300,AQ20*0.2-20,))</f>
        <v>0</v>
      </c>
      <c r="BP20" s="48" t="n">
        <f aca="false">IF(AQ20&lt;300.01,"",IF(AQ20&lt;=1000,AQ20*0.25-35,))</f>
        <v>161.2548</v>
      </c>
      <c r="BQ20" s="48" t="str">
        <f aca="false">IF(AQ20&lt;1000.01,"",IF(AQ20&lt;=2000,AQ20*0.3-85,))</f>
        <v/>
      </c>
      <c r="BR20" s="48" t="str">
        <f aca="false">IF(AQ20&lt;2000.01,"",IF(AQ20&lt;=3000,AQ20*0.35-185,))</f>
        <v/>
      </c>
      <c r="BS20" s="48" t="str">
        <f aca="false">IF(AQ20&lt;3000.01,"",IF(AQ20&gt;3000,AQ20*0.4-335,))</f>
        <v/>
      </c>
      <c r="BT20" s="55" t="n">
        <f aca="false">SUM(BN20:BS20)</f>
        <v>161.2548</v>
      </c>
      <c r="BU20" s="41" t="s">
        <v>99</v>
      </c>
      <c r="BV20" s="41" t="s">
        <v>100</v>
      </c>
      <c r="BW20" s="41" t="s">
        <v>226</v>
      </c>
      <c r="BX20" s="41" t="s">
        <v>99</v>
      </c>
      <c r="BY20" s="41" t="s">
        <v>100</v>
      </c>
      <c r="BZ20" s="41" t="s">
        <v>227</v>
      </c>
      <c r="CA20" s="41" t="n">
        <v>12.81</v>
      </c>
      <c r="CB20" s="41" t="n">
        <v>2.5</v>
      </c>
      <c r="CC20" s="41"/>
      <c r="CD20" s="41" t="n">
        <v>15.31</v>
      </c>
      <c r="CE20" s="41" t="n">
        <f aca="false">CA20+CB20-CC20-CD20</f>
        <v>0</v>
      </c>
      <c r="CF20" s="57" t="n">
        <f aca="false">M20*8</f>
        <v>22.4</v>
      </c>
      <c r="CG20" s="57" t="n">
        <f aca="false">CE20*CF20</f>
        <v>0</v>
      </c>
      <c r="CH20" s="57" t="n">
        <f aca="false">CG20*0.4</f>
        <v>0</v>
      </c>
      <c r="CI20" s="57" t="n">
        <f aca="false">(CG20-CH20)*$CI$2</f>
        <v>0</v>
      </c>
    </row>
    <row r="21" customFormat="false" ht="15.75" hidden="false" customHeight="true" outlineLevel="0" collapsed="false">
      <c r="A21" s="41" t="s">
        <v>228</v>
      </c>
      <c r="B21" s="58" t="s">
        <v>229</v>
      </c>
      <c r="C21" s="43" t="s">
        <v>230</v>
      </c>
      <c r="D21" s="43" t="s">
        <v>231</v>
      </c>
      <c r="E21" s="44" t="n">
        <f aca="false">E20</f>
        <v>45747</v>
      </c>
      <c r="F21" s="43" t="s">
        <v>94</v>
      </c>
      <c r="G21" s="43" t="s">
        <v>143</v>
      </c>
      <c r="H21" s="43" t="s">
        <v>144</v>
      </c>
      <c r="I21" s="43" t="s">
        <v>232</v>
      </c>
      <c r="J21" s="45" t="n">
        <f aca="false">AO21/AQ21</f>
        <v>0.463331509195715</v>
      </c>
      <c r="K21" s="45" t="str">
        <f aca="false">K20</f>
        <v>3/2025</v>
      </c>
      <c r="L21" s="46" t="n">
        <v>208</v>
      </c>
      <c r="M21" s="45" t="n">
        <v>2.8</v>
      </c>
      <c r="N21" s="47" t="n">
        <v>25</v>
      </c>
      <c r="O21" s="45" t="n">
        <v>20</v>
      </c>
      <c r="P21" s="48" t="n">
        <f aca="false">L21*M21</f>
        <v>582.4</v>
      </c>
      <c r="Q21" s="49" t="n">
        <f aca="false">P21*$Q$1</f>
        <v>15547.22624</v>
      </c>
      <c r="R21" s="48"/>
      <c r="S21" s="48" t="n">
        <f aca="false">P21*0.3*$S$1*0.5</f>
        <v>2332.083936</v>
      </c>
      <c r="T21" s="48" t="n">
        <f aca="false">N21*M21*8*0.05</f>
        <v>28</v>
      </c>
      <c r="U21" s="48" t="n">
        <f aca="false">O21*M21*0.1</f>
        <v>5.6</v>
      </c>
      <c r="V21" s="48" t="n">
        <f aca="false">145.42</f>
        <v>145.42</v>
      </c>
      <c r="W21" s="48" t="n">
        <f aca="false">Y21*M21*2</f>
        <v>0</v>
      </c>
      <c r="X21" s="48" t="n">
        <f aca="false">Z21*M21*1.5</f>
        <v>0</v>
      </c>
      <c r="Y21" s="48"/>
      <c r="Z21" s="48"/>
      <c r="AA21" s="48" t="n">
        <f aca="false">CD21</f>
        <v>15</v>
      </c>
      <c r="AB21" s="48" t="n">
        <f aca="false">P21*0.075</f>
        <v>43.68</v>
      </c>
      <c r="AC21" s="48" t="n">
        <f aca="false">M21*8*AA21</f>
        <v>336</v>
      </c>
      <c r="AD21" s="50"/>
      <c r="AE21" s="50" t="n">
        <f aca="false">AO21/AQ21</f>
        <v>0.463331509195715</v>
      </c>
      <c r="AF21" s="51" t="n">
        <f aca="false">P21+R21+T21+U21+V21+W21+X21+AB21+AC21+AD21</f>
        <v>1141.1</v>
      </c>
      <c r="AG21" s="48" t="n">
        <f aca="false">AF21*0.5</f>
        <v>570.55</v>
      </c>
      <c r="AH21" s="49" t="n">
        <f aca="false">(AF21-AG21)*$AH$1+S21</f>
        <v>17562.973241</v>
      </c>
      <c r="AI21" s="52" t="n">
        <f aca="false">IF(Q21&gt;18519.27,0.045*18519.27,Q21*0.045)</f>
        <v>699.6251808</v>
      </c>
      <c r="AJ21" s="48" t="n">
        <f aca="false">(AI21*0.5)/$AQ$1</f>
        <v>13.104</v>
      </c>
      <c r="AK21" s="48" t="n">
        <f aca="false">(AI21*0.4)</f>
        <v>279.85007232</v>
      </c>
      <c r="AL21" s="53" t="n">
        <v>0</v>
      </c>
      <c r="AM21" s="53" t="n">
        <f aca="false">Q21*0.003</f>
        <v>46.64167872</v>
      </c>
      <c r="AN21" s="53" t="n">
        <f aca="false">IF(AD21&gt;320,320,AD21)</f>
        <v>0</v>
      </c>
      <c r="AO21" s="48" t="n">
        <f aca="false">AG21-AN21-AJ21</f>
        <v>557.446</v>
      </c>
      <c r="AP21" s="48" t="n">
        <f aca="false">AH21-AK21-AL21-AM21-BB21</f>
        <v>17236.48148996</v>
      </c>
      <c r="AQ21" s="49" t="n">
        <f aca="false">AO21+(AP21/$AQ$1)</f>
        <v>1203.1256</v>
      </c>
      <c r="AR21" s="48" t="n">
        <f aca="false">BT21</f>
        <v>275.93768</v>
      </c>
      <c r="AS21" s="48" t="n">
        <v>0</v>
      </c>
      <c r="AT21" s="48" t="n">
        <f aca="false">AR21-AS21</f>
        <v>275.93768</v>
      </c>
      <c r="AU21" s="48" t="n">
        <f aca="false">AT21*AE21</f>
        <v>127.850621718364</v>
      </c>
      <c r="AV21" s="48" t="n">
        <f aca="false">AU21*0.03</f>
        <v>3.83551865155093</v>
      </c>
      <c r="AW21" s="49" t="n">
        <f aca="false">(AT21-AU21)*$AQ$1</f>
        <v>3953.19882953409</v>
      </c>
      <c r="AX21" s="48" t="n">
        <f aca="false">AW21*0.03</f>
        <v>118.595964886023</v>
      </c>
      <c r="AY21" s="48" t="n">
        <f aca="false">AO21-AU21-AV21</f>
        <v>425.759859630085</v>
      </c>
      <c r="AZ21" s="48" t="n">
        <f aca="false">AP21-AW21-AX21</f>
        <v>13164.6866955399</v>
      </c>
      <c r="BA21" s="54" t="n">
        <f aca="false">'Nyaradzo Workings'!K22</f>
        <v>316.4547</v>
      </c>
      <c r="BB21" s="48"/>
      <c r="BC21" s="48"/>
      <c r="BD21" s="48"/>
      <c r="BE21" s="48"/>
      <c r="BF21" s="48"/>
      <c r="BG21" s="48"/>
      <c r="BH21" s="48"/>
      <c r="BI21" s="48" t="n">
        <v>12.5</v>
      </c>
      <c r="BJ21" s="48"/>
      <c r="BK21" s="48"/>
      <c r="BL21" s="48" t="n">
        <f aca="false">AY21-BI21-BG21-BH21-BD21+BJ21</f>
        <v>413.259859630085</v>
      </c>
      <c r="BM21" s="48" t="n">
        <f aca="false">AZ21-BA21-BC21-BE21-BF21+BK21</f>
        <v>12848.2319955399</v>
      </c>
      <c r="BN21" s="48" t="n">
        <f aca="false">IF(AQ21&lt;100,0,0)</f>
        <v>0</v>
      </c>
      <c r="BO21" s="48" t="n">
        <f aca="false">IF(AQ21&lt;100,"",IF(AQ21&lt;=300,AQ21*0.2-20,))</f>
        <v>0</v>
      </c>
      <c r="BP21" s="48" t="n">
        <f aca="false">IF(AQ21&lt;300.01,"",IF(AQ21&lt;=1000,AQ21*0.25-35,))</f>
        <v>0</v>
      </c>
      <c r="BQ21" s="48" t="n">
        <f aca="false">IF(AQ21&lt;1000.01,"",IF(AQ21&lt;=2000,AQ21*0.3-85,))</f>
        <v>275.93768</v>
      </c>
      <c r="BR21" s="48" t="str">
        <f aca="false">IF(AQ21&lt;2000.01,"",IF(AQ21&lt;=3000,AQ21*0.35-185,))</f>
        <v/>
      </c>
      <c r="BS21" s="48" t="str">
        <f aca="false">IF(AQ21&lt;3000.01,"",IF(AQ21&gt;3000,AQ21*0.4-335,))</f>
        <v/>
      </c>
      <c r="BT21" s="55" t="n">
        <f aca="false">SUM(BN21:BS21)</f>
        <v>275.93768</v>
      </c>
      <c r="BU21" s="41" t="s">
        <v>99</v>
      </c>
      <c r="BV21" s="41" t="s">
        <v>100</v>
      </c>
      <c r="BW21" s="41" t="s">
        <v>233</v>
      </c>
      <c r="BX21" s="41" t="s">
        <v>99</v>
      </c>
      <c r="BY21" s="41" t="s">
        <v>100</v>
      </c>
      <c r="BZ21" s="41" t="s">
        <v>234</v>
      </c>
      <c r="CA21" s="41" t="n">
        <v>21.63</v>
      </c>
      <c r="CB21" s="41" t="n">
        <v>2.5</v>
      </c>
      <c r="CC21" s="41"/>
      <c r="CD21" s="41" t="n">
        <v>15</v>
      </c>
      <c r="CE21" s="41" t="n">
        <f aca="false">CA21+CB21-CC21-CD21</f>
        <v>9.13</v>
      </c>
      <c r="CF21" s="57" t="n">
        <f aca="false">M21*8</f>
        <v>22.4</v>
      </c>
      <c r="CG21" s="57" t="n">
        <f aca="false">CE21*CF21</f>
        <v>204.512</v>
      </c>
      <c r="CH21" s="57" t="n">
        <f aca="false">CG21*0.4</f>
        <v>81.8048</v>
      </c>
      <c r="CI21" s="57" t="n">
        <f aca="false">(CG21-CH21)*$CI$2</f>
        <v>3275.68097472</v>
      </c>
    </row>
    <row r="22" customFormat="false" ht="15.75" hidden="false" customHeight="true" outlineLevel="0" collapsed="false">
      <c r="A22" s="41" t="s">
        <v>235</v>
      </c>
      <c r="B22" s="58" t="s">
        <v>236</v>
      </c>
      <c r="C22" s="43" t="s">
        <v>237</v>
      </c>
      <c r="D22" s="43" t="s">
        <v>238</v>
      </c>
      <c r="E22" s="44" t="n">
        <f aca="false">E21</f>
        <v>45747</v>
      </c>
      <c r="F22" s="43" t="s">
        <v>94</v>
      </c>
      <c r="G22" s="43" t="s">
        <v>159</v>
      </c>
      <c r="H22" s="43" t="s">
        <v>160</v>
      </c>
      <c r="I22" s="43" t="s">
        <v>239</v>
      </c>
      <c r="J22" s="45" t="n">
        <f aca="false">AO22/AQ22</f>
        <v>0.438393443648535</v>
      </c>
      <c r="K22" s="45" t="str">
        <f aca="false">K21</f>
        <v>3/2025</v>
      </c>
      <c r="L22" s="46" t="n">
        <v>208</v>
      </c>
      <c r="M22" s="45" t="n">
        <v>1.62</v>
      </c>
      <c r="N22" s="47" t="n">
        <v>25</v>
      </c>
      <c r="O22" s="45"/>
      <c r="P22" s="48" t="n">
        <f aca="false">L22*M22</f>
        <v>336.96</v>
      </c>
      <c r="Q22" s="49" t="n">
        <f aca="false">P22*$Q$1</f>
        <v>8995.180896</v>
      </c>
      <c r="R22" s="48"/>
      <c r="S22" s="48" t="n">
        <f aca="false">P22*0.3*$S$1*0.5</f>
        <v>1349.2771344</v>
      </c>
      <c r="T22" s="48" t="n">
        <f aca="false">N22*M22*8*0.05</f>
        <v>16.2</v>
      </c>
      <c r="U22" s="48" t="n">
        <f aca="false">O22*M22*0.1</f>
        <v>0</v>
      </c>
      <c r="V22" s="48"/>
      <c r="W22" s="48" t="n">
        <f aca="false">Y22*M22*2</f>
        <v>0</v>
      </c>
      <c r="X22" s="48" t="n">
        <f aca="false">Z22*M22*1.5</f>
        <v>0</v>
      </c>
      <c r="Y22" s="48"/>
      <c r="Z22" s="48"/>
      <c r="AA22" s="48" t="n">
        <f aca="false">CD22</f>
        <v>0</v>
      </c>
      <c r="AB22" s="48" t="n">
        <f aca="false">P22*0.075</f>
        <v>25.272</v>
      </c>
      <c r="AC22" s="48" t="n">
        <f aca="false">M22*8*AA22</f>
        <v>0</v>
      </c>
      <c r="AD22" s="50"/>
      <c r="AE22" s="50" t="n">
        <f aca="false">AO22/AQ22</f>
        <v>0.438393443648535</v>
      </c>
      <c r="AF22" s="51" t="n">
        <f aca="false">P22+R22+T22+U22+V22+W22+X22+AB22+AC22+AD22</f>
        <v>378.432</v>
      </c>
      <c r="AG22" s="48" t="n">
        <f aca="false">AF22*0.5</f>
        <v>189.216</v>
      </c>
      <c r="AH22" s="49" t="n">
        <f aca="false">(AF22-AG22)*$AH$1+S22</f>
        <v>6400.417176</v>
      </c>
      <c r="AI22" s="52" t="n">
        <f aca="false">IF(Q22&gt;18519.27,0.045*18519.27,Q22*0.045)</f>
        <v>404.78314032</v>
      </c>
      <c r="AJ22" s="48" t="n">
        <f aca="false">(AI22*0.5)/$AQ$1</f>
        <v>7.5816</v>
      </c>
      <c r="AK22" s="48" t="n">
        <f aca="false">(AI22*0.4)</f>
        <v>161.913256128</v>
      </c>
      <c r="AL22" s="53" t="n">
        <v>0</v>
      </c>
      <c r="AM22" s="53" t="n">
        <f aca="false">Q22*0.003</f>
        <v>26.985542688</v>
      </c>
      <c r="AN22" s="53" t="n">
        <f aca="false">IF(AD22&gt;320,320,AD22)</f>
        <v>0</v>
      </c>
      <c r="AO22" s="48" t="n">
        <f aca="false">AG22-AN22-AJ22</f>
        <v>181.6344</v>
      </c>
      <c r="AP22" s="48" t="n">
        <f aca="false">AH22-AK22-AL22-AM22-BB22</f>
        <v>6211.518377184</v>
      </c>
      <c r="AQ22" s="49" t="n">
        <f aca="false">AO22+(AP22/$AQ$1)</f>
        <v>414.31824</v>
      </c>
      <c r="AR22" s="48" t="n">
        <f aca="false">BT22</f>
        <v>68.57956</v>
      </c>
      <c r="AS22" s="48" t="n">
        <v>0</v>
      </c>
      <c r="AT22" s="48" t="n">
        <f aca="false">AR22-AS22</f>
        <v>68.57956</v>
      </c>
      <c r="AU22" s="48" t="n">
        <f aca="false">AT22*AE22</f>
        <v>30.0648294723013</v>
      </c>
      <c r="AV22" s="48" t="n">
        <f aca="false">AU22*0.03</f>
        <v>0.901944884169039</v>
      </c>
      <c r="AW22" s="49" t="n">
        <f aca="false">(AT22-AU22)*$AQ$1</f>
        <v>1028.15458290997</v>
      </c>
      <c r="AX22" s="48" t="n">
        <f aca="false">AW22*0.03</f>
        <v>30.8446374872991</v>
      </c>
      <c r="AY22" s="48" t="n">
        <f aca="false">AO22-AU22-AV22</f>
        <v>150.66762564353</v>
      </c>
      <c r="AZ22" s="48" t="n">
        <f aca="false">AP22-AW22-AX22</f>
        <v>5152.51915678673</v>
      </c>
      <c r="BA22" s="54" t="n">
        <f aca="false">'Nyaradzo Workings'!K23</f>
        <v>577.7647</v>
      </c>
      <c r="BB22" s="48"/>
      <c r="BC22" s="48"/>
      <c r="BD22" s="48"/>
      <c r="BE22" s="48"/>
      <c r="BF22" s="48"/>
      <c r="BG22" s="48"/>
      <c r="BH22" s="48"/>
      <c r="BI22" s="48" t="n">
        <v>12.5</v>
      </c>
      <c r="BJ22" s="48"/>
      <c r="BK22" s="48"/>
      <c r="BL22" s="48" t="n">
        <f aca="false">AY22-BI22-BG22-BH22-BD22+BJ22</f>
        <v>138.16762564353</v>
      </c>
      <c r="BM22" s="48" t="n">
        <f aca="false">AZ22-BA22-BC22-BE22-BF22+BK22</f>
        <v>4574.75445678673</v>
      </c>
      <c r="BN22" s="48" t="n">
        <f aca="false">IF(AQ22&lt;100,0,0)</f>
        <v>0</v>
      </c>
      <c r="BO22" s="48" t="n">
        <f aca="false">IF(AQ22&lt;100,"",IF(AQ22&lt;=300,AQ22*0.2-20,))</f>
        <v>0</v>
      </c>
      <c r="BP22" s="48" t="n">
        <f aca="false">IF(AQ22&lt;300.01,"",IF(AQ22&lt;=1000,AQ22*0.25-35,))</f>
        <v>68.57956</v>
      </c>
      <c r="BQ22" s="48" t="str">
        <f aca="false">IF(AQ22&lt;1000.01,"",IF(AQ22&lt;=2000,AQ22*0.3-85,))</f>
        <v/>
      </c>
      <c r="BR22" s="48" t="str">
        <f aca="false">IF(AQ22&lt;2000.01,"",IF(AQ22&lt;=3000,AQ22*0.35-185,))</f>
        <v/>
      </c>
      <c r="BS22" s="48" t="str">
        <f aca="false">IF(AQ22&lt;3000.01,"",IF(AQ22&gt;3000,AQ22*0.4-335,))</f>
        <v/>
      </c>
      <c r="BT22" s="55" t="n">
        <f aca="false">SUM(BN22:BS22)</f>
        <v>68.57956</v>
      </c>
      <c r="BU22" s="41" t="s">
        <v>99</v>
      </c>
      <c r="BV22" s="41" t="s">
        <v>100</v>
      </c>
      <c r="BW22" s="41" t="s">
        <v>240</v>
      </c>
      <c r="BX22" s="41" t="s">
        <v>99</v>
      </c>
      <c r="BY22" s="41" t="s">
        <v>100</v>
      </c>
      <c r="BZ22" s="41" t="s">
        <v>241</v>
      </c>
      <c r="CA22" s="41" t="n">
        <v>19.03</v>
      </c>
      <c r="CB22" s="41" t="n">
        <v>2.5</v>
      </c>
      <c r="CC22" s="41"/>
      <c r="CD22" s="41"/>
      <c r="CE22" s="41" t="n">
        <f aca="false">CA22+CB22-CC22-CD22</f>
        <v>21.53</v>
      </c>
      <c r="CF22" s="57" t="n">
        <f aca="false">M22*8</f>
        <v>12.96</v>
      </c>
      <c r="CG22" s="57" t="n">
        <f aca="false">CE22*CF22</f>
        <v>279.0288</v>
      </c>
      <c r="CH22" s="57" t="n">
        <f aca="false">CG22*0.4</f>
        <v>111.61152</v>
      </c>
      <c r="CI22" s="57" t="n">
        <f aca="false">(CG22-CH22)*$CI$2</f>
        <v>4469.221031328</v>
      </c>
    </row>
    <row r="23" customFormat="false" ht="15.75" hidden="false" customHeight="true" outlineLevel="0" collapsed="false">
      <c r="A23" s="41" t="s">
        <v>242</v>
      </c>
      <c r="B23" s="58" t="s">
        <v>243</v>
      </c>
      <c r="C23" s="43" t="s">
        <v>244</v>
      </c>
      <c r="D23" s="43" t="s">
        <v>245</v>
      </c>
      <c r="E23" s="44" t="n">
        <f aca="false">E22</f>
        <v>45747</v>
      </c>
      <c r="F23" s="43" t="s">
        <v>94</v>
      </c>
      <c r="G23" s="43" t="s">
        <v>159</v>
      </c>
      <c r="H23" s="43" t="s">
        <v>160</v>
      </c>
      <c r="I23" s="43" t="s">
        <v>246</v>
      </c>
      <c r="J23" s="45" t="n">
        <f aca="false">AO23/AQ23</f>
        <v>0.438393443648535</v>
      </c>
      <c r="K23" s="45" t="str">
        <f aca="false">K22</f>
        <v>3/2025</v>
      </c>
      <c r="L23" s="46" t="n">
        <v>208</v>
      </c>
      <c r="M23" s="45" t="n">
        <v>1.62</v>
      </c>
      <c r="N23" s="47" t="n">
        <v>25</v>
      </c>
      <c r="O23" s="45"/>
      <c r="P23" s="48" t="n">
        <f aca="false">L23*M23</f>
        <v>336.96</v>
      </c>
      <c r="Q23" s="49" t="n">
        <f aca="false">P23*$Q$1</f>
        <v>8995.180896</v>
      </c>
      <c r="R23" s="48"/>
      <c r="S23" s="48" t="n">
        <f aca="false">P23*0.3*$S$1*0.5</f>
        <v>1349.2771344</v>
      </c>
      <c r="T23" s="48" t="n">
        <f aca="false">N23*M23*8*0.05</f>
        <v>16.2</v>
      </c>
      <c r="U23" s="48" t="n">
        <f aca="false">O23*M23*0.1</f>
        <v>0</v>
      </c>
      <c r="V23" s="48"/>
      <c r="W23" s="48" t="n">
        <f aca="false">Y23*M23*2</f>
        <v>0</v>
      </c>
      <c r="X23" s="48" t="n">
        <f aca="false">Z23*M23*1.5</f>
        <v>0</v>
      </c>
      <c r="Y23" s="48"/>
      <c r="Z23" s="48"/>
      <c r="AA23" s="48" t="n">
        <f aca="false">CD23</f>
        <v>0</v>
      </c>
      <c r="AB23" s="48" t="n">
        <f aca="false">P23*0.075</f>
        <v>25.272</v>
      </c>
      <c r="AC23" s="48" t="n">
        <f aca="false">M23*8*AA23</f>
        <v>0</v>
      </c>
      <c r="AD23" s="50"/>
      <c r="AE23" s="50" t="n">
        <f aca="false">AO23/AQ23</f>
        <v>0.438393443648535</v>
      </c>
      <c r="AF23" s="51" t="n">
        <f aca="false">P23+R23+T23+U23+V23+W23+X23+AB23+AC23+AD23</f>
        <v>378.432</v>
      </c>
      <c r="AG23" s="48" t="n">
        <f aca="false">AF23*0.5</f>
        <v>189.216</v>
      </c>
      <c r="AH23" s="49" t="n">
        <f aca="false">(AF23-AG23)*$AH$1+S23</f>
        <v>6400.417176</v>
      </c>
      <c r="AI23" s="52" t="n">
        <f aca="false">IF(Q23&gt;18519.27,0.045*18519.27,Q23*0.045)</f>
        <v>404.78314032</v>
      </c>
      <c r="AJ23" s="48" t="n">
        <f aca="false">(AI23*0.5)/$AQ$1</f>
        <v>7.5816</v>
      </c>
      <c r="AK23" s="48" t="n">
        <f aca="false">(AI23*0.4)</f>
        <v>161.913256128</v>
      </c>
      <c r="AL23" s="53" t="n">
        <v>0</v>
      </c>
      <c r="AM23" s="53" t="n">
        <f aca="false">Q23*0.003</f>
        <v>26.985542688</v>
      </c>
      <c r="AN23" s="53" t="n">
        <f aca="false">IF(AD23&gt;320,320,AD23)</f>
        <v>0</v>
      </c>
      <c r="AO23" s="48" t="n">
        <f aca="false">AG23-AN23-AJ23</f>
        <v>181.6344</v>
      </c>
      <c r="AP23" s="48" t="n">
        <f aca="false">AH23-AK23-AL23-AM23-BB23</f>
        <v>6211.518377184</v>
      </c>
      <c r="AQ23" s="49" t="n">
        <f aca="false">AO23+(AP23/$AQ$1)</f>
        <v>414.31824</v>
      </c>
      <c r="AR23" s="48" t="n">
        <f aca="false">BT23</f>
        <v>68.57956</v>
      </c>
      <c r="AS23" s="48" t="n">
        <v>0</v>
      </c>
      <c r="AT23" s="48" t="n">
        <f aca="false">AR23-AS23</f>
        <v>68.57956</v>
      </c>
      <c r="AU23" s="48" t="n">
        <f aca="false">AT23*AE23</f>
        <v>30.0648294723013</v>
      </c>
      <c r="AV23" s="48" t="n">
        <f aca="false">AU23*0.03</f>
        <v>0.901944884169039</v>
      </c>
      <c r="AW23" s="49" t="n">
        <f aca="false">(AT23-AU23)*$AQ$1</f>
        <v>1028.15458290997</v>
      </c>
      <c r="AX23" s="48" t="n">
        <f aca="false">AW23*0.03</f>
        <v>30.8446374872991</v>
      </c>
      <c r="AY23" s="48" t="n">
        <f aca="false">AO23-AU23-AV23</f>
        <v>150.66762564353</v>
      </c>
      <c r="AZ23" s="48" t="n">
        <f aca="false">AP23-AW23-AX23</f>
        <v>5152.51915678673</v>
      </c>
      <c r="BA23" s="53" t="n">
        <v>0</v>
      </c>
      <c r="BB23" s="48" t="n">
        <v>0</v>
      </c>
      <c r="BC23" s="48"/>
      <c r="BD23" s="48"/>
      <c r="BE23" s="48"/>
      <c r="BF23" s="48"/>
      <c r="BG23" s="48"/>
      <c r="BH23" s="48"/>
      <c r="BI23" s="48"/>
      <c r="BJ23" s="48"/>
      <c r="BK23" s="48"/>
      <c r="BL23" s="48" t="n">
        <f aca="false">AY23-BI23-BG23-BH23-BD23+BJ23</f>
        <v>150.66762564353</v>
      </c>
      <c r="BM23" s="48" t="n">
        <f aca="false">AZ23-BA23-BC23-BE23-BF23+BK23</f>
        <v>5152.51915678673</v>
      </c>
      <c r="BN23" s="48" t="n">
        <f aca="false">IF(AQ23&lt;100,0,0)</f>
        <v>0</v>
      </c>
      <c r="BO23" s="48" t="n">
        <f aca="false">IF(AQ23&lt;100,"",IF(AQ23&lt;=300,AQ23*0.2-20,))</f>
        <v>0</v>
      </c>
      <c r="BP23" s="48" t="n">
        <f aca="false">IF(AQ23&lt;300.01,"",IF(AQ23&lt;=1000,AQ23*0.25-35,))</f>
        <v>68.57956</v>
      </c>
      <c r="BQ23" s="48" t="str">
        <f aca="false">IF(AQ23&lt;1000.01,"",IF(AQ23&lt;=2000,AQ23*0.3-85,))</f>
        <v/>
      </c>
      <c r="BR23" s="48" t="str">
        <f aca="false">IF(AQ23&lt;2000.01,"",IF(AQ23&lt;=3000,AQ23*0.35-185,))</f>
        <v/>
      </c>
      <c r="BS23" s="48" t="str">
        <f aca="false">IF(AQ23&lt;3000.01,"",IF(AQ23&gt;3000,AQ23*0.4-335,))</f>
        <v/>
      </c>
      <c r="BT23" s="55" t="n">
        <f aca="false">SUM(BN23:BS23)</f>
        <v>68.57956</v>
      </c>
      <c r="BU23" s="41" t="s">
        <v>99</v>
      </c>
      <c r="BV23" s="41" t="s">
        <v>100</v>
      </c>
      <c r="BW23" s="41" t="s">
        <v>247</v>
      </c>
      <c r="BX23" s="41" t="s">
        <v>99</v>
      </c>
      <c r="BY23" s="41" t="s">
        <v>100</v>
      </c>
      <c r="BZ23" s="41" t="s">
        <v>248</v>
      </c>
      <c r="CA23" s="41" t="n">
        <v>18.44</v>
      </c>
      <c r="CB23" s="41" t="n">
        <v>2.5</v>
      </c>
      <c r="CC23" s="41"/>
      <c r="CD23" s="41"/>
      <c r="CE23" s="41" t="n">
        <f aca="false">CA23+CB23-CC23-CD23</f>
        <v>20.94</v>
      </c>
      <c r="CF23" s="57" t="n">
        <f aca="false">M23*8</f>
        <v>12.96</v>
      </c>
      <c r="CG23" s="57" t="n">
        <f aca="false">CE23*CF23</f>
        <v>271.3824</v>
      </c>
      <c r="CH23" s="57" t="n">
        <f aca="false">CG23*0.4</f>
        <v>108.55296</v>
      </c>
      <c r="CI23" s="57" t="n">
        <f aca="false">(CG23-CH23)*$CI$2</f>
        <v>4346.748183744</v>
      </c>
    </row>
    <row r="24" customFormat="false" ht="15.75" hidden="false" customHeight="true" outlineLevel="0" collapsed="false">
      <c r="A24" s="41" t="s">
        <v>249</v>
      </c>
      <c r="B24" s="58" t="s">
        <v>250</v>
      </c>
      <c r="C24" s="43" t="s">
        <v>251</v>
      </c>
      <c r="D24" s="43" t="s">
        <v>252</v>
      </c>
      <c r="E24" s="44" t="n">
        <f aca="false">E23</f>
        <v>45747</v>
      </c>
      <c r="F24" s="43" t="s">
        <v>94</v>
      </c>
      <c r="G24" s="43" t="s">
        <v>159</v>
      </c>
      <c r="H24" s="43" t="s">
        <v>160</v>
      </c>
      <c r="I24" s="43" t="s">
        <v>253</v>
      </c>
      <c r="J24" s="45" t="n">
        <f aca="false">AO24/AQ24</f>
        <v>0.442105882007114</v>
      </c>
      <c r="K24" s="45" t="str">
        <f aca="false">K23</f>
        <v>3/2025</v>
      </c>
      <c r="L24" s="46" t="n">
        <v>208</v>
      </c>
      <c r="M24" s="45" t="n">
        <v>1.62</v>
      </c>
      <c r="N24" s="47" t="n">
        <v>26</v>
      </c>
      <c r="O24" s="45"/>
      <c r="P24" s="48" t="n">
        <f aca="false">L24*M24</f>
        <v>336.96</v>
      </c>
      <c r="Q24" s="49" t="n">
        <f aca="false">P24*$Q$1</f>
        <v>8995.180896</v>
      </c>
      <c r="R24" s="48"/>
      <c r="S24" s="48" t="n">
        <f aca="false">P24*0.3*$S$1*0.5</f>
        <v>1349.2771344</v>
      </c>
      <c r="T24" s="48" t="n">
        <f aca="false">N24*M24*8*0.05</f>
        <v>16.848</v>
      </c>
      <c r="U24" s="48" t="n">
        <f aca="false">O24*M24*0.1</f>
        <v>0</v>
      </c>
      <c r="V24" s="48"/>
      <c r="W24" s="48" t="n">
        <f aca="false">Y24*M24*2</f>
        <v>25.92</v>
      </c>
      <c r="X24" s="48" t="n">
        <f aca="false">Z24*M24*1.5</f>
        <v>0</v>
      </c>
      <c r="Y24" s="48" t="n">
        <v>8</v>
      </c>
      <c r="Z24" s="48"/>
      <c r="AA24" s="48" t="n">
        <f aca="false">CD24</f>
        <v>0</v>
      </c>
      <c r="AB24" s="48" t="n">
        <f aca="false">P24*0.075</f>
        <v>25.272</v>
      </c>
      <c r="AC24" s="48" t="n">
        <f aca="false">M24*8*AA24</f>
        <v>0</v>
      </c>
      <c r="AD24" s="50"/>
      <c r="AE24" s="50" t="n">
        <f aca="false">AO24/AQ24</f>
        <v>0.442105882007114</v>
      </c>
      <c r="AF24" s="51" t="n">
        <f aca="false">P24+R24+T24+U24+V24+W24+X24+AB24+AC24+AD24</f>
        <v>405</v>
      </c>
      <c r="AG24" s="48" t="n">
        <f aca="false">AF24*0.5</f>
        <v>202.5</v>
      </c>
      <c r="AH24" s="49" t="n">
        <f aca="false">(AF24-AG24)*$AH$1+S24</f>
        <v>6755.0348844</v>
      </c>
      <c r="AI24" s="52" t="n">
        <f aca="false">IF(Q24&gt;18519.27,0.045*18519.27,Q24*0.045)</f>
        <v>404.78314032</v>
      </c>
      <c r="AJ24" s="48" t="n">
        <f aca="false">(AI24*0.5)/$AQ$1</f>
        <v>7.5816</v>
      </c>
      <c r="AK24" s="48" t="n">
        <f aca="false">(AI24*0.4)</f>
        <v>161.913256128</v>
      </c>
      <c r="AL24" s="53" t="n">
        <v>0</v>
      </c>
      <c r="AM24" s="53" t="n">
        <f aca="false">Q24*0.003</f>
        <v>26.985542688</v>
      </c>
      <c r="AN24" s="53" t="n">
        <f aca="false">IF(AD24&gt;320,320,AD24)</f>
        <v>0</v>
      </c>
      <c r="AO24" s="48" t="n">
        <f aca="false">AG24-AN24-AJ24</f>
        <v>194.9184</v>
      </c>
      <c r="AP24" s="48" t="n">
        <f aca="false">AH24-AK24-AL24-AM24-BB24</f>
        <v>6566.136085584</v>
      </c>
      <c r="AQ24" s="49" t="n">
        <f aca="false">AO24+(AP24/$AQ$1)</f>
        <v>440.88624</v>
      </c>
      <c r="AR24" s="48" t="n">
        <f aca="false">BT24</f>
        <v>75.22156</v>
      </c>
      <c r="AS24" s="48" t="n">
        <v>0</v>
      </c>
      <c r="AT24" s="48" t="n">
        <f aca="false">AR24-AS24</f>
        <v>75.22156</v>
      </c>
      <c r="AU24" s="48" t="n">
        <f aca="false">AT24*AE24</f>
        <v>33.255894129751</v>
      </c>
      <c r="AV24" s="48" t="n">
        <f aca="false">AU24*0.03</f>
        <v>0.997676823892531</v>
      </c>
      <c r="AW24" s="49" t="n">
        <f aca="false">(AT24-AU24)*$AQ$1</f>
        <v>1120.27764697288</v>
      </c>
      <c r="AX24" s="48" t="n">
        <f aca="false">AW24*0.03</f>
        <v>33.6083294091865</v>
      </c>
      <c r="AY24" s="48" t="n">
        <f aca="false">AO24-AU24-AV24</f>
        <v>160.664829046356</v>
      </c>
      <c r="AZ24" s="48" t="n">
        <f aca="false">AP24-AW24-AX24</f>
        <v>5412.25010920193</v>
      </c>
      <c r="BA24" s="54" t="n">
        <f aca="false">'Nyaradzo Workings'!K24</f>
        <v>734.0747</v>
      </c>
      <c r="BB24" s="48" t="n">
        <v>0</v>
      </c>
      <c r="BC24" s="48"/>
      <c r="BD24" s="48"/>
      <c r="BE24" s="48"/>
      <c r="BF24" s="48"/>
      <c r="BG24" s="48"/>
      <c r="BH24" s="48"/>
      <c r="BI24" s="48" t="n">
        <v>12.5</v>
      </c>
      <c r="BJ24" s="48"/>
      <c r="BK24" s="48"/>
      <c r="BL24" s="48" t="n">
        <f aca="false">AY24-BI24-BG24-BH24-BD24+BJ24</f>
        <v>148.164829046356</v>
      </c>
      <c r="BM24" s="48" t="n">
        <f aca="false">AZ24-BA24-BC24-BE24-BF24+BK24</f>
        <v>4678.17540920193</v>
      </c>
      <c r="BN24" s="48" t="n">
        <f aca="false">IF(AQ24&lt;100,0,0)</f>
        <v>0</v>
      </c>
      <c r="BO24" s="48" t="n">
        <f aca="false">IF(AQ24&lt;100,"",IF(AQ24&lt;=300,AQ24*0.2-20,))</f>
        <v>0</v>
      </c>
      <c r="BP24" s="48" t="n">
        <f aca="false">IF(AQ24&lt;300.01,"",IF(AQ24&lt;=1000,AQ24*0.25-35,))</f>
        <v>75.22156</v>
      </c>
      <c r="BQ24" s="48" t="str">
        <f aca="false">IF(AQ24&lt;1000.01,"",IF(AQ24&lt;=2000,AQ24*0.3-85,))</f>
        <v/>
      </c>
      <c r="BR24" s="48" t="str">
        <f aca="false">IF(AQ24&lt;2000.01,"",IF(AQ24&lt;=3000,AQ24*0.35-185,))</f>
        <v/>
      </c>
      <c r="BS24" s="48" t="str">
        <f aca="false">IF(AQ24&lt;3000.01,"",IF(AQ24&gt;3000,AQ24*0.4-335,))</f>
        <v/>
      </c>
      <c r="BT24" s="55" t="n">
        <f aca="false">SUM(BN24:BS24)</f>
        <v>75.22156</v>
      </c>
      <c r="BU24" s="41" t="s">
        <v>99</v>
      </c>
      <c r="BV24" s="41" t="s">
        <v>100</v>
      </c>
      <c r="BW24" s="41" t="s">
        <v>254</v>
      </c>
      <c r="BX24" s="41" t="s">
        <v>99</v>
      </c>
      <c r="BY24" s="41" t="s">
        <v>100</v>
      </c>
      <c r="BZ24" s="41" t="s">
        <v>255</v>
      </c>
      <c r="CA24" s="41" t="n">
        <v>15.04</v>
      </c>
      <c r="CB24" s="41" t="n">
        <v>2.5</v>
      </c>
      <c r="CC24" s="41"/>
      <c r="CD24" s="41"/>
      <c r="CE24" s="41" t="n">
        <f aca="false">CA24+CB24-CC24-CD24</f>
        <v>17.54</v>
      </c>
      <c r="CF24" s="57" t="n">
        <f aca="false">M24*8</f>
        <v>12.96</v>
      </c>
      <c r="CG24" s="57" t="n">
        <f aca="false">CE24*CF24</f>
        <v>227.3184</v>
      </c>
      <c r="CH24" s="57" t="n">
        <f aca="false">CG24*0.4</f>
        <v>90.92736</v>
      </c>
      <c r="CI24" s="57" t="n">
        <f aca="false">(CG24-CH24)*$CI$2</f>
        <v>3640.972451904</v>
      </c>
    </row>
    <row r="25" customFormat="false" ht="15.75" hidden="false" customHeight="true" outlineLevel="0" collapsed="false">
      <c r="A25" s="41" t="s">
        <v>256</v>
      </c>
      <c r="B25" s="58" t="s">
        <v>257</v>
      </c>
      <c r="C25" s="43" t="s">
        <v>258</v>
      </c>
      <c r="D25" s="43" t="s">
        <v>259</v>
      </c>
      <c r="E25" s="44" t="n">
        <f aca="false">E24</f>
        <v>45747</v>
      </c>
      <c r="F25" s="43" t="s">
        <v>94</v>
      </c>
      <c r="G25" s="43" t="s">
        <v>159</v>
      </c>
      <c r="H25" s="43" t="s">
        <v>160</v>
      </c>
      <c r="I25" s="43" t="s">
        <v>260</v>
      </c>
      <c r="J25" s="45" t="n">
        <f aca="false">AO25/AQ25</f>
        <v>0.441935198561278</v>
      </c>
      <c r="K25" s="45" t="str">
        <f aca="false">K24</f>
        <v>3/2025</v>
      </c>
      <c r="L25" s="46" t="n">
        <v>208</v>
      </c>
      <c r="M25" s="45" t="n">
        <v>1.62</v>
      </c>
      <c r="N25" s="47" t="n">
        <v>24</v>
      </c>
      <c r="O25" s="45"/>
      <c r="P25" s="48" t="n">
        <f aca="false">L25*M25</f>
        <v>336.96</v>
      </c>
      <c r="Q25" s="49" t="n">
        <f aca="false">P25*$Q$1</f>
        <v>8995.180896</v>
      </c>
      <c r="R25" s="48"/>
      <c r="S25" s="48" t="n">
        <f aca="false">P25*0.3*$S$1*0.5</f>
        <v>1349.2771344</v>
      </c>
      <c r="T25" s="48" t="n">
        <f aca="false">N25*M25*8*0.05</f>
        <v>15.552</v>
      </c>
      <c r="U25" s="48" t="n">
        <f aca="false">O25*M25*0.1</f>
        <v>0</v>
      </c>
      <c r="V25" s="48"/>
      <c r="W25" s="48" t="n">
        <f aca="false">Y25*M25*2</f>
        <v>25.92</v>
      </c>
      <c r="X25" s="48" t="n">
        <f aca="false">Z25*M25*1.5</f>
        <v>0</v>
      </c>
      <c r="Y25" s="48" t="n">
        <v>8</v>
      </c>
      <c r="Z25" s="48"/>
      <c r="AA25" s="48" t="n">
        <f aca="false">CD25</f>
        <v>0</v>
      </c>
      <c r="AB25" s="48" t="n">
        <f aca="false">P25*0.075</f>
        <v>25.272</v>
      </c>
      <c r="AC25" s="48" t="n">
        <f aca="false">M25*8*AA25</f>
        <v>0</v>
      </c>
      <c r="AD25" s="50"/>
      <c r="AE25" s="50" t="n">
        <f aca="false">AO25/AQ25</f>
        <v>0.441935198561278</v>
      </c>
      <c r="AF25" s="51" t="n">
        <f aca="false">P25+R25+T25+U25+V25+W25+X25+AB25+AC25+AD25</f>
        <v>403.704</v>
      </c>
      <c r="AG25" s="48" t="n">
        <f aca="false">AF25*0.5</f>
        <v>201.852</v>
      </c>
      <c r="AH25" s="49" t="n">
        <f aca="false">(AF25-AG25)*$AH$1+S25</f>
        <v>6737.7364596</v>
      </c>
      <c r="AI25" s="52" t="n">
        <f aca="false">IF(Q25&gt;18519.27,0.045*18519.27,Q25*0.045)</f>
        <v>404.78314032</v>
      </c>
      <c r="AJ25" s="48" t="n">
        <f aca="false">(AI25*0.5)/$AQ$1</f>
        <v>7.5816</v>
      </c>
      <c r="AK25" s="48" t="n">
        <f aca="false">(AI25*0.4)</f>
        <v>161.913256128</v>
      </c>
      <c r="AL25" s="53" t="n">
        <v>0</v>
      </c>
      <c r="AM25" s="53" t="n">
        <f aca="false">Q25*0.003</f>
        <v>26.985542688</v>
      </c>
      <c r="AN25" s="53" t="n">
        <f aca="false">IF(AD25&gt;320,320,AD25)</f>
        <v>0</v>
      </c>
      <c r="AO25" s="48" t="n">
        <f aca="false">AG25-AN25-AJ25</f>
        <v>194.2704</v>
      </c>
      <c r="AP25" s="48" t="n">
        <f aca="false">AH25-AK25-AL25-AM25-BB25</f>
        <v>6548.837660784</v>
      </c>
      <c r="AQ25" s="49" t="n">
        <f aca="false">AO25+(AP25/$AQ$1)</f>
        <v>439.59024</v>
      </c>
      <c r="AR25" s="48" t="n">
        <f aca="false">BT25</f>
        <v>74.89756</v>
      </c>
      <c r="AS25" s="48" t="n">
        <v>0</v>
      </c>
      <c r="AT25" s="48" t="n">
        <f aca="false">AR25-AS25</f>
        <v>74.89756</v>
      </c>
      <c r="AU25" s="48" t="n">
        <f aca="false">AT25*AE25</f>
        <v>33.0998680503553</v>
      </c>
      <c r="AV25" s="48" t="n">
        <f aca="false">AU25*0.03</f>
        <v>0.992996041510658</v>
      </c>
      <c r="AW25" s="49" t="n">
        <f aca="false">(AT25-AU25)*$AQ$1</f>
        <v>1115.79356636496</v>
      </c>
      <c r="AX25" s="48" t="n">
        <f aca="false">AW25*0.03</f>
        <v>33.4738069909488</v>
      </c>
      <c r="AY25" s="48" t="n">
        <f aca="false">AO25-AU25-AV25</f>
        <v>160.177535908134</v>
      </c>
      <c r="AZ25" s="48" t="n">
        <f aca="false">AP25-AW25-AX25</f>
        <v>5399.57028742809</v>
      </c>
      <c r="BA25" s="54" t="n">
        <f aca="false">'Nyaradzo Workings'!K25</f>
        <v>316.4547</v>
      </c>
      <c r="BB25" s="48" t="n">
        <v>0</v>
      </c>
      <c r="BC25" s="48"/>
      <c r="BD25" s="48"/>
      <c r="BE25" s="48"/>
      <c r="BF25" s="48"/>
      <c r="BG25" s="48"/>
      <c r="BH25" s="48"/>
      <c r="BI25" s="48"/>
      <c r="BJ25" s="48"/>
      <c r="BK25" s="48"/>
      <c r="BL25" s="48" t="n">
        <f aca="false">AY25-BI25-BG25-BH25-BD25+BJ25</f>
        <v>160.177535908134</v>
      </c>
      <c r="BM25" s="48" t="n">
        <f aca="false">AZ25-BA25-BC25-BE25-BF25+BK25</f>
        <v>5083.11558742809</v>
      </c>
      <c r="BN25" s="48" t="n">
        <f aca="false">IF(AQ25&lt;100,0,0)</f>
        <v>0</v>
      </c>
      <c r="BO25" s="48" t="n">
        <f aca="false">IF(AQ25&lt;100,"",IF(AQ25&lt;=300,AQ25*0.2-20,))</f>
        <v>0</v>
      </c>
      <c r="BP25" s="48" t="n">
        <f aca="false">IF(AQ25&lt;300.01,"",IF(AQ25&lt;=1000,AQ25*0.25-35,))</f>
        <v>74.89756</v>
      </c>
      <c r="BQ25" s="48" t="str">
        <f aca="false">IF(AQ25&lt;1000.01,"",IF(AQ25&lt;=2000,AQ25*0.3-85,))</f>
        <v/>
      </c>
      <c r="BR25" s="48" t="str">
        <f aca="false">IF(AQ25&lt;2000.01,"",IF(AQ25&lt;=3000,AQ25*0.35-185,))</f>
        <v/>
      </c>
      <c r="BS25" s="48" t="str">
        <f aca="false">IF(AQ25&lt;3000.01,"",IF(AQ25&gt;3000,AQ25*0.4-335,))</f>
        <v/>
      </c>
      <c r="BT25" s="55" t="n">
        <f aca="false">SUM(BN25:BS25)</f>
        <v>74.89756</v>
      </c>
      <c r="BU25" s="41" t="s">
        <v>99</v>
      </c>
      <c r="BV25" s="41" t="s">
        <v>100</v>
      </c>
      <c r="BW25" s="41" t="s">
        <v>261</v>
      </c>
      <c r="BX25" s="41" t="s">
        <v>99</v>
      </c>
      <c r="BY25" s="41" t="s">
        <v>100</v>
      </c>
      <c r="BZ25" s="41" t="s">
        <v>262</v>
      </c>
      <c r="CA25" s="41" t="n">
        <v>23.56</v>
      </c>
      <c r="CB25" s="41" t="n">
        <v>2.5</v>
      </c>
      <c r="CC25" s="41"/>
      <c r="CD25" s="41"/>
      <c r="CE25" s="41" t="n">
        <f aca="false">CA25+CB25-CC25-CD25</f>
        <v>26.06</v>
      </c>
      <c r="CF25" s="57" t="n">
        <f aca="false">M25*8</f>
        <v>12.96</v>
      </c>
      <c r="CG25" s="57" t="n">
        <f aca="false">CE25*CF25</f>
        <v>337.7376</v>
      </c>
      <c r="CH25" s="57" t="n">
        <f aca="false">CG25*0.4</f>
        <v>135.09504</v>
      </c>
      <c r="CI25" s="57" t="n">
        <f aca="false">(CG25-CH25)*$CI$2</f>
        <v>5409.563403456</v>
      </c>
    </row>
    <row r="26" customFormat="false" ht="15.75" hidden="false" customHeight="true" outlineLevel="0" collapsed="false">
      <c r="A26" s="41" t="s">
        <v>263</v>
      </c>
      <c r="B26" s="58" t="s">
        <v>264</v>
      </c>
      <c r="C26" s="43" t="s">
        <v>265</v>
      </c>
      <c r="D26" s="43" t="s">
        <v>266</v>
      </c>
      <c r="E26" s="44" t="n">
        <f aca="false">E25</f>
        <v>45747</v>
      </c>
      <c r="F26" s="43" t="s">
        <v>94</v>
      </c>
      <c r="G26" s="43" t="s">
        <v>159</v>
      </c>
      <c r="H26" s="43" t="s">
        <v>160</v>
      </c>
      <c r="I26" s="43" t="s">
        <v>267</v>
      </c>
      <c r="J26" s="45" t="n">
        <f aca="false">AO26/AQ26</f>
        <v>0.459532762127843</v>
      </c>
      <c r="K26" s="45" t="str">
        <f aca="false">K25</f>
        <v>3/2025</v>
      </c>
      <c r="L26" s="46" t="n">
        <v>208</v>
      </c>
      <c r="M26" s="45" t="n">
        <v>1.62</v>
      </c>
      <c r="N26" s="47" t="n">
        <v>25</v>
      </c>
      <c r="O26" s="45" t="n">
        <v>136</v>
      </c>
      <c r="P26" s="48" t="n">
        <f aca="false">L26*M26</f>
        <v>336.96</v>
      </c>
      <c r="Q26" s="49" t="n">
        <f aca="false">P26*$Q$1</f>
        <v>8995.180896</v>
      </c>
      <c r="R26" s="48"/>
      <c r="S26" s="48" t="n">
        <f aca="false">P26*0.3*$S$1*0.5</f>
        <v>1349.2771344</v>
      </c>
      <c r="T26" s="48" t="n">
        <f aca="false">N26*M26*8*0.05</f>
        <v>16.2</v>
      </c>
      <c r="U26" s="48" t="n">
        <f aca="false">O26*M26*0.1</f>
        <v>22.032</v>
      </c>
      <c r="V26" s="48"/>
      <c r="W26" s="48" t="n">
        <f aca="false">Y26*M26*2</f>
        <v>0</v>
      </c>
      <c r="X26" s="48" t="n">
        <f aca="false">Z26*M26*1.5</f>
        <v>0</v>
      </c>
      <c r="Y26" s="48"/>
      <c r="Z26" s="48"/>
      <c r="AA26" s="48" t="n">
        <f aca="false">CD26</f>
        <v>15</v>
      </c>
      <c r="AB26" s="48" t="n">
        <f aca="false">P26*0.075</f>
        <v>25.272</v>
      </c>
      <c r="AC26" s="48" t="n">
        <f aca="false">M26*8*AA26</f>
        <v>194.4</v>
      </c>
      <c r="AD26" s="50"/>
      <c r="AE26" s="50" t="n">
        <f aca="false">AO26/AQ26</f>
        <v>0.459532762127843</v>
      </c>
      <c r="AF26" s="51" t="n">
        <f aca="false">P26+R26+T26+U26+V26+W26+X26+AB26+AC26+AD26</f>
        <v>594.864</v>
      </c>
      <c r="AG26" s="48" t="n">
        <f aca="false">AF26*0.5</f>
        <v>297.432</v>
      </c>
      <c r="AH26" s="49" t="n">
        <f aca="false">(AF26-AG26)*$AH$1+S26</f>
        <v>9289.2541176</v>
      </c>
      <c r="AI26" s="52" t="n">
        <f aca="false">IF(Q26&gt;18519.27,0.045*18519.27,Q26*0.045)</f>
        <v>404.78314032</v>
      </c>
      <c r="AJ26" s="48" t="n">
        <f aca="false">(AI26*0.5)/$AQ$1</f>
        <v>7.5816</v>
      </c>
      <c r="AK26" s="48" t="n">
        <f aca="false">(AI26*0.4)</f>
        <v>161.913256128</v>
      </c>
      <c r="AL26" s="53" t="n">
        <v>0</v>
      </c>
      <c r="AM26" s="53" t="n">
        <f aca="false">Q26*0.003</f>
        <v>26.985542688</v>
      </c>
      <c r="AN26" s="53" t="n">
        <f aca="false">IF(AD26&gt;320,320,AD26)</f>
        <v>0</v>
      </c>
      <c r="AO26" s="48" t="n">
        <f aca="false">AG26-AN26-AJ26</f>
        <v>289.8504</v>
      </c>
      <c r="AP26" s="48" t="n">
        <f aca="false">AH26-AK26-AL26-AM26-BB26</f>
        <v>9100.355318784</v>
      </c>
      <c r="AQ26" s="49" t="n">
        <f aca="false">AO26+(AP26/$AQ$1)</f>
        <v>630.75024</v>
      </c>
      <c r="AR26" s="48" t="n">
        <f aca="false">BT26</f>
        <v>122.68756</v>
      </c>
      <c r="AS26" s="48" t="n">
        <v>0</v>
      </c>
      <c r="AT26" s="48" t="n">
        <f aca="false">AR26-AS26</f>
        <v>122.68756</v>
      </c>
      <c r="AU26" s="48" t="n">
        <f aca="false">AT26*AE26</f>
        <v>56.3789533255255</v>
      </c>
      <c r="AV26" s="48" t="n">
        <f aca="false">AU26*0.03</f>
        <v>1.69136859976576</v>
      </c>
      <c r="AW26" s="49" t="n">
        <f aca="false">(AT26-AU26)*$AQ$1</f>
        <v>1770.11488603577</v>
      </c>
      <c r="AX26" s="48" t="n">
        <f aca="false">AW26*0.03</f>
        <v>53.103446581073</v>
      </c>
      <c r="AY26" s="48" t="n">
        <f aca="false">AO26-AU26-AV26</f>
        <v>231.780078074709</v>
      </c>
      <c r="AZ26" s="48" t="n">
        <f aca="false">AP26-AW26-AX26</f>
        <v>7277.13698616716</v>
      </c>
      <c r="BA26" s="54" t="n">
        <f aca="false">'Nyaradzo Workings'!K26</f>
        <v>316.4547</v>
      </c>
      <c r="BB26" s="48" t="n">
        <v>0</v>
      </c>
      <c r="BC26" s="48"/>
      <c r="BD26" s="48"/>
      <c r="BE26" s="48"/>
      <c r="BF26" s="48"/>
      <c r="BG26" s="48"/>
      <c r="BH26" s="48"/>
      <c r="BI26" s="48"/>
      <c r="BJ26" s="48"/>
      <c r="BK26" s="48"/>
      <c r="BL26" s="48" t="n">
        <f aca="false">AY26-BI26-BG26-BH26-BD26+BJ26</f>
        <v>231.780078074709</v>
      </c>
      <c r="BM26" s="48" t="n">
        <f aca="false">AZ26-BA26-BC26-BE26-BF26+BK26</f>
        <v>6960.68228616716</v>
      </c>
      <c r="BN26" s="48" t="n">
        <f aca="false">IF(AQ26&lt;100,0,0)</f>
        <v>0</v>
      </c>
      <c r="BO26" s="48" t="n">
        <f aca="false">IF(AQ26&lt;100,"",IF(AQ26&lt;=300,AQ26*0.2-20,))</f>
        <v>0</v>
      </c>
      <c r="BP26" s="48" t="n">
        <f aca="false">IF(AQ26&lt;300.01,"",IF(AQ26&lt;=1000,AQ26*0.25-35,))</f>
        <v>122.68756</v>
      </c>
      <c r="BQ26" s="48" t="str">
        <f aca="false">IF(AQ26&lt;1000.01,"",IF(AQ26&lt;=2000,AQ26*0.3-85,))</f>
        <v/>
      </c>
      <c r="BR26" s="48" t="str">
        <f aca="false">IF(AQ26&lt;2000.01,"",IF(AQ26&lt;=3000,AQ26*0.35-185,))</f>
        <v/>
      </c>
      <c r="BS26" s="48" t="str">
        <f aca="false">IF(AQ26&lt;3000.01,"",IF(AQ26&gt;3000,AQ26*0.4-335,))</f>
        <v/>
      </c>
      <c r="BT26" s="55" t="n">
        <f aca="false">SUM(BN26:BS26)</f>
        <v>122.68756</v>
      </c>
      <c r="BU26" s="41" t="s">
        <v>99</v>
      </c>
      <c r="BV26" s="41" t="s">
        <v>100</v>
      </c>
      <c r="BW26" s="41" t="s">
        <v>268</v>
      </c>
      <c r="BX26" s="41" t="s">
        <v>99</v>
      </c>
      <c r="BY26" s="41" t="s">
        <v>100</v>
      </c>
      <c r="BZ26" s="41" t="s">
        <v>269</v>
      </c>
      <c r="CA26" s="41" t="n">
        <v>17.11</v>
      </c>
      <c r="CB26" s="41" t="n">
        <v>2.5</v>
      </c>
      <c r="CC26" s="41"/>
      <c r="CD26" s="41" t="n">
        <v>15</v>
      </c>
      <c r="CE26" s="41" t="n">
        <f aca="false">CA26+CB26-CC26-CD26</f>
        <v>4.61</v>
      </c>
      <c r="CF26" s="57" t="n">
        <f aca="false">M26*8</f>
        <v>12.96</v>
      </c>
      <c r="CG26" s="57" t="n">
        <f aca="false">CE26*CF26</f>
        <v>59.7456</v>
      </c>
      <c r="CH26" s="57" t="n">
        <f aca="false">CG26*0.4</f>
        <v>23.89824</v>
      </c>
      <c r="CI26" s="57" t="n">
        <f aca="false">(CG26-CH26)*$CI$2</f>
        <v>956.948859936</v>
      </c>
    </row>
    <row r="27" customFormat="false" ht="15.75" hidden="false" customHeight="true" outlineLevel="0" collapsed="false">
      <c r="A27" s="41" t="s">
        <v>270</v>
      </c>
      <c r="B27" s="58" t="s">
        <v>271</v>
      </c>
      <c r="C27" s="43" t="s">
        <v>272</v>
      </c>
      <c r="D27" s="43" t="s">
        <v>273</v>
      </c>
      <c r="E27" s="44" t="n">
        <f aca="false">E26</f>
        <v>45747</v>
      </c>
      <c r="F27" s="43" t="s">
        <v>94</v>
      </c>
      <c r="G27" s="43" t="s">
        <v>274</v>
      </c>
      <c r="H27" s="43" t="s">
        <v>275</v>
      </c>
      <c r="I27" s="43" t="s">
        <v>276</v>
      </c>
      <c r="J27" s="45" t="n">
        <f aca="false">AO27/AQ27</f>
        <v>0.438296939127166</v>
      </c>
      <c r="K27" s="45" t="str">
        <f aca="false">K26</f>
        <v>3/2025</v>
      </c>
      <c r="L27" s="46" t="n">
        <v>208</v>
      </c>
      <c r="M27" s="45" t="n">
        <v>1.76</v>
      </c>
      <c r="N27" s="47" t="n">
        <v>24</v>
      </c>
      <c r="O27" s="45"/>
      <c r="P27" s="48" t="n">
        <f aca="false">L27*M27</f>
        <v>366.08</v>
      </c>
      <c r="Q27" s="49" t="n">
        <f aca="false">P27*$Q$1</f>
        <v>9772.542208</v>
      </c>
      <c r="R27" s="48"/>
      <c r="S27" s="48" t="n">
        <f aca="false">P27*0.3*$S$1*0.5</f>
        <v>1465.8813312</v>
      </c>
      <c r="T27" s="48" t="n">
        <f aca="false">N27*M27*8*0.05</f>
        <v>16.896</v>
      </c>
      <c r="U27" s="48" t="n">
        <f aca="false">O27*M27*0.1</f>
        <v>0</v>
      </c>
      <c r="V27" s="48"/>
      <c r="W27" s="48" t="n">
        <f aca="false">Y27*M27*2</f>
        <v>0</v>
      </c>
      <c r="X27" s="48" t="n">
        <f aca="false">Z27*M27*1.5</f>
        <v>0</v>
      </c>
      <c r="Y27" s="48"/>
      <c r="Z27" s="48"/>
      <c r="AA27" s="48" t="n">
        <f aca="false">CD27</f>
        <v>0</v>
      </c>
      <c r="AB27" s="48" t="n">
        <f aca="false">P27*0.075</f>
        <v>27.456</v>
      </c>
      <c r="AC27" s="48" t="n">
        <f aca="false">M27*8*AA27</f>
        <v>0</v>
      </c>
      <c r="AD27" s="50"/>
      <c r="AE27" s="50" t="n">
        <f aca="false">AO27/AQ27</f>
        <v>0.438296939127166</v>
      </c>
      <c r="AF27" s="51" t="n">
        <f aca="false">P27+R27+T27+U27+V27+W27+X27+AB27+AC27+AD27</f>
        <v>410.432</v>
      </c>
      <c r="AG27" s="48" t="n">
        <f aca="false">AF27*0.5</f>
        <v>205.216</v>
      </c>
      <c r="AH27" s="49" t="n">
        <f aca="false">(AF27-AG27)*$AH$1+S27</f>
        <v>6944.1429728</v>
      </c>
      <c r="AI27" s="52" t="n">
        <f aca="false">IF(Q27&gt;18519.27,0.045*18519.27,Q27*0.045)</f>
        <v>439.76439936</v>
      </c>
      <c r="AJ27" s="48" t="n">
        <f aca="false">(AI27*0.5)/$AQ$1</f>
        <v>8.2368</v>
      </c>
      <c r="AK27" s="48" t="n">
        <f aca="false">(AI27*0.4)</f>
        <v>175.905759744</v>
      </c>
      <c r="AL27" s="53" t="n">
        <v>0</v>
      </c>
      <c r="AM27" s="53" t="n">
        <f aca="false">Q27*0.003</f>
        <v>29.317626624</v>
      </c>
      <c r="AN27" s="53" t="n">
        <f aca="false">IF(AD27&gt;320,320,AD27)</f>
        <v>0</v>
      </c>
      <c r="AO27" s="48" t="n">
        <f aca="false">AG27-AN27-AJ27</f>
        <v>196.9792</v>
      </c>
      <c r="AP27" s="48" t="n">
        <f aca="false">AH27-AK27-AL27-AM27-BB27</f>
        <v>6738.919586432</v>
      </c>
      <c r="AQ27" s="49" t="n">
        <f aca="false">AO27+(AP27/$AQ$1)</f>
        <v>449.41952</v>
      </c>
      <c r="AR27" s="48" t="n">
        <f aca="false">BT27</f>
        <v>77.35488</v>
      </c>
      <c r="AS27" s="48" t="n">
        <v>0</v>
      </c>
      <c r="AT27" s="48" t="n">
        <f aca="false">AR27-AS27</f>
        <v>77.35488</v>
      </c>
      <c r="AU27" s="48" t="n">
        <f aca="false">AT27*AE27</f>
        <v>33.9044071305492</v>
      </c>
      <c r="AV27" s="48" t="n">
        <f aca="false">AU27*0.03</f>
        <v>1.01713221391648</v>
      </c>
      <c r="AW27" s="49" t="n">
        <f aca="false">(AT27-AU27)*$AQ$1</f>
        <v>1159.91471829728</v>
      </c>
      <c r="AX27" s="48" t="n">
        <f aca="false">AW27*0.03</f>
        <v>34.7974415489183</v>
      </c>
      <c r="AY27" s="48" t="n">
        <f aca="false">AO27-AU27-AV27</f>
        <v>162.057660655534</v>
      </c>
      <c r="AZ27" s="48" t="n">
        <f aca="false">AP27-AW27-AX27</f>
        <v>5544.20742658581</v>
      </c>
      <c r="BA27" s="54" t="n">
        <v>0</v>
      </c>
      <c r="BB27" s="48" t="n">
        <v>0</v>
      </c>
      <c r="BC27" s="48"/>
      <c r="BD27" s="48"/>
      <c r="BE27" s="48"/>
      <c r="BF27" s="48"/>
      <c r="BG27" s="48"/>
      <c r="BH27" s="48"/>
      <c r="BI27" s="48" t="n">
        <v>12.5</v>
      </c>
      <c r="BJ27" s="48"/>
      <c r="BK27" s="48"/>
      <c r="BL27" s="48" t="n">
        <f aca="false">AY27-BI27-BG27-BH27-BD27+BJ27</f>
        <v>149.557660655534</v>
      </c>
      <c r="BM27" s="48" t="n">
        <f aca="false">AZ27-BA27-BC27-BE27-BF27+BK27</f>
        <v>5544.20742658581</v>
      </c>
      <c r="BN27" s="48" t="n">
        <f aca="false">IF(AQ27&lt;100,0,0)</f>
        <v>0</v>
      </c>
      <c r="BO27" s="48" t="n">
        <f aca="false">IF(AQ27&lt;100,"",IF(AQ27&lt;=300,AQ27*0.2-20,))</f>
        <v>0</v>
      </c>
      <c r="BP27" s="48" t="n">
        <f aca="false">IF(AQ27&lt;300.01,"",IF(AQ27&lt;=1000,AQ27*0.25-35,))</f>
        <v>77.35488</v>
      </c>
      <c r="BQ27" s="48" t="str">
        <f aca="false">IF(AQ27&lt;1000.01,"",IF(AQ27&lt;=2000,AQ27*0.3-85,))</f>
        <v/>
      </c>
      <c r="BR27" s="48" t="str">
        <f aca="false">IF(AQ27&lt;2000.01,"",IF(AQ27&lt;=3000,AQ27*0.35-185,))</f>
        <v/>
      </c>
      <c r="BS27" s="48" t="str">
        <f aca="false">IF(AQ27&lt;3000.01,"",IF(AQ27&gt;3000,AQ27*0.4-335,))</f>
        <v/>
      </c>
      <c r="BT27" s="55" t="n">
        <f aca="false">SUM(BN27:BS27)</f>
        <v>77.35488</v>
      </c>
      <c r="BU27" s="41" t="s">
        <v>99</v>
      </c>
      <c r="BV27" s="41" t="s">
        <v>100</v>
      </c>
      <c r="BW27" s="41" t="s">
        <v>277</v>
      </c>
      <c r="BX27" s="41" t="s">
        <v>99</v>
      </c>
      <c r="BY27" s="41" t="s">
        <v>100</v>
      </c>
      <c r="BZ27" s="41" t="s">
        <v>278</v>
      </c>
      <c r="CA27" s="41" t="n">
        <v>0.5</v>
      </c>
      <c r="CB27" s="41" t="n">
        <v>2.5</v>
      </c>
      <c r="CC27" s="41"/>
      <c r="CD27" s="41"/>
      <c r="CE27" s="41" t="n">
        <f aca="false">CA27+CB27-CC27-CD27</f>
        <v>3</v>
      </c>
      <c r="CF27" s="57" t="n">
        <f aca="false">M27*8</f>
        <v>14.08</v>
      </c>
      <c r="CG27" s="57" t="n">
        <f aca="false">CE27*CF27</f>
        <v>42.24</v>
      </c>
      <c r="CH27" s="57" t="n">
        <f aca="false">CG27*0.4</f>
        <v>16.896</v>
      </c>
      <c r="CI27" s="57" t="n">
        <f aca="false">(CG27-CH27)*$CI$2</f>
        <v>676.5606144</v>
      </c>
    </row>
    <row r="28" customFormat="false" ht="15.75" hidden="false" customHeight="true" outlineLevel="0" collapsed="false">
      <c r="A28" s="41" t="s">
        <v>279</v>
      </c>
      <c r="B28" s="58" t="s">
        <v>280</v>
      </c>
      <c r="C28" s="43" t="s">
        <v>281</v>
      </c>
      <c r="D28" s="43" t="s">
        <v>282</v>
      </c>
      <c r="E28" s="44" t="n">
        <f aca="false">E27</f>
        <v>45747</v>
      </c>
      <c r="F28" s="43" t="s">
        <v>94</v>
      </c>
      <c r="G28" s="43" t="s">
        <v>159</v>
      </c>
      <c r="H28" s="43" t="s">
        <v>160</v>
      </c>
      <c r="I28" s="43" t="s">
        <v>283</v>
      </c>
      <c r="J28" s="45" t="n">
        <f aca="false">AO28/AQ28</f>
        <v>0.454899356522934</v>
      </c>
      <c r="K28" s="45" t="str">
        <f aca="false">K27</f>
        <v>3/2025</v>
      </c>
      <c r="L28" s="46" t="n">
        <v>208</v>
      </c>
      <c r="M28" s="45" t="n">
        <v>1.62</v>
      </c>
      <c r="N28" s="47" t="n">
        <v>25</v>
      </c>
      <c r="O28" s="45" t="n">
        <v>136</v>
      </c>
      <c r="P28" s="48" t="n">
        <f aca="false">L28*M28</f>
        <v>336.96</v>
      </c>
      <c r="Q28" s="49" t="n">
        <f aca="false">P28*$Q$1</f>
        <v>8995.180896</v>
      </c>
      <c r="R28" s="48"/>
      <c r="S28" s="48" t="n">
        <f aca="false">P28*0.3*$S$1*0.5</f>
        <v>1349.2771344</v>
      </c>
      <c r="T28" s="48" t="n">
        <f aca="false">N28*M28*8*0.05</f>
        <v>16.2</v>
      </c>
      <c r="U28" s="48" t="n">
        <f aca="false">O28*M28*0.1</f>
        <v>22.032</v>
      </c>
      <c r="V28" s="48"/>
      <c r="W28" s="48" t="n">
        <f aca="false">Y28*M28*2</f>
        <v>0</v>
      </c>
      <c r="X28" s="48" t="n">
        <f aca="false">Z28*M28*1.5</f>
        <v>0</v>
      </c>
      <c r="Y28" s="48"/>
      <c r="Z28" s="48"/>
      <c r="AA28" s="48" t="n">
        <f aca="false">CD28</f>
        <v>10</v>
      </c>
      <c r="AB28" s="48" t="n">
        <f aca="false">P28*0.075</f>
        <v>25.272</v>
      </c>
      <c r="AC28" s="48" t="n">
        <f aca="false">M28*8*AA28</f>
        <v>129.6</v>
      </c>
      <c r="AD28" s="50"/>
      <c r="AE28" s="50" t="n">
        <f aca="false">AO28/AQ28</f>
        <v>0.454899356522934</v>
      </c>
      <c r="AF28" s="51" t="n">
        <f aca="false">P28+R28+T28+U28+V28+W28+X28+AB28+AC28+AD28</f>
        <v>530.064</v>
      </c>
      <c r="AG28" s="48" t="n">
        <f aca="false">AF28*0.5</f>
        <v>265.032</v>
      </c>
      <c r="AH28" s="49" t="n">
        <f aca="false">(AF28-AG28)*$AH$1+S28</f>
        <v>8424.3328776</v>
      </c>
      <c r="AI28" s="52" t="n">
        <f aca="false">IF(Q28&gt;18519.27,0.045*18519.27,Q28*0.045)</f>
        <v>404.78314032</v>
      </c>
      <c r="AJ28" s="48" t="n">
        <f aca="false">(AI28*0.5)/$AQ$1</f>
        <v>7.5816</v>
      </c>
      <c r="AK28" s="48" t="n">
        <f aca="false">(AI28*0.4)</f>
        <v>161.913256128</v>
      </c>
      <c r="AL28" s="53" t="n">
        <v>0</v>
      </c>
      <c r="AM28" s="53" t="n">
        <f aca="false">Q28*0.003</f>
        <v>26.985542688</v>
      </c>
      <c r="AN28" s="53" t="n">
        <f aca="false">IF(AD28&gt;320,320,AD28)</f>
        <v>0</v>
      </c>
      <c r="AO28" s="48" t="n">
        <f aca="false">AG28-AN28-AJ28</f>
        <v>257.4504</v>
      </c>
      <c r="AP28" s="48" t="n">
        <f aca="false">AH28-AK28-AL28-AM28-BB28</f>
        <v>8235.434078784</v>
      </c>
      <c r="AQ28" s="49" t="n">
        <f aca="false">AO28+(AP28/$AQ$1)</f>
        <v>565.95024</v>
      </c>
      <c r="AR28" s="48" t="n">
        <f aca="false">BT28</f>
        <v>106.48756</v>
      </c>
      <c r="AS28" s="48" t="n">
        <v>0</v>
      </c>
      <c r="AT28" s="48" t="n">
        <f aca="false">AR28-AS28</f>
        <v>106.48756</v>
      </c>
      <c r="AU28" s="48" t="n">
        <f aca="false">AT28*AE28</f>
        <v>48.4411225216973</v>
      </c>
      <c r="AV28" s="48" t="n">
        <f aca="false">AU28*0.03</f>
        <v>1.45323367565092</v>
      </c>
      <c r="AW28" s="49" t="n">
        <f aca="false">(AT28-AU28)*$AQ$1</f>
        <v>1549.55545312704</v>
      </c>
      <c r="AX28" s="48" t="n">
        <f aca="false">AW28*0.03</f>
        <v>46.4866635938112</v>
      </c>
      <c r="AY28" s="48" t="n">
        <f aca="false">AO28-AU28-AV28</f>
        <v>207.556043802652</v>
      </c>
      <c r="AZ28" s="48" t="n">
        <f aca="false">AP28-AW28-AX28</f>
        <v>6639.39196206315</v>
      </c>
      <c r="BA28" s="54" t="n">
        <f aca="false">'Nyaradzo Workings'!K27</f>
        <v>316.4547</v>
      </c>
      <c r="BB28" s="48" t="n">
        <v>0</v>
      </c>
      <c r="BC28" s="48"/>
      <c r="BD28" s="48"/>
      <c r="BE28" s="48"/>
      <c r="BF28" s="48"/>
      <c r="BG28" s="48"/>
      <c r="BH28" s="48"/>
      <c r="BI28" s="48"/>
      <c r="BJ28" s="48"/>
      <c r="BK28" s="48"/>
      <c r="BL28" s="48" t="n">
        <f aca="false">AY28-BI28-BG28-BH28-BD28+BJ28</f>
        <v>207.556043802652</v>
      </c>
      <c r="BM28" s="48" t="n">
        <f aca="false">AZ28-BA28-BC28-BE28-BF28+BK28</f>
        <v>6322.93726206315</v>
      </c>
      <c r="BN28" s="48" t="n">
        <f aca="false">IF(AQ28&lt;100,0,0)</f>
        <v>0</v>
      </c>
      <c r="BO28" s="48" t="n">
        <f aca="false">IF(AQ28&lt;100,"",IF(AQ28&lt;=300,AQ28*0.2-20,))</f>
        <v>0</v>
      </c>
      <c r="BP28" s="48" t="n">
        <f aca="false">IF(AQ28&lt;300.01,"",IF(AQ28&lt;=1000,AQ28*0.25-35,))</f>
        <v>106.48756</v>
      </c>
      <c r="BQ28" s="48" t="str">
        <f aca="false">IF(AQ28&lt;1000.01,"",IF(AQ28&lt;=2000,AQ28*0.3-85,))</f>
        <v/>
      </c>
      <c r="BR28" s="48" t="str">
        <f aca="false">IF(AQ28&lt;2000.01,"",IF(AQ28&lt;=3000,AQ28*0.35-185,))</f>
        <v/>
      </c>
      <c r="BS28" s="48" t="str">
        <f aca="false">IF(AQ28&lt;3000.01,"",IF(AQ28&gt;3000,AQ28*0.4-335,))</f>
        <v/>
      </c>
      <c r="BT28" s="55" t="n">
        <f aca="false">SUM(BN28:BS28)</f>
        <v>106.48756</v>
      </c>
      <c r="BU28" s="41" t="s">
        <v>99</v>
      </c>
      <c r="BV28" s="41" t="s">
        <v>100</v>
      </c>
      <c r="BW28" s="41" t="s">
        <v>284</v>
      </c>
      <c r="BX28" s="41" t="s">
        <v>99</v>
      </c>
      <c r="BY28" s="41" t="s">
        <v>100</v>
      </c>
      <c r="BZ28" s="41" t="s">
        <v>285</v>
      </c>
      <c r="CA28" s="41" t="n">
        <v>11.84</v>
      </c>
      <c r="CB28" s="41" t="n">
        <v>2.5</v>
      </c>
      <c r="CC28" s="41"/>
      <c r="CD28" s="41" t="n">
        <v>10</v>
      </c>
      <c r="CE28" s="41" t="n">
        <f aca="false">CA28+CB28-CC28-CD28</f>
        <v>4.34</v>
      </c>
      <c r="CF28" s="57" t="n">
        <f aca="false">M28*8</f>
        <v>12.96</v>
      </c>
      <c r="CG28" s="57" t="n">
        <f aca="false">CE28*CF28</f>
        <v>56.2464</v>
      </c>
      <c r="CH28" s="57" t="n">
        <f aca="false">CG28*0.4</f>
        <v>22.49856</v>
      </c>
      <c r="CI28" s="57" t="n">
        <f aca="false">(CG28-CH28)*$CI$2</f>
        <v>900.901963584</v>
      </c>
    </row>
    <row r="29" customFormat="false" ht="15.75" hidden="false" customHeight="true" outlineLevel="0" collapsed="false">
      <c r="A29" s="41" t="s">
        <v>286</v>
      </c>
      <c r="B29" s="58" t="s">
        <v>287</v>
      </c>
      <c r="C29" s="43" t="s">
        <v>288</v>
      </c>
      <c r="D29" s="43" t="s">
        <v>289</v>
      </c>
      <c r="E29" s="44" t="n">
        <f aca="false">E28</f>
        <v>45747</v>
      </c>
      <c r="F29" s="43" t="s">
        <v>94</v>
      </c>
      <c r="G29" s="43" t="s">
        <v>159</v>
      </c>
      <c r="H29" s="43" t="s">
        <v>160</v>
      </c>
      <c r="I29" s="43" t="s">
        <v>290</v>
      </c>
      <c r="J29" s="45" t="n">
        <f aca="false">AO29/AQ29</f>
        <v>0.437315000477418</v>
      </c>
      <c r="K29" s="45" t="str">
        <f aca="false">K28</f>
        <v>3/2025</v>
      </c>
      <c r="L29" s="46" t="n">
        <v>208</v>
      </c>
      <c r="M29" s="45" t="n">
        <v>1.62</v>
      </c>
      <c r="N29" s="47" t="n">
        <v>14</v>
      </c>
      <c r="O29" s="45"/>
      <c r="P29" s="48" t="n">
        <f aca="false">L29*M29</f>
        <v>336.96</v>
      </c>
      <c r="Q29" s="49" t="n">
        <f aca="false">P29*$Q$1</f>
        <v>8995.180896</v>
      </c>
      <c r="R29" s="48"/>
      <c r="S29" s="48" t="n">
        <f aca="false">P29*0.3*$S$1*0.5</f>
        <v>1349.2771344</v>
      </c>
      <c r="T29" s="48" t="n">
        <f aca="false">N29*M29*8*0.05</f>
        <v>9.072</v>
      </c>
      <c r="U29" s="48" t="n">
        <f aca="false">O29*M29*0.1</f>
        <v>0</v>
      </c>
      <c r="V29" s="48"/>
      <c r="W29" s="48" t="n">
        <f aca="false">Y29*M29*2</f>
        <v>0</v>
      </c>
      <c r="X29" s="48" t="n">
        <f aca="false">Z29*M29*1.5</f>
        <v>0</v>
      </c>
      <c r="Y29" s="48"/>
      <c r="Z29" s="48"/>
      <c r="AA29" s="48" t="n">
        <f aca="false">CD29</f>
        <v>0</v>
      </c>
      <c r="AB29" s="48" t="n">
        <f aca="false">P29*0.075</f>
        <v>25.272</v>
      </c>
      <c r="AC29" s="48" t="n">
        <f aca="false">M29*8*AA29</f>
        <v>0</v>
      </c>
      <c r="AD29" s="50"/>
      <c r="AE29" s="50" t="n">
        <f aca="false">AO29/AQ29</f>
        <v>0.437315000477418</v>
      </c>
      <c r="AF29" s="51" t="n">
        <f aca="false">P29+R29+T29+U29+V29+W29+X29+AB29+AC29+AD29</f>
        <v>371.304</v>
      </c>
      <c r="AG29" s="48" t="n">
        <f aca="false">AF29*0.5</f>
        <v>185.652</v>
      </c>
      <c r="AH29" s="49" t="n">
        <f aca="false">(AF29-AG29)*$AH$1+S29</f>
        <v>6305.2758396</v>
      </c>
      <c r="AI29" s="52" t="n">
        <f aca="false">IF(Q29&gt;18519.27,0.045*18519.27,Q29*0.045)</f>
        <v>404.78314032</v>
      </c>
      <c r="AJ29" s="48" t="n">
        <f aca="false">(AI29*0.5)/$AQ$1</f>
        <v>7.5816</v>
      </c>
      <c r="AK29" s="48" t="n">
        <f aca="false">(AI29*0.4)</f>
        <v>161.913256128</v>
      </c>
      <c r="AL29" s="53" t="n">
        <v>0</v>
      </c>
      <c r="AM29" s="53" t="n">
        <f aca="false">Q29*0.003</f>
        <v>26.985542688</v>
      </c>
      <c r="AN29" s="53" t="n">
        <f aca="false">IF(AD29&gt;320,320,AD29)</f>
        <v>0</v>
      </c>
      <c r="AO29" s="48" t="n">
        <f aca="false">AG29-AN29-AJ29</f>
        <v>178.0704</v>
      </c>
      <c r="AP29" s="48" t="n">
        <f aca="false">AH29-AK29-AL29-AM29-BB29</f>
        <v>6116.377040784</v>
      </c>
      <c r="AQ29" s="49" t="n">
        <f aca="false">AO29+(AP29/$AQ$1)</f>
        <v>407.19024</v>
      </c>
      <c r="AR29" s="48" t="n">
        <f aca="false">BT29</f>
        <v>66.79756</v>
      </c>
      <c r="AS29" s="48" t="n">
        <v>0</v>
      </c>
      <c r="AT29" s="48" t="n">
        <f aca="false">AR29-AS29</f>
        <v>66.79756</v>
      </c>
      <c r="AU29" s="48" t="n">
        <f aca="false">AT29*AE29</f>
        <v>29.2115749832904</v>
      </c>
      <c r="AV29" s="48" t="n">
        <f aca="false">AU29*0.03</f>
        <v>0.876347249498711</v>
      </c>
      <c r="AW29" s="49" t="n">
        <f aca="false">(AT29-AU29)*$AQ$1</f>
        <v>1003.36162861957</v>
      </c>
      <c r="AX29" s="48" t="n">
        <f aca="false">AW29*0.03</f>
        <v>30.100848858587</v>
      </c>
      <c r="AY29" s="48" t="n">
        <f aca="false">AO29-AU29-AV29</f>
        <v>147.982477767211</v>
      </c>
      <c r="AZ29" s="48" t="n">
        <f aca="false">AP29-AW29-AX29</f>
        <v>5082.91456330585</v>
      </c>
      <c r="BA29" s="53" t="n">
        <v>0</v>
      </c>
      <c r="BB29" s="48" t="n">
        <v>0</v>
      </c>
      <c r="BC29" s="48" t="n">
        <f aca="false">20000/2499.9263</f>
        <v>8.00023584695277</v>
      </c>
      <c r="BD29" s="48"/>
      <c r="BE29" s="48"/>
      <c r="BF29" s="48"/>
      <c r="BG29" s="48"/>
      <c r="BH29" s="48"/>
      <c r="BI29" s="48" t="n">
        <v>12.5</v>
      </c>
      <c r="BJ29" s="48"/>
      <c r="BK29" s="48"/>
      <c r="BL29" s="48" t="n">
        <f aca="false">AY29-BI29-BG29-BH29-BD29+BJ29</f>
        <v>135.482477767211</v>
      </c>
      <c r="BM29" s="48" t="n">
        <f aca="false">AZ29-BA29-BC29-BE29-BF29+BK29</f>
        <v>5074.9143274589</v>
      </c>
      <c r="BN29" s="48" t="n">
        <f aca="false">IF(AQ29&lt;100,0,0)</f>
        <v>0</v>
      </c>
      <c r="BO29" s="48" t="n">
        <f aca="false">IF(AQ29&lt;100,"",IF(AQ29&lt;=300,AQ29*0.2-20,))</f>
        <v>0</v>
      </c>
      <c r="BP29" s="48" t="n">
        <f aca="false">IF(AQ29&lt;300.01,"",IF(AQ29&lt;=1000,AQ29*0.25-35,))</f>
        <v>66.79756</v>
      </c>
      <c r="BQ29" s="48" t="str">
        <f aca="false">IF(AQ29&lt;1000.01,"",IF(AQ29&lt;=2000,AQ29*0.3-85,))</f>
        <v/>
      </c>
      <c r="BR29" s="48" t="str">
        <f aca="false">IF(AQ29&lt;2000.01,"",IF(AQ29&lt;=3000,AQ29*0.35-185,))</f>
        <v/>
      </c>
      <c r="BS29" s="48" t="str">
        <f aca="false">IF(AQ29&lt;3000.01,"",IF(AQ29&gt;3000,AQ29*0.4-335,))</f>
        <v/>
      </c>
      <c r="BT29" s="55" t="n">
        <f aca="false">SUM(BN29:BS29)</f>
        <v>66.79756</v>
      </c>
      <c r="BU29" s="41" t="s">
        <v>99</v>
      </c>
      <c r="BV29" s="41" t="s">
        <v>100</v>
      </c>
      <c r="BW29" s="41" t="s">
        <v>291</v>
      </c>
      <c r="BX29" s="41" t="s">
        <v>99</v>
      </c>
      <c r="BY29" s="41" t="s">
        <v>100</v>
      </c>
      <c r="BZ29" s="41" t="s">
        <v>292</v>
      </c>
      <c r="CA29" s="41" t="n">
        <v>13.1</v>
      </c>
      <c r="CB29" s="41" t="n">
        <v>2.5</v>
      </c>
      <c r="CC29" s="41"/>
      <c r="CD29" s="41"/>
      <c r="CE29" s="41" t="n">
        <f aca="false">CA29+CB29-CC29-CD29</f>
        <v>15.6</v>
      </c>
      <c r="CF29" s="57" t="n">
        <f aca="false">M29*8</f>
        <v>12.96</v>
      </c>
      <c r="CG29" s="57" t="n">
        <f aca="false">CE29*CF29</f>
        <v>202.176</v>
      </c>
      <c r="CH29" s="57" t="n">
        <f aca="false">CG29*0.4</f>
        <v>80.8704</v>
      </c>
      <c r="CI29" s="57" t="n">
        <f aca="false">(CG29-CH29)*$CI$2</f>
        <v>3238.26512256</v>
      </c>
    </row>
    <row r="30" customFormat="false" ht="15.75" hidden="false" customHeight="true" outlineLevel="0" collapsed="false">
      <c r="A30" s="41" t="s">
        <v>293</v>
      </c>
      <c r="B30" s="61" t="s">
        <v>294</v>
      </c>
      <c r="C30" s="62" t="s">
        <v>114</v>
      </c>
      <c r="D30" s="62" t="s">
        <v>295</v>
      </c>
      <c r="E30" s="44" t="n">
        <f aca="false">E29</f>
        <v>45747</v>
      </c>
      <c r="F30" s="62" t="s">
        <v>94</v>
      </c>
      <c r="G30" s="62" t="s">
        <v>296</v>
      </c>
      <c r="H30" s="62" t="s">
        <v>275</v>
      </c>
      <c r="I30" s="62" t="s">
        <v>297</v>
      </c>
      <c r="J30" s="63" t="n">
        <f aca="false">AO30/AQ30</f>
        <v>0.441265179668581</v>
      </c>
      <c r="K30" s="45" t="str">
        <f aca="false">K29</f>
        <v>3/2025</v>
      </c>
      <c r="L30" s="64" t="n">
        <v>208</v>
      </c>
      <c r="M30" s="63" t="n">
        <v>1.76</v>
      </c>
      <c r="N30" s="47" t="n">
        <v>23</v>
      </c>
      <c r="O30" s="45" t="n">
        <v>116</v>
      </c>
      <c r="P30" s="48" t="n">
        <f aca="false">L30*M30</f>
        <v>366.08</v>
      </c>
      <c r="Q30" s="49" t="n">
        <f aca="false">P30*$Q$1</f>
        <v>9772.542208</v>
      </c>
      <c r="R30" s="48" t="n">
        <f aca="false">3</f>
        <v>3</v>
      </c>
      <c r="S30" s="48" t="n">
        <f aca="false">P30*0.3*$S$1*0.5</f>
        <v>1465.8813312</v>
      </c>
      <c r="T30" s="48" t="n">
        <f aca="false">N30*M30*8*0.05</f>
        <v>16.192</v>
      </c>
      <c r="U30" s="48" t="n">
        <f aca="false">O30*M30*0.1</f>
        <v>20.416</v>
      </c>
      <c r="V30" s="48"/>
      <c r="W30" s="48" t="n">
        <f aca="false">Y30*M30*2</f>
        <v>0</v>
      </c>
      <c r="X30" s="48" t="n">
        <f aca="false">Z30*M30*1.5</f>
        <v>0</v>
      </c>
      <c r="Y30" s="48"/>
      <c r="Z30" s="48"/>
      <c r="AA30" s="48" t="n">
        <f aca="false">CD30</f>
        <v>0</v>
      </c>
      <c r="AB30" s="48" t="n">
        <f aca="false">P30*0.075</f>
        <v>27.456</v>
      </c>
      <c r="AC30" s="48" t="n">
        <f aca="false">M30*8*AA30</f>
        <v>0</v>
      </c>
      <c r="AD30" s="50"/>
      <c r="AE30" s="50" t="n">
        <f aca="false">AO30/AQ30</f>
        <v>0.441265179668581</v>
      </c>
      <c r="AF30" s="51" t="n">
        <f aca="false">P30+R30+T30+U30+V30+W30+X30+AB30+AC30+AD30</f>
        <v>433.144</v>
      </c>
      <c r="AG30" s="48" t="n">
        <f aca="false">AF30*0.5</f>
        <v>216.572</v>
      </c>
      <c r="AH30" s="49" t="n">
        <f aca="false">(AF30-AG30)*$AH$1+S30</f>
        <v>7247.2925284</v>
      </c>
      <c r="AI30" s="52" t="n">
        <f aca="false">IF(Q30&gt;18519.27,0.045*18519.27,Q30*0.045)</f>
        <v>439.76439936</v>
      </c>
      <c r="AJ30" s="48" t="n">
        <f aca="false">(AI30*0.5)/$AQ$1</f>
        <v>8.2368</v>
      </c>
      <c r="AK30" s="48" t="n">
        <f aca="false">(AI30*0.4)</f>
        <v>175.905759744</v>
      </c>
      <c r="AL30" s="53" t="n">
        <v>0</v>
      </c>
      <c r="AM30" s="53" t="n">
        <f aca="false">Q30*0.003</f>
        <v>29.317626624</v>
      </c>
      <c r="AN30" s="53" t="n">
        <f aca="false">IF(AD30&gt;320,320,AD30)</f>
        <v>0</v>
      </c>
      <c r="AO30" s="48" t="n">
        <f aca="false">AG30-AN30-AJ30</f>
        <v>208.3352</v>
      </c>
      <c r="AP30" s="48" t="n">
        <f aca="false">AH30-AK30-AL30-AM30-BB30</f>
        <v>7042.069142032</v>
      </c>
      <c r="AQ30" s="49" t="n">
        <f aca="false">AO30+(AP30/$AQ$1)</f>
        <v>472.13152</v>
      </c>
      <c r="AR30" s="48" t="n">
        <f aca="false">BT30</f>
        <v>83.03288</v>
      </c>
      <c r="AS30" s="48" t="n">
        <v>0</v>
      </c>
      <c r="AT30" s="48" t="n">
        <f aca="false">AR30-AS30</f>
        <v>83.03288</v>
      </c>
      <c r="AU30" s="48" t="n">
        <f aca="false">AT30*AE30</f>
        <v>36.6395187115997</v>
      </c>
      <c r="AV30" s="48" t="n">
        <f aca="false">AU30*0.03</f>
        <v>1.09918556134799</v>
      </c>
      <c r="AW30" s="49" t="n">
        <f aca="false">(AT30-AU30)*$AQ$1</f>
        <v>1238.47541892998</v>
      </c>
      <c r="AX30" s="48" t="n">
        <f aca="false">AW30*0.03</f>
        <v>37.1542625678993</v>
      </c>
      <c r="AY30" s="48" t="n">
        <f aca="false">AO30-AU30-AV30</f>
        <v>170.596495727052</v>
      </c>
      <c r="AZ30" s="48" t="n">
        <f aca="false">AP30-AW30-AX30</f>
        <v>5766.43946053413</v>
      </c>
      <c r="BA30" s="53" t="n">
        <v>0</v>
      </c>
      <c r="BB30" s="48" t="n">
        <v>0</v>
      </c>
      <c r="BC30" s="48"/>
      <c r="BD30" s="48" t="n">
        <f aca="false">70+50</f>
        <v>120</v>
      </c>
      <c r="BE30" s="48"/>
      <c r="BF30" s="48"/>
      <c r="BG30" s="48"/>
      <c r="BH30" s="48"/>
      <c r="BI30" s="48"/>
      <c r="BJ30" s="48"/>
      <c r="BK30" s="48"/>
      <c r="BL30" s="48" t="n">
        <f aca="false">AY30-BI30-BG30-BH30-BD30+BJ30</f>
        <v>50.5964957270523</v>
      </c>
      <c r="BM30" s="48" t="n">
        <f aca="false">AZ30-BA30-BC30-BE30-BF30+BK30</f>
        <v>5766.43946053413</v>
      </c>
      <c r="BN30" s="48" t="n">
        <f aca="false">IF(AQ30&lt;100,0,0)</f>
        <v>0</v>
      </c>
      <c r="BO30" s="48" t="n">
        <f aca="false">IF(AQ30&lt;100,"",IF(AQ30&lt;=300,AQ30*0.2-20,))</f>
        <v>0</v>
      </c>
      <c r="BP30" s="48" t="n">
        <f aca="false">IF(AQ30&lt;300.01,"",IF(AQ30&lt;=1000,AQ30*0.25-35,))</f>
        <v>83.03288</v>
      </c>
      <c r="BQ30" s="48" t="str">
        <f aca="false">IF(AQ30&lt;1000.01,"",IF(AQ30&lt;=2000,AQ30*0.3-85,))</f>
        <v/>
      </c>
      <c r="BR30" s="48" t="str">
        <f aca="false">IF(AQ30&lt;2000.01,"",IF(AQ30&lt;=3000,AQ30*0.35-185,))</f>
        <v/>
      </c>
      <c r="BS30" s="48" t="str">
        <f aca="false">IF(AQ30&lt;3000.01,"",IF(AQ30&gt;3000,AQ30*0.4-335,))</f>
        <v/>
      </c>
      <c r="BT30" s="55" t="n">
        <f aca="false">SUM(BN30:BS30)</f>
        <v>83.03288</v>
      </c>
      <c r="BU30" s="41" t="s">
        <v>298</v>
      </c>
      <c r="BV30" s="41" t="s">
        <v>100</v>
      </c>
      <c r="BW30" s="65" t="n">
        <v>67790572388</v>
      </c>
      <c r="BX30" s="41" t="s">
        <v>99</v>
      </c>
      <c r="BY30" s="41" t="s">
        <v>100</v>
      </c>
      <c r="BZ30" s="41"/>
      <c r="CA30" s="41" t="n">
        <v>5.41</v>
      </c>
      <c r="CB30" s="41" t="n">
        <v>2.5</v>
      </c>
      <c r="CC30" s="41" t="n">
        <v>2</v>
      </c>
      <c r="CD30" s="41"/>
      <c r="CE30" s="41" t="n">
        <f aca="false">CA30+CB30-CC30-CD30</f>
        <v>5.91</v>
      </c>
      <c r="CF30" s="57" t="n">
        <f aca="false">M30*8</f>
        <v>14.08</v>
      </c>
      <c r="CG30" s="57" t="n">
        <f aca="false">CE30*CF30</f>
        <v>83.2128</v>
      </c>
      <c r="CH30" s="57" t="n">
        <f aca="false">CG30*0.4</f>
        <v>33.28512</v>
      </c>
      <c r="CI30" s="57" t="n">
        <f aca="false">(CG30-CH30)*$CI$2</f>
        <v>1332.824410368</v>
      </c>
    </row>
    <row r="31" customFormat="false" ht="15.75" hidden="false" customHeight="true" outlineLevel="0" collapsed="false">
      <c r="A31" s="41" t="s">
        <v>299</v>
      </c>
      <c r="B31" s="58" t="s">
        <v>300</v>
      </c>
      <c r="C31" s="43" t="s">
        <v>301</v>
      </c>
      <c r="D31" s="43" t="s">
        <v>302</v>
      </c>
      <c r="E31" s="44" t="n">
        <f aca="false">E30</f>
        <v>45747</v>
      </c>
      <c r="F31" s="43" t="s">
        <v>94</v>
      </c>
      <c r="G31" s="43" t="s">
        <v>159</v>
      </c>
      <c r="H31" s="43" t="s">
        <v>160</v>
      </c>
      <c r="I31" s="43" t="s">
        <v>303</v>
      </c>
      <c r="J31" s="45" t="n">
        <f aca="false">AO31/AQ31</f>
        <v>0.458068087461943</v>
      </c>
      <c r="K31" s="45" t="str">
        <f aca="false">K30</f>
        <v>3/2025</v>
      </c>
      <c r="L31" s="46" t="n">
        <v>208</v>
      </c>
      <c r="M31" s="45" t="n">
        <v>1.62</v>
      </c>
      <c r="N31" s="47" t="n">
        <v>25</v>
      </c>
      <c r="O31" s="45"/>
      <c r="P31" s="48" t="n">
        <f aca="false">L31*M31</f>
        <v>336.96</v>
      </c>
      <c r="Q31" s="49" t="n">
        <f aca="false">P31*$Q$1</f>
        <v>8995.180896</v>
      </c>
      <c r="R31" s="48"/>
      <c r="S31" s="48" t="n">
        <f aca="false">P31*0.3*$S$1*0.5</f>
        <v>1349.2771344</v>
      </c>
      <c r="T31" s="48" t="n">
        <f aca="false">N31*M31*8*0.05</f>
        <v>16.2</v>
      </c>
      <c r="U31" s="48" t="n">
        <f aca="false">O31*M31*0.1</f>
        <v>0</v>
      </c>
      <c r="V31" s="48"/>
      <c r="W31" s="48" t="n">
        <f aca="false">Y31*M31*2</f>
        <v>0</v>
      </c>
      <c r="X31" s="48" t="n">
        <f aca="false">Z31*M31*1.5</f>
        <v>0</v>
      </c>
      <c r="Y31" s="48"/>
      <c r="Z31" s="48"/>
      <c r="AA31" s="48" t="n">
        <f aca="false">CD31</f>
        <v>15</v>
      </c>
      <c r="AB31" s="48" t="n">
        <f aca="false">P31*0.075</f>
        <v>25.272</v>
      </c>
      <c r="AC31" s="48" t="n">
        <f aca="false">M31*8*AA31</f>
        <v>194.4</v>
      </c>
      <c r="AD31" s="50"/>
      <c r="AE31" s="50" t="n">
        <f aca="false">AO31/AQ31</f>
        <v>0.458068087461943</v>
      </c>
      <c r="AF31" s="51" t="n">
        <f aca="false">P31+R31+T31+U31+V31+W31+X31+AB31+AC31+AD31</f>
        <v>572.832</v>
      </c>
      <c r="AG31" s="48" t="n">
        <f aca="false">AF31*0.5</f>
        <v>286.416</v>
      </c>
      <c r="AH31" s="49" t="n">
        <f aca="false">(AF31-AG31)*$AH$1+S31</f>
        <v>8995.180896</v>
      </c>
      <c r="AI31" s="52" t="n">
        <f aca="false">IF(Q31&gt;18519.27,0.045*18519.27,Q31*0.045)</f>
        <v>404.78314032</v>
      </c>
      <c r="AJ31" s="48" t="n">
        <f aca="false">(AI31*0.5)/$AQ$1</f>
        <v>7.5816</v>
      </c>
      <c r="AK31" s="48" t="n">
        <f aca="false">(AI31*0.4)</f>
        <v>161.913256128</v>
      </c>
      <c r="AL31" s="53" t="n">
        <v>0</v>
      </c>
      <c r="AM31" s="53" t="n">
        <f aca="false">Q31*0.003</f>
        <v>26.985542688</v>
      </c>
      <c r="AN31" s="53" t="n">
        <f aca="false">IF(AD31&gt;320,320,AD31)</f>
        <v>0</v>
      </c>
      <c r="AO31" s="48" t="n">
        <f aca="false">AG31-AN31-AJ31</f>
        <v>278.8344</v>
      </c>
      <c r="AP31" s="48" t="n">
        <f aca="false">AH31-AK31-AL31-AM31-BB31</f>
        <v>8806.282097184</v>
      </c>
      <c r="AQ31" s="49" t="n">
        <f aca="false">AO31+(AP31/$AQ$1)</f>
        <v>608.71824</v>
      </c>
      <c r="AR31" s="48" t="n">
        <f aca="false">BT31</f>
        <v>117.17956</v>
      </c>
      <c r="AS31" s="48" t="n">
        <v>0</v>
      </c>
      <c r="AT31" s="48" t="n">
        <f aca="false">AR31-AS31</f>
        <v>117.17956</v>
      </c>
      <c r="AU31" s="48" t="n">
        <f aca="false">AT31*AE31</f>
        <v>53.676216938832</v>
      </c>
      <c r="AV31" s="48" t="n">
        <f aca="false">AU31*0.03</f>
        <v>1.61028650816496</v>
      </c>
      <c r="AW31" s="49" t="n">
        <f aca="false">(AT31-AU31)*$AQ$1</f>
        <v>1695.22809335219</v>
      </c>
      <c r="AX31" s="48" t="n">
        <f aca="false">AW31*0.03</f>
        <v>50.8568428005656</v>
      </c>
      <c r="AY31" s="48" t="n">
        <f aca="false">AO31-AU31-AV31</f>
        <v>223.547896553003</v>
      </c>
      <c r="AZ31" s="48" t="n">
        <f aca="false">AP31-AW31-AX31</f>
        <v>7060.19716103125</v>
      </c>
      <c r="BA31" s="53" t="n">
        <f aca="false">'Nyaradzo Workings'!K29</f>
        <v>170.1547</v>
      </c>
      <c r="BB31" s="48" t="n">
        <v>0</v>
      </c>
      <c r="BC31" s="48"/>
      <c r="BD31" s="48"/>
      <c r="BE31" s="48"/>
      <c r="BF31" s="48"/>
      <c r="BG31" s="48"/>
      <c r="BH31" s="48"/>
      <c r="BI31" s="48" t="n">
        <v>12.5</v>
      </c>
      <c r="BJ31" s="48"/>
      <c r="BK31" s="48"/>
      <c r="BL31" s="48" t="n">
        <f aca="false">AY31-BI31-BG31-BH31-BD31+BJ31</f>
        <v>211.047896553003</v>
      </c>
      <c r="BM31" s="48" t="n">
        <f aca="false">AZ31-BA31-BC31-BE31-BF31+BK31</f>
        <v>6890.04246103125</v>
      </c>
      <c r="BN31" s="48" t="n">
        <f aca="false">IF(AQ31&lt;100,0,0)</f>
        <v>0</v>
      </c>
      <c r="BO31" s="48" t="n">
        <f aca="false">IF(AQ31&lt;100,"",IF(AQ31&lt;=300,AQ31*0.2-20,))</f>
        <v>0</v>
      </c>
      <c r="BP31" s="48" t="n">
        <f aca="false">IF(AQ31&lt;300.01,"",IF(AQ31&lt;=1000,AQ31*0.25-35,))</f>
        <v>117.17956</v>
      </c>
      <c r="BQ31" s="48" t="str">
        <f aca="false">IF(AQ31&lt;1000.01,"",IF(AQ31&lt;=2000,AQ31*0.3-85,))</f>
        <v/>
      </c>
      <c r="BR31" s="48" t="str">
        <f aca="false">IF(AQ31&lt;2000.01,"",IF(AQ31&lt;=3000,AQ31*0.35-185,))</f>
        <v/>
      </c>
      <c r="BS31" s="48" t="str">
        <f aca="false">IF(AQ31&lt;3000.01,"",IF(AQ31&gt;3000,AQ31*0.4-335,))</f>
        <v/>
      </c>
      <c r="BT31" s="55" t="n">
        <f aca="false">SUM(BN31:BS31)</f>
        <v>117.17956</v>
      </c>
      <c r="BU31" s="41" t="s">
        <v>99</v>
      </c>
      <c r="BV31" s="41" t="s">
        <v>100</v>
      </c>
      <c r="BW31" s="41" t="s">
        <v>304</v>
      </c>
      <c r="BX31" s="41" t="s">
        <v>99</v>
      </c>
      <c r="BY31" s="41" t="s">
        <v>100</v>
      </c>
      <c r="BZ31" s="41" t="s">
        <v>305</v>
      </c>
      <c r="CA31" s="41" t="n">
        <v>30.07</v>
      </c>
      <c r="CB31" s="41" t="n">
        <v>2.5</v>
      </c>
      <c r="CC31" s="41"/>
      <c r="CD31" s="41" t="n">
        <v>15</v>
      </c>
      <c r="CE31" s="41" t="n">
        <f aca="false">CA31+CB31-CC31-CD31</f>
        <v>17.57</v>
      </c>
      <c r="CF31" s="57" t="n">
        <f aca="false">M31*8</f>
        <v>12.96</v>
      </c>
      <c r="CG31" s="57" t="n">
        <f aca="false">CE31*CF31</f>
        <v>227.7072</v>
      </c>
      <c r="CH31" s="57" t="n">
        <f aca="false">CG31*0.4</f>
        <v>91.08288</v>
      </c>
      <c r="CI31" s="57" t="n">
        <f aca="false">(CG31-CH31)*$CI$2</f>
        <v>3647.199884832</v>
      </c>
    </row>
    <row r="32" customFormat="false" ht="15.75" hidden="false" customHeight="true" outlineLevel="0" collapsed="false">
      <c r="A32" s="41" t="s">
        <v>306</v>
      </c>
      <c r="B32" s="58" t="s">
        <v>307</v>
      </c>
      <c r="C32" s="43" t="s">
        <v>308</v>
      </c>
      <c r="D32" s="43" t="s">
        <v>309</v>
      </c>
      <c r="E32" s="44" t="n">
        <f aca="false">E31</f>
        <v>45747</v>
      </c>
      <c r="F32" s="43" t="s">
        <v>94</v>
      </c>
      <c r="G32" s="43" t="s">
        <v>159</v>
      </c>
      <c r="H32" s="43" t="s">
        <v>160</v>
      </c>
      <c r="I32" s="43" t="s">
        <v>310</v>
      </c>
      <c r="J32" s="45" t="n">
        <f aca="false">AO32/AQ32</f>
        <v>0.438393443648535</v>
      </c>
      <c r="K32" s="45" t="str">
        <f aca="false">K31</f>
        <v>3/2025</v>
      </c>
      <c r="L32" s="46" t="n">
        <v>208</v>
      </c>
      <c r="M32" s="45" t="n">
        <v>1.62</v>
      </c>
      <c r="N32" s="47" t="n">
        <v>25</v>
      </c>
      <c r="O32" s="45"/>
      <c r="P32" s="48" t="n">
        <f aca="false">L32*M32</f>
        <v>336.96</v>
      </c>
      <c r="Q32" s="49" t="n">
        <f aca="false">P32*$Q$1</f>
        <v>8995.180896</v>
      </c>
      <c r="R32" s="48"/>
      <c r="S32" s="48" t="n">
        <f aca="false">P32*0.3*$S$1*0.5</f>
        <v>1349.2771344</v>
      </c>
      <c r="T32" s="48" t="n">
        <f aca="false">N32*M32*8*0.05</f>
        <v>16.2</v>
      </c>
      <c r="U32" s="48" t="n">
        <f aca="false">O32*M32*0.1</f>
        <v>0</v>
      </c>
      <c r="V32" s="48"/>
      <c r="W32" s="48" t="n">
        <f aca="false">Y32*M32*2</f>
        <v>0</v>
      </c>
      <c r="X32" s="48" t="n">
        <f aca="false">Z32*M32*1.5</f>
        <v>0</v>
      </c>
      <c r="Y32" s="48"/>
      <c r="Z32" s="48"/>
      <c r="AA32" s="48" t="n">
        <f aca="false">CD32</f>
        <v>0</v>
      </c>
      <c r="AB32" s="48" t="n">
        <f aca="false">P32*0.075</f>
        <v>25.272</v>
      </c>
      <c r="AC32" s="48" t="n">
        <f aca="false">M32*8*AA32</f>
        <v>0</v>
      </c>
      <c r="AD32" s="50"/>
      <c r="AE32" s="50" t="n">
        <f aca="false">AO32/AQ32</f>
        <v>0.438393443648535</v>
      </c>
      <c r="AF32" s="51" t="n">
        <f aca="false">P32+R32+T32+U32+V32+W32+X32+AB32+AC32+AD32</f>
        <v>378.432</v>
      </c>
      <c r="AG32" s="48" t="n">
        <f aca="false">AF32*0.5</f>
        <v>189.216</v>
      </c>
      <c r="AH32" s="49" t="n">
        <f aca="false">(AF32-AG32)*$AH$1+S32</f>
        <v>6400.417176</v>
      </c>
      <c r="AI32" s="52" t="n">
        <f aca="false">IF(Q32&gt;18519.27,0.045*18519.27,Q32*0.045)</f>
        <v>404.78314032</v>
      </c>
      <c r="AJ32" s="48" t="n">
        <f aca="false">(AI32*0.5)/$AQ$1</f>
        <v>7.5816</v>
      </c>
      <c r="AK32" s="48" t="n">
        <f aca="false">(AI32*0.4)</f>
        <v>161.913256128</v>
      </c>
      <c r="AL32" s="53" t="n">
        <v>0</v>
      </c>
      <c r="AM32" s="53" t="n">
        <f aca="false">Q32*0.003</f>
        <v>26.985542688</v>
      </c>
      <c r="AN32" s="53" t="n">
        <v>0</v>
      </c>
      <c r="AO32" s="48" t="n">
        <f aca="false">AG32-AN32-AJ32</f>
        <v>181.6344</v>
      </c>
      <c r="AP32" s="48" t="n">
        <f aca="false">AH32-AK32-AL32-AM32-BB32</f>
        <v>6211.518377184</v>
      </c>
      <c r="AQ32" s="49" t="n">
        <f aca="false">AO32+(AP32/$AQ$1)</f>
        <v>414.31824</v>
      </c>
      <c r="AR32" s="48" t="n">
        <f aca="false">BT32</f>
        <v>68.57956</v>
      </c>
      <c r="AS32" s="48" t="n">
        <v>0</v>
      </c>
      <c r="AT32" s="48" t="n">
        <f aca="false">AR32-AS32</f>
        <v>68.57956</v>
      </c>
      <c r="AU32" s="48" t="n">
        <f aca="false">AT32*AE32</f>
        <v>30.0648294723013</v>
      </c>
      <c r="AV32" s="48" t="n">
        <f aca="false">AU32*0.03</f>
        <v>0.901944884169039</v>
      </c>
      <c r="AW32" s="49" t="n">
        <f aca="false">(AT32-AU32)*$AQ$1</f>
        <v>1028.15458290997</v>
      </c>
      <c r="AX32" s="48" t="n">
        <f aca="false">AW32*0.03</f>
        <v>30.8446374872991</v>
      </c>
      <c r="AY32" s="48" t="n">
        <f aca="false">AO32-AU32-AV32</f>
        <v>150.66762564353</v>
      </c>
      <c r="AZ32" s="48" t="n">
        <f aca="false">AP32-AW32-AX32</f>
        <v>5152.51915678673</v>
      </c>
      <c r="BA32" s="53" t="n">
        <v>0</v>
      </c>
      <c r="BB32" s="48" t="n">
        <v>0</v>
      </c>
      <c r="BC32" s="48"/>
      <c r="BD32" s="48"/>
      <c r="BE32" s="48"/>
      <c r="BF32" s="48"/>
      <c r="BG32" s="48"/>
      <c r="BH32" s="48"/>
      <c r="BI32" s="48"/>
      <c r="BJ32" s="48"/>
      <c r="BK32" s="48"/>
      <c r="BL32" s="48" t="n">
        <f aca="false">AY32-BI32-BG32-BH32-BD32+BJ32</f>
        <v>150.66762564353</v>
      </c>
      <c r="BM32" s="48" t="n">
        <f aca="false">AZ32-BA32-BC32-BE32-BF32+BK32</f>
        <v>5152.51915678673</v>
      </c>
      <c r="BN32" s="48" t="n">
        <f aca="false">IF(AQ32&lt;100,0,0)</f>
        <v>0</v>
      </c>
      <c r="BO32" s="48" t="n">
        <f aca="false">IF(AQ32&lt;100,"",IF(AQ32&lt;=300,AQ32*0.2-20,))</f>
        <v>0</v>
      </c>
      <c r="BP32" s="48" t="n">
        <f aca="false">IF(AQ32&lt;300.01,"",IF(AQ32&lt;=1000,AQ32*0.25-35,))</f>
        <v>68.57956</v>
      </c>
      <c r="BQ32" s="48" t="str">
        <f aca="false">IF(AQ32&lt;1000.01,"",IF(AQ32&lt;=2000,AQ32*0.3-85,))</f>
        <v/>
      </c>
      <c r="BR32" s="48" t="str">
        <f aca="false">IF(AQ32&lt;2000.01,"",IF(AQ32&lt;=3000,AQ32*0.35-185,))</f>
        <v/>
      </c>
      <c r="BS32" s="48" t="str">
        <f aca="false">IF(AQ32&lt;3000.01,"",IF(AQ32&gt;3000,AQ32*0.4-335,))</f>
        <v/>
      </c>
      <c r="BT32" s="55" t="n">
        <f aca="false">SUM(BN32:BS32)</f>
        <v>68.57956</v>
      </c>
      <c r="BU32" s="41" t="s">
        <v>99</v>
      </c>
      <c r="BV32" s="41" t="s">
        <v>100</v>
      </c>
      <c r="BW32" s="41" t="s">
        <v>311</v>
      </c>
      <c r="BX32" s="41" t="s">
        <v>99</v>
      </c>
      <c r="BY32" s="41" t="s">
        <v>100</v>
      </c>
      <c r="BZ32" s="41" t="s">
        <v>312</v>
      </c>
      <c r="CA32" s="41" t="n">
        <v>28.7</v>
      </c>
      <c r="CB32" s="41" t="n">
        <v>2.5</v>
      </c>
      <c r="CC32" s="41"/>
      <c r="CD32" s="41"/>
      <c r="CE32" s="41" t="n">
        <f aca="false">CA32+CB32-CC32-CD32</f>
        <v>31.2</v>
      </c>
      <c r="CF32" s="57" t="n">
        <f aca="false">M32*8</f>
        <v>12.96</v>
      </c>
      <c r="CG32" s="57" t="n">
        <f aca="false">CE32*CF32</f>
        <v>404.352</v>
      </c>
      <c r="CH32" s="57" t="n">
        <f aca="false">CG32*0.4</f>
        <v>161.7408</v>
      </c>
      <c r="CI32" s="57" t="n">
        <f aca="false">(CG32-CH32)*$CI$2</f>
        <v>6476.53024512</v>
      </c>
    </row>
    <row r="33" customFormat="false" ht="15.75" hidden="false" customHeight="true" outlineLevel="0" collapsed="false">
      <c r="A33" s="41" t="s">
        <v>313</v>
      </c>
      <c r="B33" s="42" t="s">
        <v>314</v>
      </c>
      <c r="C33" s="43" t="s">
        <v>315</v>
      </c>
      <c r="D33" s="43" t="s">
        <v>316</v>
      </c>
      <c r="E33" s="44" t="n">
        <f aca="false">E32</f>
        <v>45747</v>
      </c>
      <c r="F33" s="43" t="s">
        <v>94</v>
      </c>
      <c r="G33" s="43" t="s">
        <v>159</v>
      </c>
      <c r="H33" s="43" t="s">
        <v>160</v>
      </c>
      <c r="I33" s="43" t="s">
        <v>317</v>
      </c>
      <c r="J33" s="47" t="n">
        <f aca="false">AO33/AQ33</f>
        <v>0.453016531882917</v>
      </c>
      <c r="K33" s="45" t="str">
        <f aca="false">K32</f>
        <v>3/2025</v>
      </c>
      <c r="L33" s="66" t="n">
        <v>208</v>
      </c>
      <c r="M33" s="47" t="n">
        <v>1.62</v>
      </c>
      <c r="N33" s="47" t="n">
        <v>24</v>
      </c>
      <c r="O33" s="47"/>
      <c r="P33" s="48" t="n">
        <f aca="false">L33*M33</f>
        <v>336.96</v>
      </c>
      <c r="Q33" s="48" t="n">
        <f aca="false">P33*$Q$1</f>
        <v>8995.180896</v>
      </c>
      <c r="R33" s="48"/>
      <c r="S33" s="48" t="n">
        <f aca="false">P33*0.3*$S$1*0.5</f>
        <v>1349.2771344</v>
      </c>
      <c r="T33" s="48" t="n">
        <f aca="false">N33*M33*8*0.05</f>
        <v>15.552</v>
      </c>
      <c r="U33" s="48" t="n">
        <f aca="false">O33*M33*0.1</f>
        <v>0</v>
      </c>
      <c r="V33" s="48"/>
      <c r="W33" s="48" t="n">
        <f aca="false">Y33*M33*2</f>
        <v>0</v>
      </c>
      <c r="X33" s="48" t="n">
        <f aca="false">Z33*M33*1.5</f>
        <v>0</v>
      </c>
      <c r="Y33" s="48"/>
      <c r="Z33" s="48"/>
      <c r="AA33" s="48" t="n">
        <f aca="false">CD33</f>
        <v>10</v>
      </c>
      <c r="AB33" s="48" t="n">
        <f aca="false">P33*0.075</f>
        <v>25.272</v>
      </c>
      <c r="AC33" s="48" t="n">
        <f aca="false">M33*8*AA33</f>
        <v>129.6</v>
      </c>
      <c r="AD33" s="48"/>
      <c r="AE33" s="48" t="n">
        <f aca="false">AO33/AQ33</f>
        <v>0.453016531882917</v>
      </c>
      <c r="AF33" s="48" t="n">
        <f aca="false">P33+R33+T33+U33+V33+W33+X33+AB33+AC33+AD33</f>
        <v>507.384</v>
      </c>
      <c r="AG33" s="48" t="n">
        <f aca="false">AF33*0.5</f>
        <v>253.692</v>
      </c>
      <c r="AH33" s="49" t="n">
        <f aca="false">(AF33-AG33)*$AH$1+S33</f>
        <v>8121.6104436</v>
      </c>
      <c r="AI33" s="52" t="n">
        <f aca="false">IF(Q33&gt;18519.27,0.045*18519.27,Q33*0.045)</f>
        <v>404.78314032</v>
      </c>
      <c r="AJ33" s="48" t="n">
        <f aca="false">(AI33*0.5)/$AQ$1</f>
        <v>7.5816</v>
      </c>
      <c r="AK33" s="48" t="n">
        <f aca="false">(AI33*0.4)</f>
        <v>161.913256128</v>
      </c>
      <c r="AL33" s="48" t="n">
        <v>0</v>
      </c>
      <c r="AM33" s="48" t="n">
        <f aca="false">Q33*0.003</f>
        <v>26.985542688</v>
      </c>
      <c r="AN33" s="48" t="n">
        <v>0</v>
      </c>
      <c r="AO33" s="48" t="n">
        <f aca="false">AG33-AN33-AJ33</f>
        <v>246.1104</v>
      </c>
      <c r="AP33" s="48" t="n">
        <f aca="false">AH33-AK33-AL33-AM33-BB33</f>
        <v>7932.711644784</v>
      </c>
      <c r="AQ33" s="48" t="n">
        <f aca="false">AO33+(AP33/$AQ$1)</f>
        <v>543.27024</v>
      </c>
      <c r="AR33" s="48" t="n">
        <f aca="false">BT33</f>
        <v>100.81756</v>
      </c>
      <c r="AS33" s="48" t="n">
        <v>0</v>
      </c>
      <c r="AT33" s="48" t="n">
        <f aca="false">AR33-AS33</f>
        <v>100.81756</v>
      </c>
      <c r="AU33" s="48" t="n">
        <f aca="false">AT33*AE33</f>
        <v>45.6720213840979</v>
      </c>
      <c r="AV33" s="48" t="n">
        <f aca="false">AU33*0.03</f>
        <v>1.37016064152294</v>
      </c>
      <c r="AW33" s="48" t="n">
        <f aca="false">(AT33-AU33)*$AQ$1</f>
        <v>1472.11566790537</v>
      </c>
      <c r="AX33" s="48" t="n">
        <f aca="false">AW33*0.03</f>
        <v>44.1634700371611</v>
      </c>
      <c r="AY33" s="48" t="n">
        <f aca="false">AO33-AU33-AV33</f>
        <v>199.068217974379</v>
      </c>
      <c r="AZ33" s="48" t="n">
        <f aca="false">AP33-AW33-AX33</f>
        <v>6416.43250684147</v>
      </c>
      <c r="BA33" s="48" t="n">
        <v>0</v>
      </c>
      <c r="BB33" s="48" t="n">
        <v>0</v>
      </c>
      <c r="BC33" s="48"/>
      <c r="BD33" s="48"/>
      <c r="BE33" s="48"/>
      <c r="BF33" s="48"/>
      <c r="BG33" s="48"/>
      <c r="BH33" s="48"/>
      <c r="BI33" s="48" t="n">
        <v>12.5</v>
      </c>
      <c r="BJ33" s="48"/>
      <c r="BK33" s="48"/>
      <c r="BL33" s="48" t="n">
        <f aca="false">AY33-BI33-BG33-BH33-BD33+BJ33</f>
        <v>186.568217974379</v>
      </c>
      <c r="BM33" s="48" t="n">
        <f aca="false">AZ33-BA33-BC33-BE33-BF33+BK33</f>
        <v>6416.43250684147</v>
      </c>
      <c r="BN33" s="48" t="n">
        <f aca="false">IF(AQ33&lt;100,0,0)</f>
        <v>0</v>
      </c>
      <c r="BO33" s="48" t="n">
        <f aca="false">IF(AQ33&lt;100,"",IF(AQ33&lt;=300,AQ33*0.2-20,))</f>
        <v>0</v>
      </c>
      <c r="BP33" s="48" t="n">
        <f aca="false">IF(AQ33&lt;300.01,"",IF(AQ33&lt;=1000,AQ33*0.25-35,))</f>
        <v>100.81756</v>
      </c>
      <c r="BQ33" s="48" t="str">
        <f aca="false">IF(AQ33&lt;1000.01,"",IF(AQ33&lt;=2000,AQ33*0.3-85,))</f>
        <v/>
      </c>
      <c r="BR33" s="48" t="str">
        <f aca="false">IF(AQ33&lt;2000.01,"",IF(AQ33&lt;=3000,AQ33*0.35-185,))</f>
        <v/>
      </c>
      <c r="BS33" s="48" t="str">
        <f aca="false">IF(AQ33&lt;3000.01,"",IF(AQ33&gt;3000,AQ33*0.4-335,))</f>
        <v/>
      </c>
      <c r="BT33" s="57" t="n">
        <f aca="false">SUM(BN33:BS33)</f>
        <v>100.81756</v>
      </c>
      <c r="BU33" s="41" t="s">
        <v>99</v>
      </c>
      <c r="BV33" s="41" t="s">
        <v>100</v>
      </c>
      <c r="BW33" s="41" t="s">
        <v>318</v>
      </c>
      <c r="BX33" s="41" t="s">
        <v>99</v>
      </c>
      <c r="BY33" s="41" t="s">
        <v>100</v>
      </c>
      <c r="BZ33" s="41" t="s">
        <v>319</v>
      </c>
      <c r="CA33" s="41" t="n">
        <v>32.38</v>
      </c>
      <c r="CB33" s="41" t="n">
        <v>2.5</v>
      </c>
      <c r="CC33" s="41"/>
      <c r="CD33" s="41" t="n">
        <v>10</v>
      </c>
      <c r="CE33" s="41" t="n">
        <f aca="false">CA33+CB33-CC33-CD33</f>
        <v>24.88</v>
      </c>
      <c r="CF33" s="57" t="n">
        <f aca="false">M33*8</f>
        <v>12.96</v>
      </c>
      <c r="CG33" s="57" t="n">
        <f aca="false">CE33*CF33</f>
        <v>322.4448</v>
      </c>
      <c r="CH33" s="57" t="n">
        <f aca="false">CG33*0.4</f>
        <v>128.97792</v>
      </c>
      <c r="CI33" s="57" t="n">
        <f aca="false">(CG33-CH33)*$CI$2</f>
        <v>5164.617708288</v>
      </c>
    </row>
    <row r="34" customFormat="false" ht="15.75" hidden="false" customHeight="true" outlineLevel="0" collapsed="false">
      <c r="A34" s="67" t="s">
        <v>320</v>
      </c>
      <c r="B34" s="68" t="s">
        <v>321</v>
      </c>
      <c r="C34" s="62" t="s">
        <v>322</v>
      </c>
      <c r="D34" s="62" t="s">
        <v>323</v>
      </c>
      <c r="E34" s="44" t="n">
        <f aca="false">E33</f>
        <v>45747</v>
      </c>
      <c r="F34" s="62" t="s">
        <v>94</v>
      </c>
      <c r="G34" s="62" t="s">
        <v>159</v>
      </c>
      <c r="H34" s="62" t="s">
        <v>160</v>
      </c>
      <c r="I34" s="62" t="s">
        <v>324</v>
      </c>
      <c r="J34" s="63" t="n">
        <f aca="false">AO34/AQ34</f>
        <v>0.438296939127166</v>
      </c>
      <c r="K34" s="45" t="str">
        <f aca="false">K33</f>
        <v>3/2025</v>
      </c>
      <c r="L34" s="64" t="n">
        <v>208</v>
      </c>
      <c r="M34" s="63" t="n">
        <v>1.62</v>
      </c>
      <c r="N34" s="63" t="n">
        <v>24</v>
      </c>
      <c r="O34" s="63"/>
      <c r="P34" s="69" t="n">
        <f aca="false">L34*M34</f>
        <v>336.96</v>
      </c>
      <c r="Q34" s="69" t="n">
        <f aca="false">P34*$Q$1</f>
        <v>8995.180896</v>
      </c>
      <c r="R34" s="69"/>
      <c r="S34" s="48" t="n">
        <f aca="false">P34*0.3*$S$1*0.5</f>
        <v>1349.2771344</v>
      </c>
      <c r="T34" s="69" t="n">
        <f aca="false">N34*M34*8*0.05</f>
        <v>15.552</v>
      </c>
      <c r="U34" s="69" t="n">
        <f aca="false">O34*M34*0.1</f>
        <v>0</v>
      </c>
      <c r="V34" s="69"/>
      <c r="W34" s="69" t="n">
        <f aca="false">Y34*M34*2</f>
        <v>0</v>
      </c>
      <c r="X34" s="69" t="n">
        <f aca="false">Z34*M34*1.5</f>
        <v>0</v>
      </c>
      <c r="Y34" s="69"/>
      <c r="Z34" s="69"/>
      <c r="AA34" s="69" t="n">
        <f aca="false">CD34</f>
        <v>0</v>
      </c>
      <c r="AB34" s="48" t="n">
        <f aca="false">P34*0.075</f>
        <v>25.272</v>
      </c>
      <c r="AC34" s="69" t="n">
        <f aca="false">M34*8*AA34</f>
        <v>0</v>
      </c>
      <c r="AD34" s="69"/>
      <c r="AE34" s="69" t="n">
        <f aca="false">AO34/AQ34</f>
        <v>0.438296939127166</v>
      </c>
      <c r="AF34" s="69" t="n">
        <f aca="false">P34+R34+T34+U34+V34+W34+X34+AB34+AC34+AD34</f>
        <v>377.784</v>
      </c>
      <c r="AG34" s="48" t="n">
        <f aca="false">AF34*0.5</f>
        <v>188.892</v>
      </c>
      <c r="AH34" s="49" t="n">
        <f aca="false">(AF34-AG34)*$AH$1+S34</f>
        <v>6391.7679636</v>
      </c>
      <c r="AI34" s="52" t="n">
        <f aca="false">IF(Q34&gt;18519.27,0.045*18519.27,Q34*0.045)</f>
        <v>404.78314032</v>
      </c>
      <c r="AJ34" s="48" t="n">
        <f aca="false">(AI34*0.5)/$AQ$1</f>
        <v>7.5816</v>
      </c>
      <c r="AK34" s="48" t="n">
        <f aca="false">(AI34*0.4)</f>
        <v>161.913256128</v>
      </c>
      <c r="AL34" s="69" t="n">
        <v>0</v>
      </c>
      <c r="AM34" s="69" t="n">
        <f aca="false">Q34*0.003</f>
        <v>26.985542688</v>
      </c>
      <c r="AN34" s="48" t="n">
        <v>0</v>
      </c>
      <c r="AO34" s="69" t="n">
        <f aca="false">AG34-AN34-AJ34</f>
        <v>181.3104</v>
      </c>
      <c r="AP34" s="69" t="n">
        <f aca="false">AH34-AK34-AL34-AM34-BB34</f>
        <v>6202.869164784</v>
      </c>
      <c r="AQ34" s="69" t="n">
        <f aca="false">AO34+(AP34/$AQ$1)</f>
        <v>413.67024</v>
      </c>
      <c r="AR34" s="69" t="n">
        <f aca="false">BT34</f>
        <v>68.41756</v>
      </c>
      <c r="AS34" s="48" t="n">
        <v>0</v>
      </c>
      <c r="AT34" s="69" t="n">
        <f aca="false">AR34-AS34</f>
        <v>68.41756</v>
      </c>
      <c r="AU34" s="69" t="n">
        <f aca="false">AT34*AE34</f>
        <v>29.9872071305492</v>
      </c>
      <c r="AV34" s="69" t="n">
        <f aca="false">AU34*0.03</f>
        <v>0.899616213916476</v>
      </c>
      <c r="AW34" s="69" t="n">
        <f aca="false">(AT34-AU34)*$AQ$1</f>
        <v>1025.90211288528</v>
      </c>
      <c r="AX34" s="69" t="n">
        <f aca="false">AW34*0.03</f>
        <v>30.7770633865583</v>
      </c>
      <c r="AY34" s="69" t="n">
        <f aca="false">AO34-AU34-AV34</f>
        <v>150.423576655534</v>
      </c>
      <c r="AZ34" s="69" t="n">
        <f aca="false">AP34-AW34-AX34</f>
        <v>5146.18998851217</v>
      </c>
      <c r="BA34" s="69"/>
      <c r="BB34" s="48" t="n">
        <v>0</v>
      </c>
      <c r="BC34" s="69"/>
      <c r="BD34" s="69"/>
      <c r="BE34" s="69"/>
      <c r="BF34" s="70"/>
      <c r="BG34" s="69"/>
      <c r="BH34" s="69"/>
      <c r="BI34" s="69" t="n">
        <v>12.5</v>
      </c>
      <c r="BJ34" s="69"/>
      <c r="BK34" s="69"/>
      <c r="BL34" s="48" t="n">
        <f aca="false">AY34-BI34-BG34-BH34-BD34+BJ34</f>
        <v>137.923576655534</v>
      </c>
      <c r="BM34" s="48" t="n">
        <f aca="false">AZ34-BA34-BC34-BE34-BF34+BK34</f>
        <v>5146.18998851217</v>
      </c>
      <c r="BN34" s="48" t="n">
        <f aca="false">IF(AQ34&lt;100,0,0)</f>
        <v>0</v>
      </c>
      <c r="BO34" s="48" t="n">
        <f aca="false">IF(AQ34&lt;100,"",IF(AQ34&lt;=300,AQ34*0.2-20,))</f>
        <v>0</v>
      </c>
      <c r="BP34" s="48" t="n">
        <f aca="false">IF(AQ34&lt;300.01,"",IF(AQ34&lt;=1000,AQ34*0.25-35,))</f>
        <v>68.41756</v>
      </c>
      <c r="BQ34" s="48" t="str">
        <f aca="false">IF(AQ34&lt;1000.01,"",IF(AQ34&lt;=2000,AQ34*0.3-85,))</f>
        <v/>
      </c>
      <c r="BR34" s="48" t="str">
        <f aca="false">IF(AQ34&lt;2000.01,"",IF(AQ34&lt;=3000,AQ34*0.35-185,))</f>
        <v/>
      </c>
      <c r="BS34" s="48" t="str">
        <f aca="false">IF(AQ34&lt;3000.01,"",IF(AQ34&gt;3000,AQ34*0.4-335,))</f>
        <v/>
      </c>
      <c r="BT34" s="55" t="n">
        <f aca="false">SUM(BN34:BS34)</f>
        <v>68.41756</v>
      </c>
      <c r="BU34" s="67" t="s">
        <v>99</v>
      </c>
      <c r="BV34" s="67" t="s">
        <v>118</v>
      </c>
      <c r="BW34" s="67" t="s">
        <v>325</v>
      </c>
      <c r="BX34" s="67" t="s">
        <v>99</v>
      </c>
      <c r="BY34" s="67" t="s">
        <v>100</v>
      </c>
      <c r="BZ34" s="67" t="s">
        <v>326</v>
      </c>
      <c r="CA34" s="67" t="n">
        <v>12.5</v>
      </c>
      <c r="CB34" s="67" t="n">
        <v>2.5</v>
      </c>
      <c r="CC34" s="67" t="n">
        <v>1</v>
      </c>
      <c r="CD34" s="41"/>
      <c r="CE34" s="67" t="n">
        <f aca="false">CA34+CB34-CC34-CD34</f>
        <v>14</v>
      </c>
      <c r="CF34" s="57" t="n">
        <f aca="false">M34*8</f>
        <v>12.96</v>
      </c>
      <c r="CG34" s="57" t="n">
        <f aca="false">CE34*CF34</f>
        <v>181.44</v>
      </c>
      <c r="CH34" s="57" t="n">
        <f aca="false">CG34*0.4</f>
        <v>72.576</v>
      </c>
      <c r="CI34" s="57" t="n">
        <f aca="false">(CG34-CH34)*$CI$2</f>
        <v>2906.1353664</v>
      </c>
    </row>
    <row r="35" customFormat="false" ht="15.75" hidden="false" customHeight="true" outlineLevel="0" collapsed="false">
      <c r="A35" s="41" t="s">
        <v>327</v>
      </c>
      <c r="B35" s="71" t="s">
        <v>314</v>
      </c>
      <c r="C35" s="43" t="s">
        <v>328</v>
      </c>
      <c r="D35" s="43" t="s">
        <v>329</v>
      </c>
      <c r="E35" s="44" t="n">
        <f aca="false">E34</f>
        <v>45747</v>
      </c>
      <c r="F35" s="43" t="s">
        <v>94</v>
      </c>
      <c r="G35" s="43" t="s">
        <v>159</v>
      </c>
      <c r="H35" s="72" t="s">
        <v>160</v>
      </c>
      <c r="I35" s="43" t="s">
        <v>330</v>
      </c>
      <c r="J35" s="73" t="n">
        <f aca="false">AO35/AQ35</f>
        <v>0.438200131789513</v>
      </c>
      <c r="K35" s="45" t="str">
        <f aca="false">K34</f>
        <v>3/2025</v>
      </c>
      <c r="L35" s="66" t="n">
        <v>208</v>
      </c>
      <c r="M35" s="47" t="n">
        <v>1.62</v>
      </c>
      <c r="N35" s="47" t="n">
        <v>23</v>
      </c>
      <c r="O35" s="47"/>
      <c r="P35" s="48" t="n">
        <f aca="false">L35*M35</f>
        <v>336.96</v>
      </c>
      <c r="Q35" s="48" t="n">
        <f aca="false">P35*$Q$1</f>
        <v>8995.180896</v>
      </c>
      <c r="R35" s="48"/>
      <c r="S35" s="48" t="n">
        <f aca="false">P35*0.3*$S$1*0.5</f>
        <v>1349.2771344</v>
      </c>
      <c r="T35" s="48" t="n">
        <f aca="false">N35*M35*8*0.05</f>
        <v>14.904</v>
      </c>
      <c r="U35" s="48" t="n">
        <f aca="false">O35*M35*0.1</f>
        <v>0</v>
      </c>
      <c r="V35" s="48"/>
      <c r="W35" s="48" t="n">
        <f aca="false">Y35*M35*2</f>
        <v>0</v>
      </c>
      <c r="X35" s="48" t="n">
        <f aca="false">Z35*M35*1.5</f>
        <v>0</v>
      </c>
      <c r="Y35" s="48"/>
      <c r="Z35" s="48"/>
      <c r="AA35" s="48" t="n">
        <f aca="false">CD35</f>
        <v>0</v>
      </c>
      <c r="AB35" s="48" t="n">
        <f aca="false">P35*0.075</f>
        <v>25.272</v>
      </c>
      <c r="AC35" s="48" t="n">
        <f aca="false">M35*8*AA35</f>
        <v>0</v>
      </c>
      <c r="AD35" s="48"/>
      <c r="AE35" s="48" t="n">
        <f aca="false">AO35/AQ35</f>
        <v>0.438200131789513</v>
      </c>
      <c r="AF35" s="48" t="n">
        <f aca="false">P35+R35+T35+U35+V35+W35+X35+AB35+AC35+AD35</f>
        <v>377.136</v>
      </c>
      <c r="AG35" s="48" t="n">
        <f aca="false">AF35*0.5</f>
        <v>188.568</v>
      </c>
      <c r="AH35" s="48" t="n">
        <f aca="false">(AF35-AG35)*$AH$1+S35</f>
        <v>6383.1187512</v>
      </c>
      <c r="AI35" s="52" t="n">
        <f aca="false">IF(Q35&gt;18519.27,0.045*18519.27,Q35*0.045)</f>
        <v>404.78314032</v>
      </c>
      <c r="AJ35" s="48" t="n">
        <f aca="false">(AI35*0.5)/$AQ$1</f>
        <v>7.5816</v>
      </c>
      <c r="AK35" s="48" t="n">
        <f aca="false">(AI35*0.4)</f>
        <v>161.913256128</v>
      </c>
      <c r="AL35" s="48"/>
      <c r="AM35" s="48" t="n">
        <f aca="false">Q35*0.003</f>
        <v>26.985542688</v>
      </c>
      <c r="AN35" s="48" t="n">
        <v>0</v>
      </c>
      <c r="AO35" s="48" t="n">
        <f aca="false">AG35-AN35-AJ35</f>
        <v>180.9864</v>
      </c>
      <c r="AP35" s="48" t="n">
        <f aca="false">AH35-AK35-AL35-AM35-BB35</f>
        <v>6194.219952384</v>
      </c>
      <c r="AQ35" s="48" t="n">
        <f aca="false">AO35+(AP35/$AQ$1)</f>
        <v>413.02224</v>
      </c>
      <c r="AR35" s="48" t="n">
        <f aca="false">BT35</f>
        <v>68.25556</v>
      </c>
      <c r="AS35" s="48" t="n">
        <v>0</v>
      </c>
      <c r="AT35" s="69" t="n">
        <f aca="false">AR35-AS35</f>
        <v>68.25556</v>
      </c>
      <c r="AU35" s="69" t="n">
        <f aca="false">AT35*AE35</f>
        <v>29.909595387367</v>
      </c>
      <c r="AV35" s="69" t="n">
        <f aca="false">AU35*0.03</f>
        <v>0.897287861621011</v>
      </c>
      <c r="AW35" s="69" t="n">
        <f aca="false">(AT35-AU35)*$AQ$1</f>
        <v>1023.6493599307</v>
      </c>
      <c r="AX35" s="69" t="n">
        <f aca="false">AW35*0.03</f>
        <v>30.709480797921</v>
      </c>
      <c r="AY35" s="69" t="n">
        <f aca="false">AO35-AU35-AV35</f>
        <v>150.179516751012</v>
      </c>
      <c r="AZ35" s="69" t="n">
        <f aca="false">AP35-AW35-AX35</f>
        <v>5139.86111165538</v>
      </c>
      <c r="BA35" s="69"/>
      <c r="BB35" s="48" t="n">
        <v>0</v>
      </c>
      <c r="BC35" s="69"/>
      <c r="BD35" s="4"/>
      <c r="BE35" s="4"/>
      <c r="BF35" s="4"/>
      <c r="BG35" s="48"/>
      <c r="BH35" s="48"/>
      <c r="BI35" s="48" t="n">
        <v>12.5</v>
      </c>
      <c r="BJ35" s="48"/>
      <c r="BK35" s="48"/>
      <c r="BL35" s="48" t="n">
        <f aca="false">AY35-BI35-BG35-BH35-BD35+BJ35</f>
        <v>137.679516751012</v>
      </c>
      <c r="BM35" s="48" t="n">
        <f aca="false">AZ35-BA35-BC35-BE35-BF35+BK35</f>
        <v>5139.86111165538</v>
      </c>
      <c r="BN35" s="48" t="n">
        <f aca="false">IF(AQ35&lt;100,0,0)</f>
        <v>0</v>
      </c>
      <c r="BO35" s="48" t="n">
        <f aca="false">IF(AQ35&lt;100,"",IF(AQ35&lt;=300,AQ35*0.2-20,))</f>
        <v>0</v>
      </c>
      <c r="BP35" s="48" t="n">
        <f aca="false">IF(AQ35&lt;300.01,"",IF(AQ35&lt;=1000,AQ35*0.25-35,))</f>
        <v>68.25556</v>
      </c>
      <c r="BQ35" s="48" t="str">
        <f aca="false">IF(AQ35&lt;1000.01,"",IF(AQ35&lt;=2000,AQ35*0.3-85,))</f>
        <v/>
      </c>
      <c r="BR35" s="48" t="str">
        <f aca="false">IF(AQ35&lt;2000.01,"",IF(AQ35&lt;=3000,AQ35*0.35-185,))</f>
        <v/>
      </c>
      <c r="BS35" s="48" t="str">
        <f aca="false">IF(AQ35&lt;3000.01,"",IF(AQ35&gt;3000,AQ35*0.4-335,))</f>
        <v/>
      </c>
      <c r="BT35" s="55" t="n">
        <f aca="false">SUM(BN35:BS35)</f>
        <v>68.25556</v>
      </c>
      <c r="BU35" s="74" t="s">
        <v>99</v>
      </c>
      <c r="BV35" s="74" t="s">
        <v>118</v>
      </c>
      <c r="BW35" s="1" t="s">
        <v>331</v>
      </c>
      <c r="BX35" s="74" t="s">
        <v>99</v>
      </c>
      <c r="BY35" s="74" t="s">
        <v>100</v>
      </c>
      <c r="BZ35" s="74" t="s">
        <v>332</v>
      </c>
      <c r="CA35" s="41" t="n">
        <v>14</v>
      </c>
      <c r="CB35" s="41" t="n">
        <v>2.5</v>
      </c>
      <c r="CC35" s="41"/>
      <c r="CD35" s="41"/>
      <c r="CE35" s="75" t="n">
        <f aca="false">CA35+CB35-CC35-CD35</f>
        <v>16.5</v>
      </c>
      <c r="CF35" s="57" t="n">
        <f aca="false">M35*8</f>
        <v>12.96</v>
      </c>
      <c r="CG35" s="57" t="n">
        <f aca="false">CE35*CF35</f>
        <v>213.84</v>
      </c>
      <c r="CH35" s="57" t="n">
        <f aca="false">CG35*0.4</f>
        <v>85.536</v>
      </c>
      <c r="CI35" s="57" t="n">
        <f aca="false">(CG35-CH35)*$CI$2</f>
        <v>3425.0881104</v>
      </c>
    </row>
    <row r="36" customFormat="false" ht="15.75" hidden="false" customHeight="true" outlineLevel="0" collapsed="false">
      <c r="A36" s="76" t="s">
        <v>333</v>
      </c>
      <c r="B36" s="77" t="s">
        <v>334</v>
      </c>
      <c r="C36" s="72" t="s">
        <v>335</v>
      </c>
      <c r="D36" s="72" t="s">
        <v>336</v>
      </c>
      <c r="E36" s="44" t="n">
        <f aca="false">E35</f>
        <v>45747</v>
      </c>
      <c r="F36" s="72" t="s">
        <v>94</v>
      </c>
      <c r="G36" s="72" t="s">
        <v>159</v>
      </c>
      <c r="H36" s="72" t="s">
        <v>160</v>
      </c>
      <c r="I36" s="72" t="s">
        <v>330</v>
      </c>
      <c r="J36" s="73" t="n">
        <f aca="false">AO36/AQ36</f>
        <v>0.434391552017056</v>
      </c>
      <c r="K36" s="45" t="str">
        <f aca="false">K35</f>
        <v>3/2025</v>
      </c>
      <c r="L36" s="78" t="n">
        <v>208</v>
      </c>
      <c r="M36" s="73" t="n">
        <v>1.62</v>
      </c>
      <c r="N36" s="73" t="n">
        <v>25</v>
      </c>
      <c r="O36" s="73"/>
      <c r="P36" s="79" t="n">
        <f aca="false">L36*M36</f>
        <v>336.96</v>
      </c>
      <c r="Q36" s="79" t="n">
        <f aca="false">P36*$Q$1</f>
        <v>8995.180896</v>
      </c>
      <c r="R36" s="79"/>
      <c r="S36" s="48" t="n">
        <f aca="false">P36*0.3*$S$1*0.5</f>
        <v>1349.2771344</v>
      </c>
      <c r="T36" s="79" t="n">
        <f aca="false">N36*M36*8*0.05</f>
        <v>16.2</v>
      </c>
      <c r="U36" s="79" t="n">
        <f aca="false">O36*M36*0.1</f>
        <v>0</v>
      </c>
      <c r="V36" s="79"/>
      <c r="W36" s="48" t="n">
        <f aca="false">Y36*M36*2</f>
        <v>0</v>
      </c>
      <c r="X36" s="48" t="n">
        <f aca="false">Z36*M36*1.5</f>
        <v>0</v>
      </c>
      <c r="Y36" s="48"/>
      <c r="Z36" s="48"/>
      <c r="AA36" s="48" t="n">
        <f aca="false">CD36</f>
        <v>0</v>
      </c>
      <c r="AB36" s="48" t="n">
        <v>0</v>
      </c>
      <c r="AC36" s="48" t="n">
        <f aca="false">M36*8*AA36</f>
        <v>0</v>
      </c>
      <c r="AD36" s="48"/>
      <c r="AE36" s="48" t="n">
        <f aca="false">AO36/AQ36</f>
        <v>0.434391552017056</v>
      </c>
      <c r="AF36" s="48" t="n">
        <f aca="false">P36+R36+T36+U36+V36+W36+X36+AB36+AC36+AD36</f>
        <v>353.16</v>
      </c>
      <c r="AG36" s="48" t="n">
        <f aca="false">AF36*0.5</f>
        <v>176.58</v>
      </c>
      <c r="AH36" s="48" t="n">
        <f aca="false">(AF36-AG36)*$AH$1+S36</f>
        <v>6063.0978924</v>
      </c>
      <c r="AI36" s="52" t="n">
        <f aca="false">IF(Q36&gt;18519.27,0.045*18519.27,Q36*0.045)</f>
        <v>404.78314032</v>
      </c>
      <c r="AJ36" s="48" t="n">
        <f aca="false">(AI36*0.5)/$AQ$1</f>
        <v>7.5816</v>
      </c>
      <c r="AK36" s="48" t="n">
        <f aca="false">(AI36*0.4)</f>
        <v>161.913256128</v>
      </c>
      <c r="AL36" s="48"/>
      <c r="AM36" s="48" t="n">
        <f aca="false">Q36*0.003</f>
        <v>26.985542688</v>
      </c>
      <c r="AN36" s="48" t="n">
        <v>0</v>
      </c>
      <c r="AO36" s="48" t="n">
        <f aca="false">AG36-AN36-AJ36</f>
        <v>168.9984</v>
      </c>
      <c r="AP36" s="48" t="n">
        <f aca="false">AH36-AK36-AL36-AM36-BB36</f>
        <v>5874.199093584</v>
      </c>
      <c r="AQ36" s="48" t="n">
        <f aca="false">AO36+(AP36/$AQ$1)</f>
        <v>389.04624</v>
      </c>
      <c r="AR36" s="48" t="n">
        <f aca="false">BT36</f>
        <v>62.26156</v>
      </c>
      <c r="AS36" s="48" t="n">
        <v>0</v>
      </c>
      <c r="AT36" s="69" t="n">
        <f aca="false">AR36-AS36</f>
        <v>62.26156</v>
      </c>
      <c r="AU36" s="69" t="n">
        <f aca="false">AT36*AE36</f>
        <v>27.045895679403</v>
      </c>
      <c r="AV36" s="69" t="n">
        <f aca="false">AU36*0.03</f>
        <v>0.811376870382091</v>
      </c>
      <c r="AW36" s="69" t="n">
        <f aca="false">(AT36-AU36)*$AQ$1</f>
        <v>940.085680604768</v>
      </c>
      <c r="AX36" s="69" t="n">
        <f aca="false">AW36*0.03</f>
        <v>28.202570418143</v>
      </c>
      <c r="AY36" s="69" t="n">
        <f aca="false">AO36-AU36-AV36</f>
        <v>141.141127450215</v>
      </c>
      <c r="AZ36" s="69" t="n">
        <f aca="false">AP36-AW36-AX36</f>
        <v>4905.91084256109</v>
      </c>
      <c r="BA36" s="69"/>
      <c r="BB36" s="48" t="n">
        <v>0</v>
      </c>
      <c r="BC36" s="69"/>
      <c r="BD36" s="4"/>
      <c r="BE36" s="4"/>
      <c r="BF36" s="4"/>
      <c r="BG36" s="48"/>
      <c r="BH36" s="48"/>
      <c r="BI36" s="48" t="n">
        <v>12.5</v>
      </c>
      <c r="BJ36" s="48"/>
      <c r="BK36" s="48"/>
      <c r="BL36" s="48" t="n">
        <f aca="false">AY36-BI36-BG36-BH36-BD36+BJ36</f>
        <v>128.641127450215</v>
      </c>
      <c r="BM36" s="48" t="n">
        <f aca="false">AZ36-BA36-BC36-BE36-BF36+BK36</f>
        <v>4905.91084256109</v>
      </c>
      <c r="BN36" s="48" t="n">
        <f aca="false">IF(AQ36&lt;100,0,0)</f>
        <v>0</v>
      </c>
      <c r="BO36" s="48" t="n">
        <f aca="false">IF(AQ36&lt;100,"",IF(AQ36&lt;=300,AQ36*0.2-20,))</f>
        <v>0</v>
      </c>
      <c r="BP36" s="48" t="n">
        <f aca="false">IF(AQ36&lt;300.01,"",IF(AQ36&lt;=1000,AQ36*0.25-35,))</f>
        <v>62.26156</v>
      </c>
      <c r="BQ36" s="48" t="str">
        <f aca="false">IF(AQ36&lt;1000.01,"",IF(AQ36&lt;=2000,AQ36*0.3-85,))</f>
        <v/>
      </c>
      <c r="BR36" s="48" t="str">
        <f aca="false">IF(AQ36&lt;2000.01,"",IF(AQ36&lt;=3000,AQ36*0.35-185,))</f>
        <v/>
      </c>
      <c r="BS36" s="48" t="str">
        <f aca="false">IF(AQ36&lt;3000.01,"",IF(AQ36&gt;3000,AQ36*0.4-335,))</f>
        <v/>
      </c>
      <c r="BT36" s="55" t="n">
        <f aca="false">SUM(BN36:BS36)</f>
        <v>62.26156</v>
      </c>
      <c r="BU36" s="74" t="s">
        <v>99</v>
      </c>
      <c r="BV36" s="74" t="s">
        <v>118</v>
      </c>
      <c r="BW36" s="80" t="s">
        <v>337</v>
      </c>
      <c r="BX36" s="74" t="s">
        <v>99</v>
      </c>
      <c r="BY36" s="74" t="s">
        <v>118</v>
      </c>
      <c r="BZ36" s="80" t="s">
        <v>338</v>
      </c>
      <c r="CA36" s="41" t="n">
        <v>0</v>
      </c>
      <c r="CB36" s="41" t="n">
        <v>2.5</v>
      </c>
      <c r="CC36" s="41"/>
      <c r="CD36" s="41"/>
      <c r="CE36" s="41" t="n">
        <f aca="false">CA36+CB36-CC36-CD36</f>
        <v>2.5</v>
      </c>
      <c r="CF36" s="57" t="n">
        <f aca="false">M36*8</f>
        <v>12.96</v>
      </c>
      <c r="CG36" s="57" t="n">
        <f aca="false">CE36*CF36</f>
        <v>32.4</v>
      </c>
      <c r="CH36" s="57" t="n">
        <f aca="false">CG36*0.4</f>
        <v>12.96</v>
      </c>
      <c r="CI36" s="57" t="n">
        <f aca="false">(CG36-CH36)*$CI$2</f>
        <v>518.952744</v>
      </c>
    </row>
    <row r="37" customFormat="false" ht="15.75" hidden="false" customHeight="true" outlineLevel="0" collapsed="false">
      <c r="A37" s="41" t="s">
        <v>339</v>
      </c>
      <c r="B37" s="71" t="s">
        <v>340</v>
      </c>
      <c r="C37" s="43" t="s">
        <v>341</v>
      </c>
      <c r="D37" s="43"/>
      <c r="E37" s="44" t="n">
        <f aca="false">E36</f>
        <v>45747</v>
      </c>
      <c r="F37" s="72" t="s">
        <v>94</v>
      </c>
      <c r="G37" s="72" t="s">
        <v>159</v>
      </c>
      <c r="H37" s="72" t="s">
        <v>160</v>
      </c>
      <c r="I37" s="72" t="s">
        <v>330</v>
      </c>
      <c r="J37" s="73" t="n">
        <f aca="false">AO37/AQ37</f>
        <v>0.45307250589721</v>
      </c>
      <c r="K37" s="45" t="str">
        <f aca="false">K36</f>
        <v>3/2025</v>
      </c>
      <c r="L37" s="66" t="n">
        <v>208</v>
      </c>
      <c r="M37" s="73" t="n">
        <v>1.62</v>
      </c>
      <c r="N37" s="47" t="n">
        <v>25</v>
      </c>
      <c r="O37" s="47"/>
      <c r="P37" s="79" t="n">
        <f aca="false">L37*M37</f>
        <v>336.96</v>
      </c>
      <c r="Q37" s="48" t="n">
        <f aca="false">P37*$Q$1</f>
        <v>8995.180896</v>
      </c>
      <c r="R37" s="48"/>
      <c r="S37" s="48" t="n">
        <f aca="false">P37*0.3*$S$1*0.5</f>
        <v>1349.2771344</v>
      </c>
      <c r="T37" s="48" t="n">
        <f aca="false">N37*M37*8*0.05</f>
        <v>16.2</v>
      </c>
      <c r="U37" s="48" t="n">
        <f aca="false">O37*M37*0.1</f>
        <v>0</v>
      </c>
      <c r="V37" s="48"/>
      <c r="W37" s="48" t="n">
        <f aca="false">Y37*M37*2</f>
        <v>0</v>
      </c>
      <c r="X37" s="48" t="n">
        <f aca="false">Z37*M37*1.5</f>
        <v>0</v>
      </c>
      <c r="Y37" s="48"/>
      <c r="Z37" s="48"/>
      <c r="AA37" s="48" t="n">
        <f aca="false">CD37</f>
        <v>10</v>
      </c>
      <c r="AB37" s="48" t="n">
        <f aca="false">P37*0.075</f>
        <v>25.272</v>
      </c>
      <c r="AC37" s="48" t="n">
        <f aca="false">M37*8*AA37</f>
        <v>129.6</v>
      </c>
      <c r="AD37" s="48"/>
      <c r="AE37" s="48" t="n">
        <f aca="false">AO37/AQ37</f>
        <v>0.45307250589721</v>
      </c>
      <c r="AF37" s="48" t="n">
        <f aca="false">P37+R37+T37+U37+V37+W37+X37+AB37+AC37+AD37</f>
        <v>508.032</v>
      </c>
      <c r="AG37" s="48" t="n">
        <f aca="false">AF37*0.5</f>
        <v>254.016</v>
      </c>
      <c r="AH37" s="48" t="n">
        <f aca="false">(AF37-AG37)*$AH$1+S37</f>
        <v>8130.259656</v>
      </c>
      <c r="AI37" s="52" t="n">
        <f aca="false">IF(Q37&gt;18519.27,0.045*18519.27,Q37*0.045)</f>
        <v>404.78314032</v>
      </c>
      <c r="AJ37" s="48" t="n">
        <f aca="false">(AI37*0.5)/$AQ$1</f>
        <v>7.5816</v>
      </c>
      <c r="AK37" s="48" t="n">
        <f aca="false">(AI37*0.4)</f>
        <v>161.913256128</v>
      </c>
      <c r="AL37" s="48"/>
      <c r="AM37" s="48" t="n">
        <f aca="false">Q37*0.003</f>
        <v>26.985542688</v>
      </c>
      <c r="AN37" s="48" t="n">
        <v>0</v>
      </c>
      <c r="AO37" s="48" t="n">
        <f aca="false">AG37-AN37-AJ37</f>
        <v>246.4344</v>
      </c>
      <c r="AP37" s="48" t="n">
        <f aca="false">AH37-AK37-AL37-AM37-BB37</f>
        <v>7941.360857184</v>
      </c>
      <c r="AQ37" s="48" t="n">
        <f aca="false">AO37+(AP37/$AQ$1)</f>
        <v>543.91824</v>
      </c>
      <c r="AR37" s="48" t="n">
        <f aca="false">BT37</f>
        <v>100.97956</v>
      </c>
      <c r="AS37" s="48" t="n">
        <v>0</v>
      </c>
      <c r="AT37" s="69" t="n">
        <f aca="false">AR37-AS37</f>
        <v>100.97956</v>
      </c>
      <c r="AU37" s="69" t="n">
        <f aca="false">AT37*AE37</f>
        <v>45.7510622935977</v>
      </c>
      <c r="AV37" s="69" t="n">
        <f aca="false">AU37*0.03</f>
        <v>1.37253186880793</v>
      </c>
      <c r="AW37" s="69" t="n">
        <f aca="false">(AT37-AU37)*$AQ$1</f>
        <v>1474.33026912218</v>
      </c>
      <c r="AX37" s="69" t="n">
        <f aca="false">AW37*0.03</f>
        <v>44.2299080736654</v>
      </c>
      <c r="AY37" s="69" t="n">
        <f aca="false">AO37-AU37-AV37</f>
        <v>199.310805837594</v>
      </c>
      <c r="AZ37" s="69" t="n">
        <f aca="false">AP37-AW37-AX37</f>
        <v>6422.80067998815</v>
      </c>
      <c r="BA37" s="69"/>
      <c r="BB37" s="48" t="n">
        <v>0</v>
      </c>
      <c r="BC37" s="69"/>
      <c r="BD37" s="4"/>
      <c r="BE37" s="4"/>
      <c r="BF37" s="4"/>
      <c r="BG37" s="4"/>
      <c r="BH37" s="4"/>
      <c r="BI37" s="48" t="n">
        <v>12.5</v>
      </c>
      <c r="BJ37" s="48"/>
      <c r="BK37" s="48"/>
      <c r="BL37" s="48" t="n">
        <f aca="false">AY37-BI37-BG37-BH37-BD37+BJ37</f>
        <v>186.810805837594</v>
      </c>
      <c r="BM37" s="48" t="n">
        <f aca="false">AZ37-BA37-BC37-BE37-BF37+BK37</f>
        <v>6422.80067998815</v>
      </c>
      <c r="BN37" s="48" t="n">
        <f aca="false">IF(AQ37&lt;100,0,0)</f>
        <v>0</v>
      </c>
      <c r="BO37" s="48" t="n">
        <f aca="false">IF(AQ37&lt;100,"",IF(AQ37&lt;=300,AQ37*0.2-20,))</f>
        <v>0</v>
      </c>
      <c r="BP37" s="48" t="n">
        <f aca="false">IF(AQ37&lt;300.01,"",IF(AQ37&lt;=1000,AQ37*0.25-35,))</f>
        <v>100.97956</v>
      </c>
      <c r="BQ37" s="48" t="str">
        <f aca="false">IF(AQ37&lt;1000.01,"",IF(AQ37&lt;=2000,AQ37*0.3-85,))</f>
        <v/>
      </c>
      <c r="BR37" s="48" t="str">
        <f aca="false">IF(AQ37&lt;2000.01,"",IF(AQ37&lt;=3000,AQ37*0.35-185,))</f>
        <v/>
      </c>
      <c r="BS37" s="48" t="str">
        <f aca="false">IF(AQ37&lt;3000.01,"",IF(AQ37&gt;3000,AQ37*0.4-335,))</f>
        <v/>
      </c>
      <c r="BT37" s="55" t="n">
        <f aca="false">SUM(BN37:BS37)</f>
        <v>100.97956</v>
      </c>
      <c r="BU37" s="74" t="s">
        <v>99</v>
      </c>
      <c r="BV37" s="74" t="s">
        <v>118</v>
      </c>
      <c r="BW37" s="1" t="s">
        <v>342</v>
      </c>
      <c r="BX37" s="74" t="s">
        <v>99</v>
      </c>
      <c r="BY37" s="74" t="s">
        <v>118</v>
      </c>
      <c r="BZ37" s="74" t="s">
        <v>343</v>
      </c>
      <c r="CA37" s="41" t="n">
        <v>10.92</v>
      </c>
      <c r="CB37" s="41" t="n">
        <v>1.82</v>
      </c>
      <c r="CC37" s="41"/>
      <c r="CD37" s="41" t="n">
        <v>10</v>
      </c>
      <c r="CE37" s="41" t="n">
        <f aca="false">CA37+CB37-CC37-CD37</f>
        <v>2.74</v>
      </c>
      <c r="CF37" s="57" t="n">
        <f aca="false">M37*8</f>
        <v>12.96</v>
      </c>
      <c r="CG37" s="57" t="n">
        <f aca="false">CE37*CF37</f>
        <v>35.5104</v>
      </c>
      <c r="CH37" s="57" t="n">
        <f aca="false">CG37*0.4</f>
        <v>14.20416</v>
      </c>
      <c r="CI37" s="57" t="n">
        <f aca="false">(CG37-CH37)*$CI$2</f>
        <v>568.772207424</v>
      </c>
    </row>
    <row r="38" customFormat="false" ht="15.75" hidden="false" customHeight="true" outlineLevel="0" collapsed="false">
      <c r="A38" s="41" t="s">
        <v>344</v>
      </c>
      <c r="B38" s="71" t="s">
        <v>345</v>
      </c>
      <c r="C38" s="43" t="s">
        <v>346</v>
      </c>
      <c r="D38" s="43"/>
      <c r="E38" s="44" t="n">
        <f aca="false">E37</f>
        <v>45747</v>
      </c>
      <c r="F38" s="43" t="s">
        <v>94</v>
      </c>
      <c r="G38" s="43" t="s">
        <v>159</v>
      </c>
      <c r="H38" s="43" t="s">
        <v>160</v>
      </c>
      <c r="I38" s="43" t="s">
        <v>330</v>
      </c>
      <c r="J38" s="47" t="n">
        <f aca="false">AO38/AQ38</f>
        <v>0.438393443648535</v>
      </c>
      <c r="K38" s="45" t="str">
        <f aca="false">K37</f>
        <v>3/2025</v>
      </c>
      <c r="L38" s="66" t="n">
        <v>208</v>
      </c>
      <c r="M38" s="47" t="n">
        <v>1.62</v>
      </c>
      <c r="N38" s="47" t="n">
        <v>25</v>
      </c>
      <c r="O38" s="47"/>
      <c r="P38" s="48" t="n">
        <f aca="false">L38*M38</f>
        <v>336.96</v>
      </c>
      <c r="Q38" s="48" t="n">
        <f aca="false">P38*$Q$1</f>
        <v>8995.180896</v>
      </c>
      <c r="R38" s="48"/>
      <c r="S38" s="48" t="n">
        <f aca="false">P38*0.3*$S$1*0.5</f>
        <v>1349.2771344</v>
      </c>
      <c r="T38" s="48" t="n">
        <f aca="false">N38*M38*8*0.05</f>
        <v>16.2</v>
      </c>
      <c r="U38" s="48" t="n">
        <f aca="false">O38*M38*0.1</f>
        <v>0</v>
      </c>
      <c r="V38" s="48"/>
      <c r="W38" s="48" t="n">
        <f aca="false">Y38*M38*2</f>
        <v>0</v>
      </c>
      <c r="X38" s="48" t="n">
        <f aca="false">Z38*M38*1.5</f>
        <v>0</v>
      </c>
      <c r="Y38" s="48"/>
      <c r="Z38" s="48"/>
      <c r="AA38" s="48" t="n">
        <f aca="false">CD38</f>
        <v>0</v>
      </c>
      <c r="AB38" s="48" t="n">
        <f aca="false">P38*0.075</f>
        <v>25.272</v>
      </c>
      <c r="AC38" s="48" t="n">
        <f aca="false">M38*8*AA38</f>
        <v>0</v>
      </c>
      <c r="AD38" s="48"/>
      <c r="AE38" s="48" t="n">
        <f aca="false">AO38/AQ38</f>
        <v>0.438393443648535</v>
      </c>
      <c r="AF38" s="48" t="n">
        <f aca="false">P38+R38+T38+U38+V38+W38+X38+AB38+AC38+AD38</f>
        <v>378.432</v>
      </c>
      <c r="AG38" s="48" t="n">
        <f aca="false">AF38*0.5</f>
        <v>189.216</v>
      </c>
      <c r="AH38" s="48" t="n">
        <f aca="false">(AF38-AG38)*$AH$1+S38</f>
        <v>6400.417176</v>
      </c>
      <c r="AI38" s="52" t="n">
        <f aca="false">IF(Q38&gt;18519.27,0.045*18519.27,Q38*0.045)</f>
        <v>404.78314032</v>
      </c>
      <c r="AJ38" s="48" t="n">
        <f aca="false">(AI38*0.5)/$AQ$1</f>
        <v>7.5816</v>
      </c>
      <c r="AK38" s="48" t="n">
        <f aca="false">(AI38*0.4)</f>
        <v>161.913256128</v>
      </c>
      <c r="AL38" s="48"/>
      <c r="AM38" s="48" t="n">
        <f aca="false">Q38*0.003</f>
        <v>26.985542688</v>
      </c>
      <c r="AN38" s="48" t="n">
        <v>0</v>
      </c>
      <c r="AO38" s="48" t="n">
        <f aca="false">AG38-AN38-AJ38</f>
        <v>181.6344</v>
      </c>
      <c r="AP38" s="48" t="n">
        <f aca="false">AH38-AK38-AL38-AM38-BB38</f>
        <v>6211.518377184</v>
      </c>
      <c r="AQ38" s="48" t="n">
        <f aca="false">AO38+(AP38/$AQ$1)</f>
        <v>414.31824</v>
      </c>
      <c r="AR38" s="48" t="n">
        <f aca="false">BT38</f>
        <v>68.57956</v>
      </c>
      <c r="AS38" s="48" t="n">
        <v>0</v>
      </c>
      <c r="AT38" s="69" t="n">
        <f aca="false">AR38-AS38</f>
        <v>68.57956</v>
      </c>
      <c r="AU38" s="69" t="n">
        <f aca="false">AT38*AE38</f>
        <v>30.0648294723013</v>
      </c>
      <c r="AV38" s="69" t="n">
        <f aca="false">AU38*0.03</f>
        <v>0.901944884169039</v>
      </c>
      <c r="AW38" s="69" t="n">
        <f aca="false">(AT38-AU38)*$AQ$1</f>
        <v>1028.15458290997</v>
      </c>
      <c r="AX38" s="69" t="n">
        <f aca="false">AW38*0.03</f>
        <v>30.8446374872991</v>
      </c>
      <c r="AY38" s="69" t="n">
        <f aca="false">AO38-AU38-AV38</f>
        <v>150.66762564353</v>
      </c>
      <c r="AZ38" s="69" t="n">
        <f aca="false">AP38-AW38-AX38</f>
        <v>5152.51915678673</v>
      </c>
      <c r="BA38" s="69"/>
      <c r="BB38" s="48" t="n">
        <v>0</v>
      </c>
      <c r="BC38" s="69"/>
      <c r="BD38" s="4"/>
      <c r="BE38" s="4"/>
      <c r="BF38" s="4"/>
      <c r="BG38" s="4"/>
      <c r="BH38" s="4"/>
      <c r="BI38" s="48" t="n">
        <v>12.5</v>
      </c>
      <c r="BJ38" s="48"/>
      <c r="BK38" s="48"/>
      <c r="BL38" s="48" t="n">
        <f aca="false">AY38-BI38-BG38-BH38-BD38+BJ38</f>
        <v>138.16762564353</v>
      </c>
      <c r="BM38" s="48" t="n">
        <f aca="false">AZ38-BA38-BC38-BE38-BF38+BK38</f>
        <v>5152.51915678673</v>
      </c>
      <c r="BN38" s="48" t="n">
        <f aca="false">IF(AQ38&lt;100,0,0)</f>
        <v>0</v>
      </c>
      <c r="BO38" s="48" t="n">
        <f aca="false">IF(AQ38&lt;100,"",IF(AQ38&lt;=300,AQ38*0.2-20,))</f>
        <v>0</v>
      </c>
      <c r="BP38" s="48" t="n">
        <f aca="false">IF(AQ38&lt;300.01,"",IF(AQ38&lt;=1000,AQ38*0.25-35,))</f>
        <v>68.57956</v>
      </c>
      <c r="BQ38" s="48" t="str">
        <f aca="false">IF(AQ38&lt;1000.01,"",IF(AQ38&lt;=2000,AQ38*0.3-85,))</f>
        <v/>
      </c>
      <c r="BR38" s="48" t="str">
        <f aca="false">IF(AQ38&lt;2000.01,"",IF(AQ38&lt;=3000,AQ38*0.35-185,))</f>
        <v/>
      </c>
      <c r="BS38" s="48" t="str">
        <f aca="false">IF(AQ38&lt;3000.01,"",IF(AQ38&gt;3000,AQ38*0.4-335,))</f>
        <v/>
      </c>
      <c r="BT38" s="55" t="n">
        <f aca="false">SUM(BN38:BS38)</f>
        <v>68.57956</v>
      </c>
      <c r="BU38" s="74" t="s">
        <v>99</v>
      </c>
      <c r="BV38" s="74" t="s">
        <v>118</v>
      </c>
      <c r="BW38" s="1" t="s">
        <v>347</v>
      </c>
      <c r="BX38" s="74" t="s">
        <v>99</v>
      </c>
      <c r="BY38" s="74" t="s">
        <v>118</v>
      </c>
      <c r="BZ38" s="74" t="s">
        <v>348</v>
      </c>
      <c r="CA38" s="41" t="n">
        <v>7.5</v>
      </c>
      <c r="CB38" s="41" t="n">
        <v>2.5</v>
      </c>
      <c r="CC38" s="41"/>
      <c r="CD38" s="41"/>
      <c r="CE38" s="41" t="n">
        <f aca="false">CA38+CB38-CC38-CD38</f>
        <v>10</v>
      </c>
      <c r="CF38" s="57" t="n">
        <f aca="false">M38*8</f>
        <v>12.96</v>
      </c>
      <c r="CG38" s="57" t="n">
        <f aca="false">CE38*CF38</f>
        <v>129.6</v>
      </c>
      <c r="CH38" s="57" t="n">
        <f aca="false">CG38*0.4</f>
        <v>51.84</v>
      </c>
      <c r="CI38" s="57" t="n">
        <f aca="false">(CG38-CH38)*$CI$2</f>
        <v>2075.810976</v>
      </c>
    </row>
    <row r="39" customFormat="false" ht="15.75" hidden="false" customHeight="true" outlineLevel="0" collapsed="false">
      <c r="A39" s="41" t="s">
        <v>349</v>
      </c>
      <c r="B39" s="71" t="s">
        <v>350</v>
      </c>
      <c r="C39" s="43" t="s">
        <v>351</v>
      </c>
      <c r="D39" s="43"/>
      <c r="E39" s="44" t="n">
        <f aca="false">E38</f>
        <v>45747</v>
      </c>
      <c r="F39" s="43" t="s">
        <v>94</v>
      </c>
      <c r="G39" s="43" t="s">
        <v>159</v>
      </c>
      <c r="H39" s="43" t="s">
        <v>160</v>
      </c>
      <c r="I39" s="43" t="s">
        <v>330</v>
      </c>
      <c r="J39" s="47" t="n">
        <f aca="false">AO39/AQ39</f>
        <v>0.439435406992835</v>
      </c>
      <c r="K39" s="45" t="str">
        <f aca="false">K38</f>
        <v>3/2025</v>
      </c>
      <c r="L39" s="66" t="n">
        <v>208</v>
      </c>
      <c r="M39" s="47" t="n">
        <v>1.62</v>
      </c>
      <c r="N39" s="47" t="n">
        <v>25</v>
      </c>
      <c r="O39" s="47"/>
      <c r="P39" s="48" t="n">
        <f aca="false">L39*M39</f>
        <v>336.96</v>
      </c>
      <c r="Q39" s="48" t="n">
        <f aca="false">P39*$Q$1</f>
        <v>8995.180896</v>
      </c>
      <c r="R39" s="48"/>
      <c r="S39" s="48" t="n">
        <f aca="false">P39*0.3*$S$1*0.5</f>
        <v>1349.2771344</v>
      </c>
      <c r="T39" s="48" t="n">
        <f aca="false">N39*M39*8*0.05</f>
        <v>16.2</v>
      </c>
      <c r="U39" s="48" t="n">
        <f aca="false">O39*M39*0.1</f>
        <v>0</v>
      </c>
      <c r="V39" s="48"/>
      <c r="W39" s="48" t="n">
        <f aca="false">Y39*M39*2</f>
        <v>0</v>
      </c>
      <c r="X39" s="48" t="n">
        <f aca="false">Z39*M39*1.5</f>
        <v>0</v>
      </c>
      <c r="Y39" s="48"/>
      <c r="Z39" s="48"/>
      <c r="AA39" s="48" t="n">
        <f aca="false">CD39</f>
        <v>2.5</v>
      </c>
      <c r="AB39" s="48"/>
      <c r="AC39" s="48" t="n">
        <f aca="false">M39*8*AA39</f>
        <v>32.4</v>
      </c>
      <c r="AD39" s="48"/>
      <c r="AE39" s="48" t="n">
        <f aca="false">AO39/AQ39</f>
        <v>0.439435406992835</v>
      </c>
      <c r="AF39" s="48" t="n">
        <f aca="false">P39+R39+T39+U39+V39+W39+X39+AB39+AC39+AD39</f>
        <v>385.56</v>
      </c>
      <c r="AG39" s="48" t="n">
        <f aca="false">AF39*0.5</f>
        <v>192.78</v>
      </c>
      <c r="AH39" s="48" t="n">
        <f aca="false">(AF39-AG39)*$AH$1+S39</f>
        <v>6495.5585124</v>
      </c>
      <c r="AI39" s="52" t="n">
        <f aca="false">IF(Q39&gt;18519.27,0.045*18519.27,Q39*0.045)</f>
        <v>404.78314032</v>
      </c>
      <c r="AJ39" s="48" t="n">
        <f aca="false">(AI39*0.5)/$AQ$1</f>
        <v>7.5816</v>
      </c>
      <c r="AK39" s="48" t="n">
        <f aca="false">(AI39*0.4)</f>
        <v>161.913256128</v>
      </c>
      <c r="AL39" s="4"/>
      <c r="AM39" s="48" t="n">
        <f aca="false">Q39*0.003</f>
        <v>26.985542688</v>
      </c>
      <c r="AN39" s="48" t="n">
        <v>0</v>
      </c>
      <c r="AO39" s="48" t="n">
        <f aca="false">AG39-AN39-AJ39</f>
        <v>185.1984</v>
      </c>
      <c r="AP39" s="48" t="n">
        <f aca="false">AH39-AK39-AL39-AM39-BB39</f>
        <v>6306.659713584</v>
      </c>
      <c r="AQ39" s="48" t="n">
        <f aca="false">AO39+(AP39/$AQ$1)</f>
        <v>421.44624</v>
      </c>
      <c r="AR39" s="48" t="n">
        <f aca="false">BT39</f>
        <v>70.36156</v>
      </c>
      <c r="AS39" s="48" t="n">
        <v>0</v>
      </c>
      <c r="AT39" s="69" t="n">
        <f aca="false">AR39-AS39</f>
        <v>70.36156</v>
      </c>
      <c r="AU39" s="69" t="n">
        <f aca="false">AT39*AE39</f>
        <v>30.9193607552508</v>
      </c>
      <c r="AV39" s="69" t="n">
        <f aca="false">AU39*0.03</f>
        <v>0.927580822657523</v>
      </c>
      <c r="AW39" s="69" t="n">
        <f aca="false">(AT39-AU39)*$AQ$1</f>
        <v>1052.91345305851</v>
      </c>
      <c r="AX39" s="69" t="n">
        <f aca="false">AW39*0.03</f>
        <v>31.5874035917551</v>
      </c>
      <c r="AY39" s="69" t="n">
        <f aca="false">AO39-AU39-AV39</f>
        <v>153.351458422092</v>
      </c>
      <c r="AZ39" s="69" t="n">
        <f aca="false">AP39-AW39-AX39</f>
        <v>5222.15885693374</v>
      </c>
      <c r="BA39" s="69"/>
      <c r="BB39" s="48" t="n">
        <v>0</v>
      </c>
      <c r="BC39" s="69"/>
      <c r="BD39" s="4"/>
      <c r="BE39" s="4"/>
      <c r="BF39" s="4"/>
      <c r="BG39" s="4"/>
      <c r="BH39" s="4"/>
      <c r="BI39" s="48"/>
      <c r="BJ39" s="48"/>
      <c r="BK39" s="48"/>
      <c r="BL39" s="48" t="n">
        <f aca="false">AY39-BI39-BG39-BH39-BD39+BJ39</f>
        <v>153.351458422092</v>
      </c>
      <c r="BM39" s="48" t="n">
        <f aca="false">AZ39-BA39-BC39-BE39-BF39+BK39</f>
        <v>5222.15885693374</v>
      </c>
      <c r="BN39" s="48" t="n">
        <f aca="false">IF(AQ39&lt;100,0,0)</f>
        <v>0</v>
      </c>
      <c r="BO39" s="48" t="n">
        <f aca="false">IF(AQ39&lt;100,"",IF(AQ39&lt;=300,AQ39*0.2-20,))</f>
        <v>0</v>
      </c>
      <c r="BP39" s="48" t="n">
        <f aca="false">IF(AQ39&lt;300.01,"",IF(AQ39&lt;=1000,AQ39*0.25-35,))</f>
        <v>70.36156</v>
      </c>
      <c r="BQ39" s="48" t="str">
        <f aca="false">IF(AQ39&lt;1000.01,"",IF(AQ39&lt;=2000,AQ39*0.3-85,))</f>
        <v/>
      </c>
      <c r="BR39" s="48" t="str">
        <f aca="false">IF(AQ39&lt;2000.01,"",IF(AQ39&lt;=3000,AQ39*0.35-185,))</f>
        <v/>
      </c>
      <c r="BS39" s="48" t="str">
        <f aca="false">IF(AQ39&lt;3000.01,"",IF(AQ39&gt;3000,AQ39*0.4-335,))</f>
        <v/>
      </c>
      <c r="BT39" s="55" t="n">
        <f aca="false">SUM(BN39:BS39)</f>
        <v>70.36156</v>
      </c>
      <c r="BU39" s="74" t="s">
        <v>99</v>
      </c>
      <c r="BV39" s="74" t="s">
        <v>100</v>
      </c>
      <c r="BW39" s="1" t="s">
        <v>352</v>
      </c>
      <c r="BX39" s="74" t="s">
        <v>99</v>
      </c>
      <c r="BY39" s="74" t="s">
        <v>100</v>
      </c>
      <c r="BZ39" s="74" t="s">
        <v>353</v>
      </c>
      <c r="CA39" s="41" t="n">
        <v>0</v>
      </c>
      <c r="CB39" s="81" t="n">
        <v>2.5</v>
      </c>
      <c r="CC39" s="81"/>
      <c r="CD39" s="81" t="n">
        <v>2.5</v>
      </c>
      <c r="CE39" s="41" t="n">
        <f aca="false">CA39+CB39-CC39-CD39</f>
        <v>0</v>
      </c>
      <c r="CF39" s="57" t="n">
        <f aca="false">M39*8</f>
        <v>12.96</v>
      </c>
      <c r="CG39" s="57" t="n">
        <f aca="false">CE39*CF39</f>
        <v>0</v>
      </c>
      <c r="CH39" s="57" t="n">
        <f aca="false">CG39*0.4</f>
        <v>0</v>
      </c>
      <c r="CI39" s="57" t="n">
        <f aca="false">(CG39-CH39)*$CI$2</f>
        <v>0</v>
      </c>
    </row>
    <row r="40" customFormat="false" ht="15.75" hidden="false" customHeight="true" outlineLevel="0" collapsed="false">
      <c r="A40" s="41" t="s">
        <v>354</v>
      </c>
      <c r="B40" s="71" t="s">
        <v>185</v>
      </c>
      <c r="C40" s="43" t="s">
        <v>355</v>
      </c>
      <c r="D40" s="43"/>
      <c r="E40" s="44" t="n">
        <f aca="false">E39</f>
        <v>45747</v>
      </c>
      <c r="F40" s="43" t="s">
        <v>94</v>
      </c>
      <c r="G40" s="43" t="s">
        <v>159</v>
      </c>
      <c r="H40" s="43" t="s">
        <v>160</v>
      </c>
      <c r="I40" s="43" t="s">
        <v>330</v>
      </c>
      <c r="J40" s="47" t="n">
        <f aca="false">AO40/AQ40</f>
        <v>0.439435406992835</v>
      </c>
      <c r="K40" s="45" t="str">
        <f aca="false">K39</f>
        <v>3/2025</v>
      </c>
      <c r="L40" s="66" t="n">
        <v>208</v>
      </c>
      <c r="M40" s="47" t="n">
        <v>1.62</v>
      </c>
      <c r="N40" s="47" t="n">
        <v>25</v>
      </c>
      <c r="O40" s="47"/>
      <c r="P40" s="48" t="n">
        <f aca="false">L40*M40</f>
        <v>336.96</v>
      </c>
      <c r="Q40" s="48" t="n">
        <f aca="false">P40*$Q$1</f>
        <v>8995.180896</v>
      </c>
      <c r="R40" s="48"/>
      <c r="S40" s="48" t="n">
        <f aca="false">P40*0.3*$S$1*0.5</f>
        <v>1349.2771344</v>
      </c>
      <c r="T40" s="48" t="n">
        <f aca="false">N40*M40*8*0.05</f>
        <v>16.2</v>
      </c>
      <c r="U40" s="48" t="n">
        <f aca="false">O40*M40*0.1</f>
        <v>0</v>
      </c>
      <c r="V40" s="48"/>
      <c r="W40" s="48" t="n">
        <f aca="false">Y40*M40*2</f>
        <v>0</v>
      </c>
      <c r="X40" s="48" t="n">
        <f aca="false">Z40*M40*1.5</f>
        <v>0</v>
      </c>
      <c r="Y40" s="48"/>
      <c r="Z40" s="48"/>
      <c r="AA40" s="48" t="n">
        <f aca="false">CD40</f>
        <v>2.5</v>
      </c>
      <c r="AB40" s="48"/>
      <c r="AC40" s="48" t="n">
        <f aca="false">M40*8*AA40</f>
        <v>32.4</v>
      </c>
      <c r="AD40" s="48"/>
      <c r="AE40" s="48" t="n">
        <f aca="false">AO40/AQ40</f>
        <v>0.439435406992835</v>
      </c>
      <c r="AF40" s="48" t="n">
        <f aca="false">P40+R40+T40+U40+V40+W40+X40+AB40+AC40+AD40</f>
        <v>385.56</v>
      </c>
      <c r="AG40" s="48" t="n">
        <f aca="false">AF40*0.5</f>
        <v>192.78</v>
      </c>
      <c r="AH40" s="48" t="n">
        <f aca="false">(AF40-AG40)*$AH$1+S40</f>
        <v>6495.5585124</v>
      </c>
      <c r="AI40" s="52" t="n">
        <f aca="false">IF(Q40&gt;18519.27,0.045*18519.27,Q40*0.045)</f>
        <v>404.78314032</v>
      </c>
      <c r="AJ40" s="48" t="n">
        <f aca="false">(AI40*0.5)/$AQ$1</f>
        <v>7.5816</v>
      </c>
      <c r="AK40" s="48" t="n">
        <f aca="false">(AI40*0.4)</f>
        <v>161.913256128</v>
      </c>
      <c r="AL40" s="4"/>
      <c r="AM40" s="48" t="n">
        <f aca="false">Q40*0.003</f>
        <v>26.985542688</v>
      </c>
      <c r="AN40" s="48" t="n">
        <v>0</v>
      </c>
      <c r="AO40" s="48" t="n">
        <f aca="false">AG40-AN40-AJ40</f>
        <v>185.1984</v>
      </c>
      <c r="AP40" s="48" t="n">
        <f aca="false">AH40-AK40-AL40-AM40-BB40</f>
        <v>6306.659713584</v>
      </c>
      <c r="AQ40" s="48" t="n">
        <f aca="false">AO40+(AP40/$AQ$1)</f>
        <v>421.44624</v>
      </c>
      <c r="AR40" s="48" t="n">
        <f aca="false">BT40</f>
        <v>70.36156</v>
      </c>
      <c r="AS40" s="48" t="n">
        <v>0</v>
      </c>
      <c r="AT40" s="69" t="n">
        <f aca="false">AR40-AS40</f>
        <v>70.36156</v>
      </c>
      <c r="AU40" s="69" t="n">
        <f aca="false">AT40*AE40</f>
        <v>30.9193607552508</v>
      </c>
      <c r="AV40" s="69" t="n">
        <f aca="false">AU40*0.03</f>
        <v>0.927580822657523</v>
      </c>
      <c r="AW40" s="69" t="n">
        <f aca="false">(AT40-AU40)*$AQ$1</f>
        <v>1052.91345305851</v>
      </c>
      <c r="AX40" s="69" t="n">
        <f aca="false">AW40*0.03</f>
        <v>31.5874035917551</v>
      </c>
      <c r="AY40" s="69" t="n">
        <f aca="false">AO40-AU40-AV40</f>
        <v>153.351458422092</v>
      </c>
      <c r="AZ40" s="69" t="n">
        <f aca="false">AP40-AW40-AX40</f>
        <v>5222.15885693374</v>
      </c>
      <c r="BA40" s="69"/>
      <c r="BB40" s="48" t="n">
        <v>0</v>
      </c>
      <c r="BC40" s="69"/>
      <c r="BD40" s="4"/>
      <c r="BE40" s="4"/>
      <c r="BF40" s="4"/>
      <c r="BG40" s="4"/>
      <c r="BH40" s="4"/>
      <c r="BI40" s="48"/>
      <c r="BJ40" s="48"/>
      <c r="BK40" s="48"/>
      <c r="BL40" s="48" t="n">
        <f aca="false">AY40-BI40-BG40-BH40-BD40+BJ40</f>
        <v>153.351458422092</v>
      </c>
      <c r="BM40" s="48" t="n">
        <f aca="false">AZ40-BA40-BC40-BE40-BF40+BK40</f>
        <v>5222.15885693374</v>
      </c>
      <c r="BN40" s="48" t="n">
        <f aca="false">IF(AQ40&lt;100,0,0)</f>
        <v>0</v>
      </c>
      <c r="BO40" s="48" t="n">
        <f aca="false">IF(AQ40&lt;100,"",IF(AQ40&lt;=300,AQ40*0.2-20,))</f>
        <v>0</v>
      </c>
      <c r="BP40" s="48" t="n">
        <f aca="false">IF(AQ40&lt;300.01,"",IF(AQ40&lt;=1000,AQ40*0.25-35,))</f>
        <v>70.36156</v>
      </c>
      <c r="BQ40" s="48" t="str">
        <f aca="false">IF(AQ40&lt;1000.01,"",IF(AQ40&lt;=2000,AQ40*0.3-85,))</f>
        <v/>
      </c>
      <c r="BR40" s="48" t="str">
        <f aca="false">IF(AQ40&lt;2000.01,"",IF(AQ40&lt;=3000,AQ40*0.35-185,))</f>
        <v/>
      </c>
      <c r="BS40" s="48" t="str">
        <f aca="false">IF(AQ40&lt;3000.01,"",IF(AQ40&gt;3000,AQ40*0.4-335,))</f>
        <v/>
      </c>
      <c r="BT40" s="55" t="n">
        <f aca="false">SUM(BN40:BS40)</f>
        <v>70.36156</v>
      </c>
      <c r="BU40" s="74" t="s">
        <v>99</v>
      </c>
      <c r="BV40" s="74" t="s">
        <v>118</v>
      </c>
      <c r="BW40" s="1" t="s">
        <v>356</v>
      </c>
      <c r="BX40" s="74" t="s">
        <v>99</v>
      </c>
      <c r="BY40" s="74" t="s">
        <v>118</v>
      </c>
      <c r="BZ40" s="74" t="s">
        <v>357</v>
      </c>
      <c r="CA40" s="41" t="n">
        <v>0</v>
      </c>
      <c r="CB40" s="81" t="n">
        <v>2.5</v>
      </c>
      <c r="CC40" s="81"/>
      <c r="CD40" s="81" t="n">
        <v>2.5</v>
      </c>
      <c r="CE40" s="41" t="n">
        <f aca="false">CA40+CB40-CC40-CD40</f>
        <v>0</v>
      </c>
      <c r="CF40" s="57" t="n">
        <f aca="false">M40*8</f>
        <v>12.96</v>
      </c>
      <c r="CG40" s="57" t="n">
        <f aca="false">CE40*CF40</f>
        <v>0</v>
      </c>
      <c r="CH40" s="57" t="n">
        <f aca="false">CG40*0.4</f>
        <v>0</v>
      </c>
      <c r="CI40" s="57" t="n">
        <f aca="false">(CG40-CH40)*$CI$2</f>
        <v>0</v>
      </c>
    </row>
    <row r="41" customFormat="false" ht="15.75" hidden="false" customHeight="true" outlineLevel="0" collapsed="false">
      <c r="A41" s="41" t="s">
        <v>358</v>
      </c>
      <c r="B41" s="71" t="s">
        <v>359</v>
      </c>
      <c r="C41" s="43" t="s">
        <v>360</v>
      </c>
      <c r="D41" s="43"/>
      <c r="E41" s="44" t="n">
        <f aca="false">E40</f>
        <v>45747</v>
      </c>
      <c r="F41" s="43" t="s">
        <v>94</v>
      </c>
      <c r="G41" s="43" t="s">
        <v>159</v>
      </c>
      <c r="H41" s="43" t="s">
        <v>160</v>
      </c>
      <c r="I41" s="43" t="s">
        <v>330</v>
      </c>
      <c r="J41" s="47" t="n">
        <f aca="false">AO41/AQ41</f>
        <v>0.439617377441212</v>
      </c>
      <c r="K41" s="45" t="str">
        <f aca="false">K40</f>
        <v>3/2025</v>
      </c>
      <c r="L41" s="66" t="n">
        <v>200</v>
      </c>
      <c r="M41" s="47" t="n">
        <v>1.62</v>
      </c>
      <c r="N41" s="47" t="n">
        <v>24</v>
      </c>
      <c r="O41" s="47"/>
      <c r="P41" s="48" t="n">
        <f aca="false">L41*M41</f>
        <v>324</v>
      </c>
      <c r="Q41" s="48" t="n">
        <f aca="false">P41*$Q$1</f>
        <v>8649.2124</v>
      </c>
      <c r="R41" s="48"/>
      <c r="S41" s="48" t="n">
        <f aca="false">P41*0.3*$S$1*0.5</f>
        <v>1297.38186</v>
      </c>
      <c r="T41" s="48" t="n">
        <f aca="false">N41*M41*8*0.05</f>
        <v>15.552</v>
      </c>
      <c r="U41" s="48" t="n">
        <f aca="false">O41*M41*0.1</f>
        <v>0</v>
      </c>
      <c r="V41" s="48"/>
      <c r="W41" s="48" t="n">
        <f aca="false">Y41*M41*2</f>
        <v>0</v>
      </c>
      <c r="X41" s="48" t="n">
        <f aca="false">Z41*M41*1.5</f>
        <v>0</v>
      </c>
      <c r="Y41" s="48"/>
      <c r="Z41" s="48"/>
      <c r="AA41" s="48" t="n">
        <f aca="false">CD41</f>
        <v>2.5</v>
      </c>
      <c r="AB41" s="48"/>
      <c r="AC41" s="48" t="n">
        <f aca="false">M41*8*AA41</f>
        <v>32.4</v>
      </c>
      <c r="AD41" s="48"/>
      <c r="AE41" s="48" t="n">
        <f aca="false">AO41/AQ41</f>
        <v>0.439617377441212</v>
      </c>
      <c r="AF41" s="48" t="n">
        <f aca="false">P41+R41+T41+U41+V41+W41+X41+AB41+AC41+AD41</f>
        <v>371.952</v>
      </c>
      <c r="AG41" s="48" t="n">
        <f aca="false">AF41*0.5</f>
        <v>185.976</v>
      </c>
      <c r="AH41" s="48" t="n">
        <f aca="false">(AF41-AG41)*$AH$1+S41</f>
        <v>6262.0297776</v>
      </c>
      <c r="AI41" s="52" t="n">
        <f aca="false">IF(Q41&gt;18519.27,0.045*18519.27,Q41*0.045)</f>
        <v>389.214558</v>
      </c>
      <c r="AJ41" s="48" t="n">
        <f aca="false">(AI41*0.5)/$AQ$1</f>
        <v>7.29</v>
      </c>
      <c r="AK41" s="48" t="n">
        <f aca="false">(AI41*0.4)</f>
        <v>155.6858232</v>
      </c>
      <c r="AL41" s="4"/>
      <c r="AM41" s="48" t="n">
        <f aca="false">Q41*0.003</f>
        <v>25.9476372</v>
      </c>
      <c r="AN41" s="48" t="n">
        <v>0</v>
      </c>
      <c r="AO41" s="48" t="n">
        <f aca="false">AG41-AN41-AJ41</f>
        <v>178.686</v>
      </c>
      <c r="AP41" s="48" t="n">
        <f aca="false">AH41-AK41-AL41-AM41-BB41</f>
        <v>6080.3963172</v>
      </c>
      <c r="AQ41" s="48" t="n">
        <f aca="false">AO41+(AP41/$AQ$1)</f>
        <v>406.458</v>
      </c>
      <c r="AR41" s="48" t="n">
        <f aca="false">BT41</f>
        <v>66.6145</v>
      </c>
      <c r="AS41" s="48" t="n">
        <v>0</v>
      </c>
      <c r="AT41" s="69" t="n">
        <f aca="false">AR41-AS41</f>
        <v>66.6145</v>
      </c>
      <c r="AU41" s="69" t="n">
        <f aca="false">AT41*AE41</f>
        <v>29.2848917895576</v>
      </c>
      <c r="AV41" s="69" t="n">
        <f aca="false">AU41*0.03</f>
        <v>0.878546753686728</v>
      </c>
      <c r="AW41" s="69" t="n">
        <f aca="false">(AT41-AU41)*$AQ$1</f>
        <v>996.517624138581</v>
      </c>
      <c r="AX41" s="69" t="n">
        <f aca="false">AW41*0.03</f>
        <v>29.8955287241574</v>
      </c>
      <c r="AY41" s="69" t="n">
        <f aca="false">AO41-AU41-AV41</f>
        <v>148.522561456756</v>
      </c>
      <c r="AZ41" s="69" t="n">
        <f aca="false">AP41-AW41-AX41</f>
        <v>5053.98316433726</v>
      </c>
      <c r="BA41" s="69"/>
      <c r="BB41" s="48" t="n">
        <v>0</v>
      </c>
      <c r="BC41" s="69"/>
      <c r="BD41" s="4"/>
      <c r="BE41" s="4"/>
      <c r="BF41" s="4"/>
      <c r="BG41" s="4"/>
      <c r="BH41" s="4"/>
      <c r="BI41" s="48" t="n">
        <v>12.5</v>
      </c>
      <c r="BJ41" s="48"/>
      <c r="BK41" s="48"/>
      <c r="BL41" s="48" t="n">
        <f aca="false">AY41-BI41-BG41-BH41-BD41+BJ41</f>
        <v>136.022561456756</v>
      </c>
      <c r="BM41" s="48" t="n">
        <f aca="false">AZ41-BA41-BC41-BE41-BF41+BK41</f>
        <v>5053.98316433726</v>
      </c>
      <c r="BN41" s="48" t="n">
        <f aca="false">IF(AQ41&lt;100,0,0)</f>
        <v>0</v>
      </c>
      <c r="BO41" s="48" t="n">
        <f aca="false">IF(AQ41&lt;100,"",IF(AQ41&lt;=300,AQ41*0.2-20,))</f>
        <v>0</v>
      </c>
      <c r="BP41" s="48" t="n">
        <f aca="false">IF(AQ41&lt;300.01,"",IF(AQ41&lt;=1000,AQ41*0.25-35,))</f>
        <v>66.6145</v>
      </c>
      <c r="BQ41" s="48" t="str">
        <f aca="false">IF(AQ41&lt;1000.01,"",IF(AQ41&lt;=2000,AQ41*0.3-85,))</f>
        <v/>
      </c>
      <c r="BR41" s="48" t="str">
        <f aca="false">IF(AQ41&lt;2000.01,"",IF(AQ41&lt;=3000,AQ41*0.35-185,))</f>
        <v/>
      </c>
      <c r="BS41" s="48" t="str">
        <f aca="false">IF(AQ41&lt;3000.01,"",IF(AQ41&gt;3000,AQ41*0.4-335,))</f>
        <v/>
      </c>
      <c r="BT41" s="55" t="n">
        <f aca="false">SUM(BN41:BS41)</f>
        <v>66.6145</v>
      </c>
      <c r="BU41" s="74" t="s">
        <v>99</v>
      </c>
      <c r="BV41" s="74" t="s">
        <v>100</v>
      </c>
      <c r="BW41" s="1" t="s">
        <v>361</v>
      </c>
      <c r="BX41" s="74" t="s">
        <v>99</v>
      </c>
      <c r="BY41" s="74" t="s">
        <v>100</v>
      </c>
      <c r="BZ41" s="74" t="s">
        <v>362</v>
      </c>
      <c r="CA41" s="41" t="n">
        <v>0</v>
      </c>
      <c r="CB41" s="81" t="n">
        <v>2.5</v>
      </c>
      <c r="CC41" s="81"/>
      <c r="CD41" s="81" t="n">
        <v>2.5</v>
      </c>
      <c r="CE41" s="41" t="n">
        <f aca="false">CA41+CB41-CC41-CD41</f>
        <v>0</v>
      </c>
      <c r="CF41" s="57" t="n">
        <f aca="false">M41*8</f>
        <v>12.96</v>
      </c>
      <c r="CG41" s="57" t="n">
        <f aca="false">CE41*CF41</f>
        <v>0</v>
      </c>
      <c r="CH41" s="57" t="n">
        <f aca="false">CG41*0.4</f>
        <v>0</v>
      </c>
      <c r="CI41" s="57" t="n">
        <f aca="false">(CG41-CH41)*$CI$2</f>
        <v>0</v>
      </c>
    </row>
    <row r="42" customFormat="false" ht="15.75" hidden="false" customHeight="true" outlineLevel="0" collapsed="false">
      <c r="A42" s="41" t="s">
        <v>363</v>
      </c>
      <c r="B42" s="71" t="s">
        <v>364</v>
      </c>
      <c r="C42" s="43" t="s">
        <v>365</v>
      </c>
      <c r="D42" s="43"/>
      <c r="E42" s="44" t="n">
        <f aca="false">E41</f>
        <v>45747</v>
      </c>
      <c r="F42" s="43" t="s">
        <v>94</v>
      </c>
      <c r="G42" s="43" t="s">
        <v>159</v>
      </c>
      <c r="H42" s="43" t="s">
        <v>160</v>
      </c>
      <c r="I42" s="43" t="s">
        <v>330</v>
      </c>
      <c r="J42" s="47" t="n">
        <f aca="false">AO42/AQ42</f>
        <v>0.442606389695669</v>
      </c>
      <c r="K42" s="45" t="str">
        <f aca="false">K41</f>
        <v>3/2025</v>
      </c>
      <c r="L42" s="66" t="n">
        <v>120</v>
      </c>
      <c r="M42" s="47" t="n">
        <v>1.62</v>
      </c>
      <c r="N42" s="47" t="n">
        <v>14</v>
      </c>
      <c r="O42" s="47"/>
      <c r="P42" s="48" t="n">
        <f aca="false">L42*M42</f>
        <v>194.4</v>
      </c>
      <c r="Q42" s="48" t="n">
        <f aca="false">P42*$Q$1</f>
        <v>5189.52744</v>
      </c>
      <c r="R42" s="48"/>
      <c r="S42" s="48" t="n">
        <f aca="false">P42*0.3*$S$1*0.5</f>
        <v>778.429116</v>
      </c>
      <c r="T42" s="48" t="n">
        <f aca="false">N42*M42*8*0.05</f>
        <v>9.072</v>
      </c>
      <c r="U42" s="48" t="n">
        <f aca="false">O42*M42*0.1</f>
        <v>0</v>
      </c>
      <c r="V42" s="48"/>
      <c r="W42" s="48" t="n">
        <f aca="false">Y42*M42*2</f>
        <v>0</v>
      </c>
      <c r="X42" s="48" t="n">
        <f aca="false">Z42*M42*1.5</f>
        <v>0</v>
      </c>
      <c r="Y42" s="48"/>
      <c r="Z42" s="48"/>
      <c r="AA42" s="48" t="n">
        <f aca="false">CD42</f>
        <v>2.5</v>
      </c>
      <c r="AB42" s="48"/>
      <c r="AC42" s="48" t="n">
        <f aca="false">M42*8*AA42</f>
        <v>32.4</v>
      </c>
      <c r="AD42" s="48"/>
      <c r="AE42" s="48" t="n">
        <f aca="false">AO42/AQ42</f>
        <v>0.442606389695669</v>
      </c>
      <c r="AF42" s="48" t="n">
        <f aca="false">P42+R42+T42+U42+V42+W42+X42+AB42+AC42+AD42</f>
        <v>235.872</v>
      </c>
      <c r="AG42" s="48" t="n">
        <f aca="false">AF42*0.5</f>
        <v>117.936</v>
      </c>
      <c r="AH42" s="48" t="n">
        <f aca="false">(AF42-AG42)*$AH$1+S42</f>
        <v>3926.7424296</v>
      </c>
      <c r="AI42" s="52" t="n">
        <f aca="false">IF(Q42&gt;18519.27,0.045*18519.27,Q42*0.045)</f>
        <v>233.5287348</v>
      </c>
      <c r="AJ42" s="48" t="n">
        <f aca="false">(AI42*0.5)/$AQ$1</f>
        <v>4.374</v>
      </c>
      <c r="AK42" s="48" t="n">
        <f aca="false">(AI42*0.4)</f>
        <v>93.41149392</v>
      </c>
      <c r="AL42" s="4"/>
      <c r="AM42" s="48" t="n">
        <f aca="false">Q42*0.003</f>
        <v>15.56858232</v>
      </c>
      <c r="AN42" s="48" t="n">
        <v>0</v>
      </c>
      <c r="AO42" s="48" t="n">
        <f aca="false">AG42-AN42-AJ42</f>
        <v>113.562</v>
      </c>
      <c r="AP42" s="48" t="n">
        <f aca="false">AH42-AK42-AL42-AM42-BB42</f>
        <v>3817.76235336</v>
      </c>
      <c r="AQ42" s="48" t="n">
        <f aca="false">AO42+(AP42/$AQ$1)</f>
        <v>256.5756</v>
      </c>
      <c r="AR42" s="48" t="n">
        <f aca="false">BT42</f>
        <v>31.31512</v>
      </c>
      <c r="AS42" s="48" t="n">
        <v>0</v>
      </c>
      <c r="AT42" s="69" t="n">
        <f aca="false">AR42-AS42</f>
        <v>31.31512</v>
      </c>
      <c r="AU42" s="69" t="n">
        <f aca="false">AT42*AE42</f>
        <v>13.8602722060866</v>
      </c>
      <c r="AV42" s="69" t="n">
        <f aca="false">AU42*0.03</f>
        <v>0.415808166182599</v>
      </c>
      <c r="AW42" s="69" t="n">
        <f aca="false">(AT42-AU42)*$AQ$1</f>
        <v>465.958907343297</v>
      </c>
      <c r="AX42" s="69" t="n">
        <f aca="false">AW42*0.03</f>
        <v>13.9787672202989</v>
      </c>
      <c r="AY42" s="69" t="n">
        <f aca="false">AO42-AU42-AV42</f>
        <v>99.2859196277308</v>
      </c>
      <c r="AZ42" s="69" t="n">
        <f aca="false">AP42-AW42-AX42</f>
        <v>3337.8246787964</v>
      </c>
      <c r="BA42" s="69"/>
      <c r="BB42" s="48" t="n">
        <v>0</v>
      </c>
      <c r="BC42" s="69"/>
      <c r="BD42" s="4"/>
      <c r="BE42" s="4"/>
      <c r="BF42" s="4"/>
      <c r="BG42" s="4"/>
      <c r="BH42" s="4"/>
      <c r="BI42" s="48"/>
      <c r="BJ42" s="48"/>
      <c r="BK42" s="48"/>
      <c r="BL42" s="48" t="n">
        <f aca="false">AY42-BI42-BG42-BH42-BD42+BJ42</f>
        <v>99.2859196277308</v>
      </c>
      <c r="BM42" s="48" t="n">
        <f aca="false">AZ42-BA42-BC42-BE42-BF42+BK42</f>
        <v>3337.8246787964</v>
      </c>
      <c r="BN42" s="48" t="n">
        <f aca="false">IF(AQ42&lt;100,0,0)</f>
        <v>0</v>
      </c>
      <c r="BO42" s="48" t="n">
        <f aca="false">IF(AQ42&lt;100,"",IF(AQ42&lt;=300,AQ42*0.2-20,))</f>
        <v>31.31512</v>
      </c>
      <c r="BP42" s="48" t="str">
        <f aca="false">IF(AQ42&lt;300.01,"",IF(AQ42&lt;=1000,AQ42*0.25-35,))</f>
        <v/>
      </c>
      <c r="BQ42" s="48" t="str">
        <f aca="false">IF(AQ42&lt;1000.01,"",IF(AQ42&lt;=2000,AQ42*0.3-85,))</f>
        <v/>
      </c>
      <c r="BR42" s="48" t="str">
        <f aca="false">IF(AQ42&lt;2000.01,"",IF(AQ42&lt;=3000,AQ42*0.35-185,))</f>
        <v/>
      </c>
      <c r="BS42" s="48" t="str">
        <f aca="false">IF(AQ42&lt;3000.01,"",IF(AQ42&gt;3000,AQ42*0.4-335,))</f>
        <v/>
      </c>
      <c r="BT42" s="55" t="n">
        <f aca="false">SUM(BN42:BS42)</f>
        <v>31.31512</v>
      </c>
      <c r="BU42" s="74" t="s">
        <v>99</v>
      </c>
      <c r="BV42" s="74" t="s">
        <v>100</v>
      </c>
      <c r="BW42" s="1" t="s">
        <v>366</v>
      </c>
      <c r="BX42" s="74" t="s">
        <v>99</v>
      </c>
      <c r="BY42" s="74" t="s">
        <v>100</v>
      </c>
      <c r="BZ42" s="74" t="s">
        <v>367</v>
      </c>
      <c r="CA42" s="41" t="n">
        <v>0</v>
      </c>
      <c r="CB42" s="81" t="n">
        <v>2.5</v>
      </c>
      <c r="CC42" s="81"/>
      <c r="CD42" s="81" t="n">
        <v>2.5</v>
      </c>
      <c r="CE42" s="41" t="n">
        <f aca="false">CA42+CB42-CC42-CD42</f>
        <v>0</v>
      </c>
      <c r="CF42" s="57" t="n">
        <f aca="false">M42*8</f>
        <v>12.96</v>
      </c>
      <c r="CG42" s="57" t="n">
        <f aca="false">CE42*CF42</f>
        <v>0</v>
      </c>
      <c r="CH42" s="57" t="n">
        <f aca="false">CG42*0.4</f>
        <v>0</v>
      </c>
      <c r="CI42" s="57" t="n">
        <f aca="false">(CG42-CH42)*$CI$2</f>
        <v>0</v>
      </c>
    </row>
    <row r="43" customFormat="false" ht="15.75" hidden="false" customHeight="true" outlineLevel="0" collapsed="false">
      <c r="A43" s="41" t="s">
        <v>368</v>
      </c>
      <c r="B43" s="71" t="s">
        <v>369</v>
      </c>
      <c r="C43" s="43" t="s">
        <v>172</v>
      </c>
      <c r="D43" s="43"/>
      <c r="E43" s="44" t="n">
        <f aca="false">E42</f>
        <v>45747</v>
      </c>
      <c r="F43" s="43" t="s">
        <v>94</v>
      </c>
      <c r="G43" s="43" t="s">
        <v>159</v>
      </c>
      <c r="H43" s="43" t="s">
        <v>275</v>
      </c>
      <c r="I43" s="43" t="s">
        <v>330</v>
      </c>
      <c r="J43" s="47" t="n">
        <f aca="false">AO43/AQ43</f>
        <v>0.439435406992835</v>
      </c>
      <c r="K43" s="45" t="str">
        <f aca="false">K42</f>
        <v>3/2025</v>
      </c>
      <c r="L43" s="66" t="n">
        <v>208</v>
      </c>
      <c r="M43" s="47" t="n">
        <v>1.62</v>
      </c>
      <c r="N43" s="47" t="n">
        <v>25</v>
      </c>
      <c r="O43" s="47"/>
      <c r="P43" s="48" t="n">
        <f aca="false">L43*M43</f>
        <v>336.96</v>
      </c>
      <c r="Q43" s="48" t="n">
        <f aca="false">P43*$Q$1</f>
        <v>8995.180896</v>
      </c>
      <c r="R43" s="48"/>
      <c r="S43" s="48" t="n">
        <f aca="false">P43*0.3*$S$1*0.5</f>
        <v>1349.2771344</v>
      </c>
      <c r="T43" s="48" t="n">
        <f aca="false">N43*M43*8*0.05</f>
        <v>16.2</v>
      </c>
      <c r="U43" s="48" t="n">
        <f aca="false">O43*M43*0.1</f>
        <v>0</v>
      </c>
      <c r="V43" s="48"/>
      <c r="W43" s="48" t="n">
        <f aca="false">Y43*M43*2</f>
        <v>0</v>
      </c>
      <c r="X43" s="48" t="n">
        <f aca="false">Z43*M43*1.5</f>
        <v>0</v>
      </c>
      <c r="Y43" s="48"/>
      <c r="Z43" s="48"/>
      <c r="AA43" s="48" t="n">
        <f aca="false">CD43</f>
        <v>2.5</v>
      </c>
      <c r="AB43" s="48"/>
      <c r="AC43" s="48" t="n">
        <f aca="false">M43*8*AA43</f>
        <v>32.4</v>
      </c>
      <c r="AD43" s="4"/>
      <c r="AE43" s="48" t="n">
        <f aca="false">AO43/AQ43</f>
        <v>0.439435406992835</v>
      </c>
      <c r="AF43" s="48" t="n">
        <f aca="false">P43+R43+T43+U43+V43+W43+X43+AB43+AC43+AD43</f>
        <v>385.56</v>
      </c>
      <c r="AG43" s="48" t="n">
        <f aca="false">AF43*0.5</f>
        <v>192.78</v>
      </c>
      <c r="AH43" s="48" t="n">
        <f aca="false">(AF43-AG43)*$AH$1+S43</f>
        <v>6495.5585124</v>
      </c>
      <c r="AI43" s="52" t="n">
        <f aca="false">IF(Q43&gt;18519.27,0.045*18519.27,Q43*0.045)</f>
        <v>404.78314032</v>
      </c>
      <c r="AJ43" s="48" t="n">
        <f aca="false">(AI43*0.5)/$AQ$1</f>
        <v>7.5816</v>
      </c>
      <c r="AK43" s="48" t="n">
        <f aca="false">(AI43*0.4)</f>
        <v>161.913256128</v>
      </c>
      <c r="AL43" s="4"/>
      <c r="AM43" s="48" t="n">
        <f aca="false">Q43*0.003</f>
        <v>26.985542688</v>
      </c>
      <c r="AN43" s="48" t="n">
        <v>0</v>
      </c>
      <c r="AO43" s="48" t="n">
        <f aca="false">AG43-AN43-AJ43</f>
        <v>185.1984</v>
      </c>
      <c r="AP43" s="48" t="n">
        <f aca="false">AH43-AK43-AL43-AM43-BB43</f>
        <v>6306.659713584</v>
      </c>
      <c r="AQ43" s="48" t="n">
        <f aca="false">AO43+(AP43/$AQ$1)</f>
        <v>421.44624</v>
      </c>
      <c r="AR43" s="48" t="n">
        <f aca="false">BT43</f>
        <v>70.36156</v>
      </c>
      <c r="AS43" s="48" t="n">
        <v>0</v>
      </c>
      <c r="AT43" s="69" t="n">
        <f aca="false">AR43-AS43</f>
        <v>70.36156</v>
      </c>
      <c r="AU43" s="69" t="n">
        <f aca="false">AT43*AE43</f>
        <v>30.9193607552508</v>
      </c>
      <c r="AV43" s="69" t="n">
        <f aca="false">AU43*0.03</f>
        <v>0.927580822657523</v>
      </c>
      <c r="AW43" s="69" t="n">
        <f aca="false">(AT43-AU43)*$AQ$1</f>
        <v>1052.91345305851</v>
      </c>
      <c r="AX43" s="69" t="n">
        <f aca="false">AW43*0.03</f>
        <v>31.5874035917551</v>
      </c>
      <c r="AY43" s="69" t="n">
        <f aca="false">AO43-AU43-AV43</f>
        <v>153.351458422092</v>
      </c>
      <c r="AZ43" s="69" t="n">
        <f aca="false">AP43-AW43-AX43</f>
        <v>5222.15885693374</v>
      </c>
      <c r="BA43" s="4"/>
      <c r="BB43" s="48" t="n">
        <v>0</v>
      </c>
      <c r="BC43" s="4"/>
      <c r="BD43" s="4"/>
      <c r="BE43" s="4"/>
      <c r="BF43" s="4"/>
      <c r="BG43" s="4"/>
      <c r="BH43" s="4"/>
      <c r="BI43" s="48" t="n">
        <v>12.5</v>
      </c>
      <c r="BJ43" s="48"/>
      <c r="BK43" s="48"/>
      <c r="BL43" s="48" t="n">
        <f aca="false">AY43-BI43-BG43-BH43-BD43+BJ43</f>
        <v>140.851458422092</v>
      </c>
      <c r="BM43" s="48" t="n">
        <f aca="false">AZ43-BA43-BC43-BE43-BF43+BK43</f>
        <v>5222.15885693374</v>
      </c>
      <c r="BN43" s="48" t="n">
        <f aca="false">IF(AQ43&lt;100,0,0)</f>
        <v>0</v>
      </c>
      <c r="BO43" s="48" t="n">
        <f aca="false">IF(AQ43&lt;100,"",IF(AQ43&lt;=300,AQ43*0.2-20,))</f>
        <v>0</v>
      </c>
      <c r="BP43" s="48" t="n">
        <f aca="false">IF(AQ43&lt;300.01,"",IF(AQ43&lt;=1000,AQ43*0.25-35,))</f>
        <v>70.36156</v>
      </c>
      <c r="BQ43" s="48" t="str">
        <f aca="false">IF(AQ43&lt;1000.01,"",IF(AQ43&lt;=2000,AQ43*0.3-85,))</f>
        <v/>
      </c>
      <c r="BR43" s="48" t="str">
        <f aca="false">IF(AQ43&lt;2000.01,"",IF(AQ43&lt;=3000,AQ43*0.35-185,))</f>
        <v/>
      </c>
      <c r="BS43" s="48" t="str">
        <f aca="false">IF(AQ43&lt;3000.01,"",IF(AQ43&gt;3000,AQ43*0.4-335,))</f>
        <v/>
      </c>
      <c r="BT43" s="55" t="n">
        <f aca="false">SUM(BN43:BS43)</f>
        <v>70.36156</v>
      </c>
      <c r="BU43" s="74" t="s">
        <v>99</v>
      </c>
      <c r="BV43" s="74" t="s">
        <v>100</v>
      </c>
      <c r="BW43" s="1" t="s">
        <v>370</v>
      </c>
      <c r="BX43" s="74" t="s">
        <v>99</v>
      </c>
      <c r="BY43" s="74" t="s">
        <v>100</v>
      </c>
      <c r="BZ43" s="74" t="s">
        <v>371</v>
      </c>
      <c r="CA43" s="41" t="n">
        <v>0</v>
      </c>
      <c r="CB43" s="81" t="n">
        <v>2.5</v>
      </c>
      <c r="CC43" s="81"/>
      <c r="CD43" s="81" t="n">
        <v>2.5</v>
      </c>
      <c r="CE43" s="41" t="n">
        <f aca="false">CA43+CB43-CC43-CD43</f>
        <v>0</v>
      </c>
      <c r="CF43" s="57" t="n">
        <f aca="false">M43*8</f>
        <v>12.96</v>
      </c>
      <c r="CG43" s="57" t="n">
        <f aca="false">CE43*CF43</f>
        <v>0</v>
      </c>
      <c r="CH43" s="57" t="n">
        <f aca="false">CG43*0.4</f>
        <v>0</v>
      </c>
      <c r="CI43" s="57" t="n">
        <f aca="false">(CG43-CH43)*$CI$2</f>
        <v>0</v>
      </c>
    </row>
    <row r="44" customFormat="false" ht="15.75" hidden="false" customHeight="true" outlineLevel="0" collapsed="false">
      <c r="B44" s="82"/>
      <c r="C44" s="83"/>
      <c r="D44" s="84"/>
      <c r="E44" s="85"/>
      <c r="F44" s="84"/>
      <c r="G44" s="84"/>
      <c r="H44" s="84"/>
      <c r="I44" s="84"/>
      <c r="J44" s="86"/>
      <c r="K44" s="87"/>
      <c r="L44" s="88"/>
      <c r="M44" s="86"/>
      <c r="N44" s="86"/>
      <c r="O44" s="86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89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90"/>
      <c r="AU44" s="90"/>
      <c r="AV44" s="90"/>
      <c r="AW44" s="90"/>
      <c r="AX44" s="90"/>
      <c r="AY44" s="90"/>
      <c r="AZ44" s="90"/>
      <c r="BA44" s="4"/>
      <c r="BB44" s="4"/>
      <c r="BC44" s="4"/>
      <c r="BD44" s="4"/>
      <c r="BE44" s="4"/>
      <c r="BF44" s="4"/>
      <c r="BG44" s="4"/>
      <c r="BH44" s="4"/>
      <c r="BI44" s="48"/>
      <c r="BJ44" s="48"/>
      <c r="BK44" s="48"/>
      <c r="BL44" s="48" t="n">
        <f aca="false">AY44-BI44-BG44-BH44-BD44+BJ44</f>
        <v>0</v>
      </c>
      <c r="BM44" s="48" t="n">
        <f aca="false">AZ44-BA44-BC44-BE44-BF44+BK44</f>
        <v>0</v>
      </c>
      <c r="BN44" s="48" t="n">
        <f aca="false">IF(AQ44&lt;100,0,0)</f>
        <v>0</v>
      </c>
      <c r="BO44" s="48" t="str">
        <f aca="false">IF(AQ44&lt;100,"",IF(AQ44&lt;=300,AQ44*0.2-20,))</f>
        <v/>
      </c>
      <c r="BP44" s="48" t="str">
        <f aca="false">IF(AQ44&lt;300.01,"",IF(AQ44&lt;=1000,AQ44*0.25-35,))</f>
        <v/>
      </c>
      <c r="BQ44" s="48" t="str">
        <f aca="false">IF(AQ44&lt;1000.01,"",IF(AQ44&lt;=2000,AQ44*0.3-85,))</f>
        <v/>
      </c>
      <c r="BR44" s="48" t="str">
        <f aca="false">IF(AQ44&lt;2000.01,"",IF(AQ44&lt;=3000,AQ44*0.35-185,))</f>
        <v/>
      </c>
      <c r="BS44" s="48" t="str">
        <f aca="false">IF(AQ44&lt;3000.01,"",IF(AQ44&gt;3000,AQ44*0.4-335,))</f>
        <v/>
      </c>
      <c r="BT44" s="55" t="n">
        <f aca="false">SUM(BN44:BS44)</f>
        <v>0</v>
      </c>
      <c r="CA44" s="81"/>
      <c r="CB44" s="81"/>
      <c r="CC44" s="81"/>
      <c r="CD44" s="81"/>
      <c r="CE44" s="81"/>
      <c r="CF44" s="3"/>
      <c r="CG44" s="57" t="n">
        <f aca="false">CE44*CF44</f>
        <v>0</v>
      </c>
      <c r="CH44" s="57" t="n">
        <f aca="false">CG44*0.4</f>
        <v>0</v>
      </c>
      <c r="CI44" s="57" t="n">
        <f aca="false">(CG44-CH44)*$CI$2</f>
        <v>0</v>
      </c>
    </row>
    <row r="45" customFormat="false" ht="16.5" hidden="false" customHeight="true" outlineLevel="0" collapsed="false">
      <c r="C45" s="91" t="s">
        <v>372</v>
      </c>
      <c r="D45" s="92"/>
      <c r="E45" s="92"/>
      <c r="F45" s="92"/>
      <c r="G45" s="92"/>
      <c r="H45" s="92"/>
      <c r="I45" s="92"/>
      <c r="J45" s="27"/>
      <c r="K45" s="27"/>
      <c r="L45" s="27"/>
      <c r="M45" s="27"/>
      <c r="N45" s="93" t="n">
        <f aca="false">SUM(N4:N44)</f>
        <v>863</v>
      </c>
      <c r="O45" s="93" t="n">
        <f aca="false">SUM(O4:O44)</f>
        <v>524</v>
      </c>
      <c r="P45" s="93" t="n">
        <f aca="false">SUM(P4:P44)</f>
        <v>17449.76</v>
      </c>
      <c r="Q45" s="93" t="n">
        <f aca="false">SUM(Q4:Q44)</f>
        <v>465823.088176</v>
      </c>
      <c r="R45" s="93" t="n">
        <f aca="false">SUM(R4:R44)</f>
        <v>3128</v>
      </c>
      <c r="S45" s="93" t="n">
        <f aca="false">SUM(S4:S44)</f>
        <v>69873.4632264</v>
      </c>
      <c r="T45" s="93" t="n">
        <f aca="false">SUM(T4:T44)</f>
        <v>648.016</v>
      </c>
      <c r="U45" s="93" t="n">
        <f aca="false">SUM(U4:U44)</f>
        <v>102.56</v>
      </c>
      <c r="V45" s="93" t="n">
        <f aca="false">SUM(V4:V44)</f>
        <v>145.42</v>
      </c>
      <c r="W45" s="93" t="n">
        <f aca="false">SUM(W4:W44)</f>
        <v>51.84</v>
      </c>
      <c r="X45" s="93" t="n">
        <f aca="false">SUM(X4:X44)</f>
        <v>0</v>
      </c>
      <c r="Y45" s="93" t="n">
        <f aca="false">SUM(Y4:Y44)</f>
        <v>16</v>
      </c>
      <c r="Z45" s="93" t="n">
        <f aca="false">SUM(Z4:Z44)</f>
        <v>0</v>
      </c>
      <c r="AA45" s="93" t="n">
        <f aca="false">SUM(AA4:AA44)</f>
        <v>147.81</v>
      </c>
      <c r="AB45" s="93" t="n">
        <f aca="false">SUM(AB4:AB44)</f>
        <v>933.348</v>
      </c>
      <c r="AC45" s="93" t="n">
        <f aca="false">SUM(AC4:AC44)</f>
        <v>2536.144</v>
      </c>
      <c r="AD45" s="93" t="n">
        <f aca="false">SUM(AD4:AD44)</f>
        <v>0</v>
      </c>
      <c r="AE45" s="93" t="n">
        <f aca="false">SUM(AE4:AE44)</f>
        <v>17.8958545543188</v>
      </c>
      <c r="AF45" s="93" t="n">
        <f aca="false">SUM(AF4:AF44)</f>
        <v>24995.088</v>
      </c>
      <c r="AG45" s="93" t="n">
        <f aca="false">SUM(AG4:AG44)</f>
        <v>12497.544</v>
      </c>
      <c r="AH45" s="93" t="n">
        <f aca="false">SUM(AH4:AH44)</f>
        <v>413373.8370608</v>
      </c>
      <c r="AI45" s="93" t="n">
        <f aca="false">SUM(AI4:AI44)</f>
        <v>19494.39335112</v>
      </c>
      <c r="AJ45" s="93" t="n">
        <f aca="false">SUM(AJ4:AJ44)</f>
        <v>365.13055487936</v>
      </c>
      <c r="AK45" s="93" t="n">
        <f aca="false">SUM(AK4:AK44)</f>
        <v>7797.757340448</v>
      </c>
      <c r="AL45" s="93" t="n">
        <f aca="false">SUM(AL4:AL44)</f>
        <v>6284.4536616</v>
      </c>
      <c r="AM45" s="93" t="n">
        <f aca="false">SUM(AM4:AM44)</f>
        <v>1397.469264528</v>
      </c>
      <c r="AN45" s="93" t="n">
        <f aca="false">SUM(AN4:AN44)</f>
        <v>0</v>
      </c>
      <c r="AO45" s="93" t="n">
        <f aca="false">SUM(AO4:AO44)</f>
        <v>12132.4134451206</v>
      </c>
      <c r="AP45" s="93" t="n">
        <f aca="false">SUM(AP4:AP44)</f>
        <v>397894.156794224</v>
      </c>
      <c r="AQ45" s="93" t="n">
        <f aca="false">SUM(AQ4:AQ44)</f>
        <v>27037.5517212172</v>
      </c>
      <c r="AR45" s="93" t="n">
        <f aca="false">SUM(AR4:AR44)</f>
        <v>5671.04742998949</v>
      </c>
      <c r="AS45" s="93" t="n">
        <f aca="false">SUM(AS4:AS44)</f>
        <v>75</v>
      </c>
      <c r="AT45" s="93" t="n">
        <f aca="false">SUM(AT4:AT44)</f>
        <v>5596.04742998949</v>
      </c>
      <c r="AU45" s="93" t="n">
        <f aca="false">SUM(AU4:AU44)</f>
        <v>2513.18104869968</v>
      </c>
      <c r="AV45" s="93" t="n">
        <f aca="false">SUM(AV4:AV44)</f>
        <v>75.3954314609905</v>
      </c>
      <c r="AW45" s="93" t="n">
        <f aca="false">SUM(AW4:AW44)</f>
        <v>82297.4263351695</v>
      </c>
      <c r="AX45" s="93" t="n">
        <f aca="false">SUM(AX4:AX44)</f>
        <v>2468.92279005509</v>
      </c>
      <c r="AY45" s="93" t="n">
        <f aca="false">SUM(AY4:AY44)</f>
        <v>9543.83696495997</v>
      </c>
      <c r="AZ45" s="93" t="n">
        <f aca="false">SUM(AZ4:AZ44)</f>
        <v>313127.807668999</v>
      </c>
      <c r="BA45" s="93" t="n">
        <f aca="false">SUM(BA4:BA44)</f>
        <v>12658.081</v>
      </c>
      <c r="BB45" s="93" t="n">
        <f aca="false">SUM(BB4:BB44)</f>
        <v>0</v>
      </c>
      <c r="BC45" s="93" t="n">
        <f aca="false">SUM(BC4:BC44)</f>
        <v>541.902235846953</v>
      </c>
      <c r="BD45" s="93" t="n">
        <f aca="false">SUM(BD4:BD44)</f>
        <v>120</v>
      </c>
      <c r="BE45" s="93" t="n">
        <f aca="false">SUM(BE4:BE44)</f>
        <v>0</v>
      </c>
      <c r="BF45" s="93" t="n">
        <f aca="false">SUM(BF4:BF44)</f>
        <v>0</v>
      </c>
      <c r="BG45" s="93" t="n">
        <f aca="false">SUM(BG4:BG44)</f>
        <v>120</v>
      </c>
      <c r="BH45" s="93" t="n">
        <f aca="false">SUM(BH4:BH44)</f>
        <v>0</v>
      </c>
      <c r="BI45" s="93" t="n">
        <f aca="false">SUM(BI4:BI44)</f>
        <v>287.5</v>
      </c>
      <c r="BJ45" s="93" t="n">
        <f aca="false">SUM(BJ4:BJ44)</f>
        <v>0</v>
      </c>
      <c r="BK45" s="93" t="n">
        <f aca="false">SUM(BK4:BK44)</f>
        <v>0</v>
      </c>
      <c r="BL45" s="93" t="n">
        <f aca="false">SUM(BL4:BL44)</f>
        <v>9016.33696495997</v>
      </c>
      <c r="BM45" s="93" t="n">
        <f aca="false">SUM(BM4:BM44)</f>
        <v>299927.824433153</v>
      </c>
      <c r="BN45" s="93" t="n">
        <f aca="false">SUM(BN4:BN44)</f>
        <v>0</v>
      </c>
      <c r="BO45" s="93" t="n">
        <f aca="false">SUM(BO4:BO44)</f>
        <v>31.31512</v>
      </c>
      <c r="BP45" s="93" t="n">
        <f aca="false">SUM(BP4:BP44)</f>
        <v>2903.55566</v>
      </c>
      <c r="BQ45" s="93" t="n">
        <f aca="false">SUM(BQ4:BQ44)</f>
        <v>1742.57422749212</v>
      </c>
      <c r="BR45" s="93" t="n">
        <f aca="false">SUM(BR4:BR44)</f>
        <v>0</v>
      </c>
      <c r="BS45" s="93" t="n">
        <f aca="false">SUM(BS4:BS44)</f>
        <v>993.602422497373</v>
      </c>
      <c r="BT45" s="93" t="n">
        <f aca="false">SUM(BT4:BT44)</f>
        <v>5671.04742998949</v>
      </c>
      <c r="CA45" s="94" t="n">
        <f aca="false">SUM(CA4:CA38)</f>
        <v>656.92</v>
      </c>
      <c r="CB45" s="94" t="n">
        <f aca="false">SUM(CB4:CB43)</f>
        <v>99.32</v>
      </c>
      <c r="CC45" s="94" t="n">
        <f aca="false">SUM(CC4:CC38)</f>
        <v>7</v>
      </c>
      <c r="CD45" s="94" t="n">
        <f aca="false">SUM(CD4:CD38)</f>
        <v>135.31</v>
      </c>
      <c r="CE45" s="94" t="n">
        <f aca="false">SUM(CE4:CE38)</f>
        <v>601.43</v>
      </c>
      <c r="CG45" s="95" t="n">
        <f aca="false">SUM(CG4:CG38)</f>
        <v>12363.5184</v>
      </c>
      <c r="CH45" s="95" t="n">
        <f aca="false">SUM(CH4:CH38)</f>
        <v>4945.40736</v>
      </c>
      <c r="CI45" s="95" t="n">
        <f aca="false">SUM(CI4:CI38)</f>
        <v>198027.216023904</v>
      </c>
    </row>
    <row r="46" customFormat="false" ht="15.75" hidden="false" customHeight="true" outlineLevel="0" collapsed="false"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</row>
    <row r="47" customFormat="false" ht="15" hidden="false" customHeight="false" outlineLevel="0" collapsed="false">
      <c r="E47" s="2"/>
      <c r="X47" s="3"/>
      <c r="BM47" s="3"/>
    </row>
    <row r="48" customFormat="false" ht="15" hidden="false" customHeight="false" outlineLevel="0" collapsed="false">
      <c r="S48" s="3"/>
      <c r="X48" s="3"/>
    </row>
    <row r="49" customFormat="false" ht="15" hidden="false" customHeight="false" outlineLevel="0" collapsed="false">
      <c r="U49" s="2"/>
      <c r="X49" s="3"/>
      <c r="BM49" s="3"/>
    </row>
    <row r="50" customFormat="false" ht="15" hidden="false" customHeight="false" outlineLevel="0" collapsed="false">
      <c r="S50" s="3"/>
      <c r="X50" s="3"/>
    </row>
    <row r="51" customFormat="false" ht="15" hidden="false" customHeight="false" outlineLevel="0" collapsed="false">
      <c r="H51" s="4"/>
      <c r="I51" s="1" t="n">
        <f aca="false">6000/150</f>
        <v>40</v>
      </c>
      <c r="BM51" s="3"/>
      <c r="CB51" s="2"/>
      <c r="CC51" s="2"/>
    </row>
    <row r="52" customFormat="false" ht="15" hidden="false" customHeight="false" outlineLevel="0" collapsed="false">
      <c r="H52" s="4"/>
    </row>
    <row r="53" customFormat="false" ht="15" hidden="false" customHeight="false" outlineLevel="0" collapsed="false">
      <c r="C53" s="3"/>
      <c r="H53" s="4"/>
      <c r="BM53" s="4"/>
    </row>
    <row r="54" customFormat="false" ht="15" hidden="false" customHeight="false" outlineLevel="0" collapsed="false">
      <c r="H54" s="4"/>
    </row>
    <row r="55" customFormat="false" ht="15" hidden="false" customHeight="false" outlineLevel="0" collapsed="false">
      <c r="H55" s="4"/>
    </row>
    <row r="56" customFormat="false" ht="15" hidden="false" customHeight="false" outlineLevel="0" collapsed="false">
      <c r="H56" s="4"/>
    </row>
  </sheetData>
  <mergeCells count="13">
    <mergeCell ref="P2:Q2"/>
    <mergeCell ref="AF2:AH2"/>
    <mergeCell ref="AI2:AM2"/>
    <mergeCell ref="AO2:AP2"/>
    <mergeCell ref="AU2:AV2"/>
    <mergeCell ref="AW2:AX2"/>
    <mergeCell ref="AY2:AZ2"/>
    <mergeCell ref="BA2:BI2"/>
    <mergeCell ref="BJ2:BK2"/>
    <mergeCell ref="BL2:BM2"/>
    <mergeCell ref="BU2:BW2"/>
    <mergeCell ref="BX2:BZ2"/>
    <mergeCell ref="CA2:CE2"/>
  </mergeCells>
  <conditionalFormatting sqref="BU4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4" activeCellId="0" sqref="K64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14"/>
    <col collapsed="false" customWidth="true" hidden="false" outlineLevel="0" max="2" min="2" style="1" width="16.14"/>
    <col collapsed="false" customWidth="true" hidden="false" outlineLevel="0" max="3" min="3" style="1" width="1.14"/>
    <col collapsed="false" customWidth="true" hidden="false" outlineLevel="0" max="4" min="4" style="1" width="28"/>
    <col collapsed="false" customWidth="true" hidden="false" outlineLevel="0" max="5" min="5" style="1" width="6"/>
    <col collapsed="false" customWidth="true" hidden="false" outlineLevel="0" max="6" min="6" style="1" width="12.29"/>
    <col collapsed="false" customWidth="true" hidden="false" outlineLevel="0" max="7" min="7" style="1" width="15.85"/>
    <col collapsed="false" customWidth="true" hidden="false" outlineLevel="0" max="8" min="8" style="1" width="1.14"/>
    <col collapsed="false" customWidth="true" hidden="false" outlineLevel="0" max="9" min="9" style="1" width="18.71"/>
    <col collapsed="false" customWidth="true" hidden="false" outlineLevel="0" max="10" min="10" style="4" width="10.57"/>
    <col collapsed="false" customWidth="true" hidden="false" outlineLevel="0" max="11" min="11" style="4" width="16"/>
    <col collapsed="false" customWidth="true" hidden="true" outlineLevel="0" max="12" min="12" style="1" width="9.14"/>
    <col collapsed="false" customWidth="true" hidden="true" outlineLevel="0" max="13" min="13" style="1" width="13.15"/>
    <col collapsed="false" customWidth="true" hidden="true" outlineLevel="0" max="14" min="14" style="1" width="16"/>
    <col collapsed="false" customWidth="true" hidden="true" outlineLevel="0" max="15" min="15" style="1" width="9.14"/>
    <col collapsed="false" customWidth="true" hidden="false" outlineLevel="0" max="16" min="16" style="1" width="14.71"/>
  </cols>
  <sheetData>
    <row r="1" customFormat="false" ht="22.5" hidden="false" customHeight="true" outlineLevel="0" collapsed="false">
      <c r="A1" s="96" t="s">
        <v>373</v>
      </c>
      <c r="B1" s="96"/>
      <c r="C1" s="96"/>
      <c r="D1" s="96"/>
      <c r="E1" s="96"/>
      <c r="F1" s="96"/>
      <c r="G1" s="96"/>
      <c r="H1" s="96"/>
      <c r="I1" s="96"/>
      <c r="J1" s="96"/>
      <c r="K1" s="96"/>
      <c r="M1" s="97" t="s">
        <v>2</v>
      </c>
      <c r="N1" s="98" t="n">
        <f aca="false">Paysheet!AQ1</f>
        <v>26.6951</v>
      </c>
    </row>
    <row r="2" customFormat="false" ht="21" hidden="false" customHeight="true" outlineLevel="0" collapsed="false">
      <c r="A2" s="99" t="s">
        <v>374</v>
      </c>
      <c r="B2" s="99"/>
      <c r="C2" s="100"/>
      <c r="D2" s="101" t="s">
        <v>375</v>
      </c>
      <c r="E2" s="102" t="s">
        <v>376</v>
      </c>
      <c r="F2" s="103" t="s">
        <v>377</v>
      </c>
      <c r="G2" s="103"/>
      <c r="H2" s="104"/>
      <c r="I2" s="105" t="s">
        <v>378</v>
      </c>
      <c r="J2" s="103" t="s">
        <v>379</v>
      </c>
      <c r="K2" s="103"/>
      <c r="M2" s="80" t="s">
        <v>380</v>
      </c>
      <c r="N2" s="1" t="n">
        <v>71</v>
      </c>
      <c r="O2" s="1" t="str">
        <f aca="false">CONCATENATE(M2,N2)</f>
        <v>AESV71</v>
      </c>
    </row>
    <row r="3" customFormat="false" ht="21" hidden="false" customHeight="true" outlineLevel="0" collapsed="false">
      <c r="A3" s="106" t="e">
        <f aca="false">VLOOKUP(B4,Paysheet!$A$4:$CE$34,COLUMN(Paysheet!B5),FALSE())</f>
        <v>#N/A</v>
      </c>
      <c r="B3" s="107" t="e">
        <f aca="false">VLOOKUP(B4,Paysheet!$A$4:$CE$34,COLUMN(Paysheet!C5),FALSE())</f>
        <v>#N/A</v>
      </c>
      <c r="C3" s="108"/>
      <c r="D3" s="101"/>
      <c r="E3" s="109"/>
      <c r="F3" s="102" t="s">
        <v>74</v>
      </c>
      <c r="G3" s="110" t="s">
        <v>62</v>
      </c>
      <c r="H3" s="111"/>
      <c r="I3" s="105"/>
      <c r="J3" s="112" t="s">
        <v>26</v>
      </c>
      <c r="K3" s="113" t="s">
        <v>62</v>
      </c>
      <c r="M3" s="114" t="s">
        <v>380</v>
      </c>
      <c r="N3" s="1" t="n">
        <v>99</v>
      </c>
      <c r="O3" s="1" t="str">
        <f aca="false">CONCATENATE(M3,N3)</f>
        <v>AESV99</v>
      </c>
    </row>
    <row r="4" customFormat="false" ht="21" hidden="false" customHeight="true" outlineLevel="0" collapsed="false">
      <c r="A4" s="115" t="s">
        <v>381</v>
      </c>
      <c r="B4" s="116" t="str">
        <f aca="false">O2</f>
        <v>AESV71</v>
      </c>
      <c r="C4" s="117"/>
      <c r="D4" s="118" t="s">
        <v>382</v>
      </c>
      <c r="E4" s="119" t="e">
        <f aca="false">VLOOKUP(B4,Paysheet!$A$4:$CE$34,COLUMN(Paysheet!L6),FALSE())</f>
        <v>#N/A</v>
      </c>
      <c r="F4" s="120" t="e">
        <f aca="false">VLOOKUP(B4,Paysheet!$A$4:$CE$34,COLUMN(Paysheet!P4),FALSE())*0.5</f>
        <v>#N/A</v>
      </c>
      <c r="G4" s="121" t="e">
        <f aca="false">VLOOKUP(B4,Paysheet!$A$4:$CE$34,COLUMN(Paysheet!P4),FALSE())*0.5*N1</f>
        <v>#N/A</v>
      </c>
      <c r="H4" s="122"/>
      <c r="I4" s="123" t="s">
        <v>383</v>
      </c>
      <c r="J4" s="123" t="e">
        <f aca="false">VLOOKUP(B4,Paysheet!$A$4:$CE$34,COLUMN(Paysheet!AU6),FALSE())</f>
        <v>#N/A</v>
      </c>
      <c r="K4" s="121" t="e">
        <f aca="false">VLOOKUP(B4,Paysheet!$A$4:$CE$34,COLUMN(Paysheet!AW4),FALSE())</f>
        <v>#N/A</v>
      </c>
      <c r="M4" s="114" t="s">
        <v>384</v>
      </c>
      <c r="N4" s="1" t="n">
        <v>89</v>
      </c>
      <c r="O4" s="1" t="str">
        <f aca="false">CONCATENATE(M4,N4)</f>
        <v>AESR89</v>
      </c>
    </row>
    <row r="5" customFormat="false" ht="21" hidden="false" customHeight="true" outlineLevel="0" collapsed="false">
      <c r="A5" s="115" t="s">
        <v>38</v>
      </c>
      <c r="B5" s="124" t="e">
        <f aca="false">VLOOKUP(B4,Paysheet!$A$4:$CE$34,COLUMN(Paysheet!K7),FALSE())</f>
        <v>#N/A</v>
      </c>
      <c r="C5" s="117"/>
      <c r="D5" s="125" t="s">
        <v>385</v>
      </c>
      <c r="E5" s="126"/>
      <c r="F5" s="120" t="e">
        <f aca="false">VLOOKUP(B4,Paysheet!$A$4:$CE$34,COLUMN(Paysheet!R7),FALSE())*0.5</f>
        <v>#N/A</v>
      </c>
      <c r="G5" s="120" t="e">
        <f aca="false">VLOOKUP(B4,Paysheet!$A$4:$CE$34,COLUMN(Paysheet!R7),FALSE())*0.5*N1</f>
        <v>#N/A</v>
      </c>
      <c r="H5" s="127"/>
      <c r="I5" s="120" t="s">
        <v>64</v>
      </c>
      <c r="J5" s="120" t="e">
        <f aca="false">VLOOKUP(B4,Paysheet!$A$4:$CE$34,COLUMN(Paysheet!AV7),FALSE())</f>
        <v>#N/A</v>
      </c>
      <c r="K5" s="128" t="e">
        <f aca="false">VLOOKUP(B4,Paysheet!$A$4:$CE$34,COLUMN(Paysheet!AX4),FALSE())</f>
        <v>#N/A</v>
      </c>
    </row>
    <row r="6" customFormat="false" ht="21" hidden="false" customHeight="true" outlineLevel="0" collapsed="false">
      <c r="A6" s="115" t="s">
        <v>386</v>
      </c>
      <c r="B6" s="124" t="e">
        <f aca="false">VLOOKUP(B4,Paysheet!$A$4:$CE$34,COLUMN(Paysheet!D8),FALSE())</f>
        <v>#N/A</v>
      </c>
      <c r="C6" s="117"/>
      <c r="D6" s="125" t="s">
        <v>387</v>
      </c>
      <c r="E6" s="119"/>
      <c r="F6" s="120" t="e">
        <f aca="false">VLOOKUP(B4,Paysheet!$A$4:$CE$34,COLUMN(Paysheet!X8),FALSE())*0.51</f>
        <v>#N/A</v>
      </c>
      <c r="G6" s="128"/>
      <c r="H6" s="127"/>
      <c r="I6" s="120" t="s">
        <v>56</v>
      </c>
      <c r="J6" s="120" t="e">
        <f aca="false">VLOOKUP(B4,Paysheet!$A$4:$CE$34,COLUMN(Paysheet!AJ8),FALSE())</f>
        <v>#N/A</v>
      </c>
      <c r="K6" s="128" t="e">
        <f aca="false">VLOOKUP(B4,Paysheet!$A$4:$CE$34,COLUMN(Paysheet!AK4),FALSE())</f>
        <v>#N/A</v>
      </c>
      <c r="N6" s="3"/>
    </row>
    <row r="7" customFormat="false" ht="21" hidden="false" customHeight="true" outlineLevel="0" collapsed="false">
      <c r="A7" s="115" t="s">
        <v>388</v>
      </c>
      <c r="B7" s="124" t="s">
        <v>389</v>
      </c>
      <c r="C7" s="117"/>
      <c r="D7" s="125" t="s">
        <v>390</v>
      </c>
      <c r="E7" s="119"/>
      <c r="F7" s="120" t="e">
        <f aca="false">VLOOKUP(B4,Paysheet!$A$4:$CE$34,COLUMN(Paysheet!V8),FALSE())*0.51</f>
        <v>#N/A</v>
      </c>
      <c r="G7" s="128"/>
      <c r="H7" s="127"/>
      <c r="I7" s="120" t="s">
        <v>60</v>
      </c>
      <c r="J7" s="120"/>
      <c r="K7" s="128" t="e">
        <f aca="false">VLOOKUP(B4,Paysheet!$A$4:$CE$34,COLUMN(Paysheet!AM4),FALSE())</f>
        <v>#N/A</v>
      </c>
      <c r="N7" s="3"/>
      <c r="P7" s="3"/>
    </row>
    <row r="8" customFormat="false" ht="21" hidden="false" customHeight="true" outlineLevel="0" collapsed="false">
      <c r="A8" s="115" t="s">
        <v>35</v>
      </c>
      <c r="B8" s="124" t="e">
        <f aca="false">VLOOKUP(B4,Paysheet!$A$4:$CE$34,COLUMN(Paysheet!H9),FALSE())</f>
        <v>#N/A</v>
      </c>
      <c r="C8" s="117"/>
      <c r="D8" s="125" t="s">
        <v>391</v>
      </c>
      <c r="E8" s="126"/>
      <c r="F8" s="120"/>
      <c r="G8" s="128"/>
      <c r="H8" s="127"/>
      <c r="I8" s="120" t="s">
        <v>392</v>
      </c>
      <c r="J8" s="120"/>
      <c r="K8" s="128"/>
      <c r="N8" s="3"/>
      <c r="P8" s="3"/>
    </row>
    <row r="9" customFormat="false" ht="21" hidden="false" customHeight="true" outlineLevel="0" collapsed="false">
      <c r="A9" s="115" t="s">
        <v>34</v>
      </c>
      <c r="B9" s="124" t="e">
        <f aca="false">VLOOKUP(B4,Paysheet!$A$4:$CE$34,COLUMN(Paysheet!G10),FALSE())</f>
        <v>#N/A</v>
      </c>
      <c r="C9" s="117"/>
      <c r="D9" s="125" t="s">
        <v>52</v>
      </c>
      <c r="E9" s="126"/>
      <c r="F9" s="120" t="e">
        <f aca="false">VLOOKUP(B4,Paysheet!$A$4:$CE$34,COLUMN(Paysheet!AB10),FALSE())*0.5</f>
        <v>#N/A</v>
      </c>
      <c r="G9" s="128" t="e">
        <f aca="false">VLOOKUP(B4,Paysheet!$A$4:$CE$34,COLUMN(Paysheet!AB10),FALSE())*0.5*N1</f>
        <v>#N/A</v>
      </c>
      <c r="H9" s="127"/>
      <c r="I9" s="129" t="s">
        <v>393</v>
      </c>
      <c r="J9" s="120" t="e">
        <f aca="false">VLOOKUP(B4,Paysheet!$A$4:$CE$34,COLUMN(Paysheet!BD10),FALSE())</f>
        <v>#N/A</v>
      </c>
      <c r="K9" s="128" t="e">
        <f aca="false">VLOOKUP(B4,Paysheet!$A$4:$CE$34,COLUMN(Paysheet!BC10),FALSE())</f>
        <v>#N/A</v>
      </c>
      <c r="M9" s="3"/>
      <c r="N9" s="3"/>
    </row>
    <row r="10" customFormat="false" ht="21" hidden="false" customHeight="true" outlineLevel="0" collapsed="false">
      <c r="A10" s="115" t="s">
        <v>27</v>
      </c>
      <c r="B10" s="124" t="e">
        <f aca="false">VLOOKUP(B4,Paysheet!$A$4:$CE$34,COLUMN(Paysheet!CE11),FALSE())</f>
        <v>#N/A</v>
      </c>
      <c r="C10" s="117"/>
      <c r="D10" s="125" t="s">
        <v>394</v>
      </c>
      <c r="E10" s="126"/>
      <c r="F10" s="120" t="e">
        <f aca="false">VLOOKUP(B4,Paysheet!$A$4:$CE$34,COLUMN(Paysheet!AC11),FALSE())*0.6</f>
        <v>#N/A</v>
      </c>
      <c r="G10" s="120" t="e">
        <f aca="false">VLOOKUP(B4,Paysheet!$A$4:$CE$34,COLUMN(Paysheet!AC11),FALSE())*0.4*N1</f>
        <v>#N/A</v>
      </c>
      <c r="H10" s="130"/>
      <c r="I10" s="129" t="s">
        <v>65</v>
      </c>
      <c r="J10" s="120"/>
      <c r="K10" s="128" t="e">
        <f aca="false">VLOOKUP(B4,Paysheet!$A$4:$CE$34,COLUMN(Paysheet!BA11),FALSE())</f>
        <v>#N/A</v>
      </c>
      <c r="M10" s="3"/>
      <c r="N10" s="3"/>
    </row>
    <row r="11" customFormat="false" ht="21" hidden="false" customHeight="true" outlineLevel="0" collapsed="false">
      <c r="A11" s="115" t="s">
        <v>395</v>
      </c>
      <c r="B11" s="124" t="e">
        <f aca="false">VLOOKUP(B4,Paysheet!$A$4:$CE$34,COLUMN(Paysheet!I11),FALSE())</f>
        <v>#N/A</v>
      </c>
      <c r="C11" s="117"/>
      <c r="D11" s="125" t="s">
        <v>396</v>
      </c>
      <c r="E11" s="126"/>
      <c r="F11" s="120" t="e">
        <f aca="false">VLOOKUP(B4,Paysheet!$A$4:$CE$34,COLUMN(Paysheet!V8),FALSE())*0.6</f>
        <v>#N/A</v>
      </c>
      <c r="G11" s="120" t="e">
        <f aca="false">VLOOKUP(B4,Paysheet!$A$4:$CE$34,COLUMN(Paysheet!V8),FALSE())*0.4*N1</f>
        <v>#N/A</v>
      </c>
      <c r="H11" s="127"/>
      <c r="I11" s="129" t="s">
        <v>59</v>
      </c>
      <c r="J11" s="120"/>
      <c r="K11" s="128" t="e">
        <f aca="false">VLOOKUP(B4,Paysheet!$A$4:$CE$34,COLUMN(Paysheet!AL8),FALSE())</f>
        <v>#N/A</v>
      </c>
      <c r="M11" s="3" t="s">
        <v>397</v>
      </c>
      <c r="N11" s="3"/>
    </row>
    <row r="12" customFormat="false" ht="21" hidden="false" customHeight="true" outlineLevel="0" collapsed="false">
      <c r="A12" s="115" t="s">
        <v>33</v>
      </c>
      <c r="B12" s="124" t="e">
        <f aca="false">VLOOKUP(B4,Paysheet!$A$4:$CE$34,COLUMN(Paysheet!F12),FALSE())</f>
        <v>#N/A</v>
      </c>
      <c r="C12" s="131"/>
      <c r="D12" s="125" t="s">
        <v>398</v>
      </c>
      <c r="E12" s="126"/>
      <c r="F12" s="120"/>
      <c r="G12" s="120" t="e">
        <f aca="false">VLOOKUP(B4,Paysheet!$A$4:$CE$34,COLUMN(Paysheet!S4),FALSE())</f>
        <v>#N/A</v>
      </c>
      <c r="H12" s="127"/>
      <c r="I12" s="120" t="s">
        <v>399</v>
      </c>
      <c r="J12" s="120" t="e">
        <f aca="false">VLOOKUP(B4,Paysheet!$A$4:$CE$34,COLUMN(Paysheet!BH12),FALSE())</f>
        <v>#N/A</v>
      </c>
      <c r="K12" s="128" t="e">
        <f aca="false">VLOOKUP(B4,Paysheet!$A$4:$CE$34,COLUMN(Paysheet!BB12),FALSE())</f>
        <v>#N/A</v>
      </c>
      <c r="M12" s="3" t="s">
        <v>26</v>
      </c>
      <c r="N12" s="3" t="e">
        <f aca="false">F15-J15</f>
        <v>#N/A</v>
      </c>
      <c r="P12" s="3"/>
    </row>
    <row r="13" customFormat="false" ht="21" hidden="false" customHeight="true" outlineLevel="0" collapsed="false">
      <c r="A13" s="115" t="s">
        <v>32</v>
      </c>
      <c r="B13" s="132" t="e">
        <f aca="false">VLOOKUP(B4,Paysheet!$A$4:$CE$34,COLUMN(Paysheet!E11),FALSE())</f>
        <v>#N/A</v>
      </c>
      <c r="C13" s="133"/>
      <c r="D13" s="134"/>
      <c r="E13" s="135"/>
      <c r="F13" s="136"/>
      <c r="G13" s="137"/>
      <c r="H13" s="138"/>
      <c r="I13" s="136" t="s">
        <v>400</v>
      </c>
      <c r="J13" s="136" t="e">
        <f aca="false">VLOOKUP(B4,Paysheet!$A$4:$CE$34,COLUMN(Paysheet!BI8),FALSE())</f>
        <v>#N/A</v>
      </c>
      <c r="K13" s="137"/>
      <c r="M13" s="1" t="s">
        <v>62</v>
      </c>
      <c r="N13" s="3" t="e">
        <f aca="false">G15-K15</f>
        <v>#N/A</v>
      </c>
      <c r="P13" s="3"/>
    </row>
    <row r="14" customFormat="false" ht="15.75" hidden="true" customHeight="true" outlineLevel="0" collapsed="false">
      <c r="A14" s="139"/>
      <c r="B14" s="139"/>
      <c r="C14" s="140"/>
      <c r="D14" s="140"/>
      <c r="E14" s="141"/>
      <c r="F14" s="142"/>
      <c r="G14" s="142"/>
      <c r="H14" s="143"/>
      <c r="I14" s="142"/>
      <c r="J14" s="142"/>
      <c r="K14" s="144"/>
    </row>
    <row r="15" customFormat="false" ht="15.75" hidden="false" customHeight="true" outlineLevel="0" collapsed="false">
      <c r="A15" s="145" t="s">
        <v>401</v>
      </c>
      <c r="B15" s="146" t="e">
        <f aca="false">VLOOKUP(B4,Paysheet!$A$4:$CE$34,COLUMN(Paysheet!M14),FALSE())</f>
        <v>#N/A</v>
      </c>
      <c r="C15" s="147"/>
      <c r="D15" s="148" t="s">
        <v>402</v>
      </c>
      <c r="E15" s="149"/>
      <c r="F15" s="150" t="e">
        <f aca="false">SUM(F4:F14)</f>
        <v>#N/A</v>
      </c>
      <c r="G15" s="151" t="e">
        <f aca="false">SUM(G4:G14)</f>
        <v>#N/A</v>
      </c>
      <c r="H15" s="152"/>
      <c r="I15" s="151" t="s">
        <v>403</v>
      </c>
      <c r="J15" s="151" t="e">
        <f aca="false">SUM(J4:J14)</f>
        <v>#N/A</v>
      </c>
      <c r="K15" s="151" t="e">
        <f aca="false">SUM(K4:K14)</f>
        <v>#N/A</v>
      </c>
      <c r="M15" s="3"/>
      <c r="N15" s="3" t="e">
        <f aca="false">K17-N13</f>
        <v>#N/A</v>
      </c>
      <c r="P15" s="3"/>
    </row>
    <row r="16" customFormat="false" ht="6" hidden="false" customHeight="true" outlineLevel="0" collapsed="false">
      <c r="A16" s="108"/>
      <c r="B16" s="108"/>
      <c r="C16" s="108"/>
      <c r="D16" s="153"/>
      <c r="E16" s="154"/>
      <c r="F16" s="155"/>
      <c r="G16" s="156"/>
      <c r="H16" s="156"/>
      <c r="I16" s="155"/>
      <c r="J16" s="157"/>
      <c r="K16" s="155"/>
      <c r="M16" s="3"/>
    </row>
    <row r="17" customFormat="false" ht="15.75" hidden="false" customHeight="true" outlineLevel="0" collapsed="false">
      <c r="A17" s="158" t="s">
        <v>404</v>
      </c>
      <c r="B17" s="159" t="e">
        <f aca="false">VLOOKUP(B4,Paysheet!$A$4:$CE$34,COLUMN(Paysheet!BU14),FALSE())</f>
        <v>#N/A</v>
      </c>
      <c r="C17" s="100"/>
      <c r="D17" s="107" t="e">
        <f aca="false">VLOOKUP(B4,Paysheet!$A$4:$CE$34,COLUMN(Paysheet!BW14),FALSE())</f>
        <v>#N/A</v>
      </c>
      <c r="E17" s="160"/>
      <c r="F17" s="161" t="s">
        <v>405</v>
      </c>
      <c r="G17" s="162"/>
      <c r="H17" s="163"/>
      <c r="I17" s="164" t="s">
        <v>406</v>
      </c>
      <c r="J17" s="165" t="s">
        <v>62</v>
      </c>
      <c r="K17" s="166" t="e">
        <f aca="false">VLOOKUP(B4,Paysheet!$A$4:$CE$34,COLUMN(Paysheet!BM6),FALSE())</f>
        <v>#N/A</v>
      </c>
      <c r="N17" s="3"/>
      <c r="P17" s="3"/>
    </row>
    <row r="18" customFormat="false" ht="15.75" hidden="false" customHeight="true" outlineLevel="0" collapsed="false">
      <c r="A18" s="115" t="s">
        <v>407</v>
      </c>
      <c r="B18" s="167" t="e">
        <f aca="false">VLOOKUP(B4,Paysheet!$A$4:$CE$34,COLUMN(Paysheet!BX31),FALSE())</f>
        <v>#N/A</v>
      </c>
      <c r="C18" s="168"/>
      <c r="D18" s="124" t="e">
        <f aca="false">VLOOKUP(B4,Paysheet!$A$4:$CE$34,COLUMN(Paysheet!BZ14),FALSE())</f>
        <v>#N/A</v>
      </c>
      <c r="E18" s="169"/>
      <c r="F18" s="170" t="e">
        <f aca="false">VLOOKUP(B4,Paysheet!$A$4:$CE$34,COLUMN(Paysheet!AS14),FALSE())</f>
        <v>#N/A</v>
      </c>
      <c r="G18" s="171"/>
      <c r="H18" s="172"/>
      <c r="I18" s="164"/>
      <c r="J18" s="173" t="s">
        <v>26</v>
      </c>
      <c r="K18" s="174" t="e">
        <f aca="false">VLOOKUP(B4,Paysheet!$A$4:$CE$34,COLUMN(Paysheet!BL6),FALSE())</f>
        <v>#N/A</v>
      </c>
      <c r="M18" s="4"/>
    </row>
    <row r="19" customFormat="false" ht="6" hidden="false" customHeight="true" outlineLevel="0" collapsed="false">
      <c r="A19" s="175"/>
      <c r="B19" s="176"/>
      <c r="C19" s="176"/>
      <c r="D19" s="176"/>
      <c r="E19" s="177"/>
      <c r="F19" s="177"/>
      <c r="G19" s="178"/>
      <c r="H19" s="178"/>
      <c r="I19" s="177"/>
      <c r="J19" s="179"/>
      <c r="K19" s="179"/>
    </row>
    <row r="20" customFormat="false" ht="51" hidden="false" customHeight="true" outlineLevel="0" collapsed="false">
      <c r="A20" s="126"/>
      <c r="B20" s="119"/>
      <c r="C20" s="119"/>
      <c r="D20" s="119"/>
      <c r="E20" s="126"/>
      <c r="F20" s="126"/>
      <c r="G20" s="180"/>
      <c r="H20" s="180"/>
      <c r="I20" s="126"/>
      <c r="J20" s="181"/>
      <c r="K20" s="181"/>
    </row>
    <row r="21" customFormat="false" ht="15.75" hidden="false" customHeight="true" outlineLevel="0" collapsed="false">
      <c r="A21" s="96" t="s">
        <v>373</v>
      </c>
      <c r="B21" s="96"/>
      <c r="C21" s="96"/>
      <c r="D21" s="96"/>
      <c r="E21" s="96"/>
      <c r="F21" s="96"/>
      <c r="G21" s="96"/>
      <c r="H21" s="96"/>
      <c r="I21" s="96"/>
      <c r="J21" s="96"/>
      <c r="K21" s="96"/>
    </row>
    <row r="22" customFormat="false" ht="21" hidden="false" customHeight="true" outlineLevel="0" collapsed="false">
      <c r="A22" s="106" t="e">
        <f aca="false">VLOOKUP(B23,Paysheet!$A$4:$CE$34,COLUMN(Paysheet!B18),FALSE())</f>
        <v>#N/A</v>
      </c>
      <c r="B22" s="107" t="e">
        <f aca="false">VLOOKUP(B23,Paysheet!$A$4:$CE$34,COLUMN(Paysheet!C18),FALSE())</f>
        <v>#N/A</v>
      </c>
      <c r="C22" s="100"/>
      <c r="D22" s="101" t="s">
        <v>375</v>
      </c>
      <c r="E22" s="102" t="s">
        <v>376</v>
      </c>
      <c r="F22" s="103" t="s">
        <v>377</v>
      </c>
      <c r="G22" s="103"/>
      <c r="H22" s="104"/>
      <c r="I22" s="105" t="s">
        <v>378</v>
      </c>
      <c r="J22" s="103" t="s">
        <v>379</v>
      </c>
      <c r="K22" s="103"/>
    </row>
    <row r="23" customFormat="false" ht="20.25" hidden="false" customHeight="true" outlineLevel="0" collapsed="false">
      <c r="A23" s="115" t="s">
        <v>381</v>
      </c>
      <c r="B23" s="116" t="str">
        <f aca="false">O3</f>
        <v>AESV99</v>
      </c>
      <c r="C23" s="108"/>
      <c r="D23" s="101"/>
      <c r="E23" s="109"/>
      <c r="F23" s="182" t="s">
        <v>74</v>
      </c>
      <c r="G23" s="110" t="s">
        <v>62</v>
      </c>
      <c r="H23" s="111"/>
      <c r="I23" s="105"/>
      <c r="J23" s="112" t="s">
        <v>26</v>
      </c>
      <c r="K23" s="113" t="s">
        <v>62</v>
      </c>
    </row>
    <row r="24" customFormat="false" ht="21" hidden="false" customHeight="true" outlineLevel="0" collapsed="false">
      <c r="A24" s="115" t="s">
        <v>38</v>
      </c>
      <c r="B24" s="124" t="e">
        <f aca="false">VLOOKUP(B23,Paysheet!$A$4:$CE$34,COLUMN(Paysheet!K20),FALSE())</f>
        <v>#N/A</v>
      </c>
      <c r="C24" s="117"/>
      <c r="D24" s="118" t="s">
        <v>382</v>
      </c>
      <c r="E24" s="119" t="e">
        <f aca="false">VLOOKUP($B$23,Paysheet!$A$4:$CE$34,COLUMN(Paysheet!L20),FALSE())</f>
        <v>#N/A</v>
      </c>
      <c r="F24" s="121" t="e">
        <f aca="false">VLOOKUP(B23,Paysheet!$A$4:$CE$34,COLUMN(Paysheet!P20),FALSE())*0.5</f>
        <v>#N/A</v>
      </c>
      <c r="G24" s="121" t="e">
        <f aca="false">VLOOKUP(B23,Paysheet!$A$4:$CE$34,COLUMN(Paysheet!P20),FALSE())*0.5*N1</f>
        <v>#N/A</v>
      </c>
      <c r="H24" s="122"/>
      <c r="I24" s="123" t="s">
        <v>383</v>
      </c>
      <c r="J24" s="123" t="e">
        <f aca="false">VLOOKUP(B23,Paysheet!$A$4:$CE$34,COLUMN(Paysheet!AU20),FALSE())</f>
        <v>#N/A</v>
      </c>
      <c r="K24" s="121" t="e">
        <f aca="false">VLOOKUP(B23,Paysheet!$A$4:$CE$34,COLUMN(Paysheet!AW20),FALSE())</f>
        <v>#N/A</v>
      </c>
      <c r="M24" s="3"/>
    </row>
    <row r="25" customFormat="false" ht="21" hidden="false" customHeight="true" outlineLevel="0" collapsed="false">
      <c r="A25" s="115" t="s">
        <v>386</v>
      </c>
      <c r="B25" s="124" t="e">
        <f aca="false">VLOOKUP(B23,Paysheet!$A$4:$CE$34,COLUMN(Paysheet!D20),FALSE())</f>
        <v>#N/A</v>
      </c>
      <c r="C25" s="117"/>
      <c r="D25" s="125" t="s">
        <v>385</v>
      </c>
      <c r="E25" s="126"/>
      <c r="F25" s="128" t="e">
        <f aca="false">VLOOKUP(B23,Paysheet!$A$4:$CE$34,COLUMN(Paysheet!R20),FALSE())*0.6</f>
        <v>#N/A</v>
      </c>
      <c r="G25" s="128" t="e">
        <f aca="false">VLOOKUP(B23,Paysheet!$A$4:$CE$34,COLUMN(Paysheet!R20),FALSE())*0.5*N1</f>
        <v>#N/A</v>
      </c>
      <c r="H25" s="127"/>
      <c r="I25" s="120" t="s">
        <v>64</v>
      </c>
      <c r="J25" s="120" t="e">
        <f aca="false">VLOOKUP(B23,Paysheet!$A$4:$CE$34,COLUMN(Paysheet!AV20),FALSE())</f>
        <v>#N/A</v>
      </c>
      <c r="K25" s="128" t="e">
        <f aca="false">VLOOKUP(B23,Paysheet!$A$4:$CE$34,COLUMN(Paysheet!AX20),FALSE())</f>
        <v>#N/A</v>
      </c>
      <c r="M25" s="3"/>
    </row>
    <row r="26" customFormat="false" ht="21" hidden="false" customHeight="true" outlineLevel="0" collapsed="false">
      <c r="A26" s="115" t="s">
        <v>388</v>
      </c>
      <c r="B26" s="124" t="s">
        <v>389</v>
      </c>
      <c r="C26" s="117"/>
      <c r="D26" s="125" t="s">
        <v>387</v>
      </c>
      <c r="E26" s="119"/>
      <c r="F26" s="128" t="e">
        <f aca="false">VLOOKUP(B23,Paysheet!$A$4:$CE$34,COLUMN(Paysheet!X21),FALSE())*0.6</f>
        <v>#N/A</v>
      </c>
      <c r="G26" s="128" t="e">
        <f aca="false">VLOOKUP(B23,Paysheet!$A$4:$CE$34,COLUMN(Paysheet!X21),FALSE())*0.4*N1</f>
        <v>#N/A</v>
      </c>
      <c r="H26" s="127"/>
      <c r="I26" s="120" t="s">
        <v>56</v>
      </c>
      <c r="J26" s="120" t="e">
        <f aca="false">VLOOKUP(B23,Paysheet!$A$4:$CE$34,COLUMN(Paysheet!AJ21),FALSE())</f>
        <v>#N/A</v>
      </c>
      <c r="K26" s="128" t="e">
        <f aca="false">VLOOKUP(B23,Paysheet!$A$4:$CE$34,COLUMN(Paysheet!AK21),FALSE())</f>
        <v>#N/A</v>
      </c>
      <c r="M26" s="3"/>
    </row>
    <row r="27" customFormat="false" ht="21" hidden="false" customHeight="true" outlineLevel="0" collapsed="false">
      <c r="A27" s="115" t="s">
        <v>35</v>
      </c>
      <c r="B27" s="124" t="e">
        <f aca="false">VLOOKUP(B23,Paysheet!$A$4:$CE$34,COLUMN(Paysheet!H22),FALSE())</f>
        <v>#N/A</v>
      </c>
      <c r="C27" s="117"/>
      <c r="D27" s="125" t="s">
        <v>390</v>
      </c>
      <c r="E27" s="119"/>
      <c r="F27" s="128" t="e">
        <f aca="false">VLOOKUP($B$23,Paysheet!$A$4:$CE$34,COLUMN(Paysheet!W22),FALSE())*0.6</f>
        <v>#N/A</v>
      </c>
      <c r="G27" s="128" t="e">
        <f aca="false">VLOOKUP(B23,Paysheet!$A$4:$CE$34,COLUMN(Paysheet!W22),FALSE())*0.4*N1</f>
        <v>#N/A</v>
      </c>
      <c r="H27" s="127"/>
      <c r="I27" s="120" t="s">
        <v>60</v>
      </c>
      <c r="J27" s="120"/>
      <c r="K27" s="128" t="e">
        <f aca="false">VLOOKUP(B23,Paysheet!$A$4:$CE$34,COLUMN(Paysheet!AM22),FALSE())</f>
        <v>#N/A</v>
      </c>
    </row>
    <row r="28" customFormat="false" ht="21" hidden="false" customHeight="true" outlineLevel="0" collapsed="false">
      <c r="A28" s="115" t="s">
        <v>34</v>
      </c>
      <c r="B28" s="124" t="e">
        <f aca="false">VLOOKUP(B23,Paysheet!$A$4:$CE$34,COLUMN(Paysheet!G23),FALSE())</f>
        <v>#N/A</v>
      </c>
      <c r="C28" s="117"/>
      <c r="D28" s="125" t="s">
        <v>391</v>
      </c>
      <c r="E28" s="126"/>
      <c r="F28" s="128"/>
      <c r="G28" s="128"/>
      <c r="H28" s="127"/>
      <c r="I28" s="120" t="s">
        <v>392</v>
      </c>
      <c r="J28" s="120"/>
      <c r="K28" s="128"/>
      <c r="M28" s="3"/>
    </row>
    <row r="29" customFormat="false" ht="21" hidden="false" customHeight="true" outlineLevel="0" collapsed="false">
      <c r="A29" s="115" t="s">
        <v>27</v>
      </c>
      <c r="B29" s="124" t="e">
        <f aca="false">VLOOKUP(B23,Paysheet!$A$4:$CE$34,COLUMN(Paysheet!CE24),FALSE())</f>
        <v>#N/A</v>
      </c>
      <c r="C29" s="117"/>
      <c r="D29" s="125" t="s">
        <v>52</v>
      </c>
      <c r="E29" s="126"/>
      <c r="F29" s="128" t="e">
        <f aca="false">VLOOKUP(B23,Paysheet!$A$4:$CE$34,COLUMN(Paysheet!AB24),FALSE())*0.5</f>
        <v>#N/A</v>
      </c>
      <c r="G29" s="128" t="e">
        <f aca="false">VLOOKUP(B23,Paysheet!$A$4:$CE$34,COLUMN(Paysheet!AB24),FALSE())*0.5*N1</f>
        <v>#N/A</v>
      </c>
      <c r="H29" s="127"/>
      <c r="I29" s="129" t="s">
        <v>393</v>
      </c>
      <c r="J29" s="120" t="e">
        <f aca="false">VLOOKUP(B23,Paysheet!$A$4:$CE$34,COLUMN(Paysheet!BD24),FALSE())</f>
        <v>#N/A</v>
      </c>
      <c r="K29" s="128" t="e">
        <f aca="false">VLOOKUP($B$23,Paysheet!$A$4:$CE$34,COLUMN(Paysheet!BC24),FALSE())</f>
        <v>#N/A</v>
      </c>
    </row>
    <row r="30" customFormat="false" ht="21" hidden="false" customHeight="true" outlineLevel="0" collapsed="false">
      <c r="A30" s="115" t="s">
        <v>395</v>
      </c>
      <c r="B30" s="124" t="e">
        <f aca="false">VLOOKUP(B23,Paysheet!$A$4:$CE$34,COLUMN(Paysheet!I25),FALSE())</f>
        <v>#N/A</v>
      </c>
      <c r="C30" s="117"/>
      <c r="D30" s="125" t="s">
        <v>394</v>
      </c>
      <c r="E30" s="126"/>
      <c r="F30" s="128" t="e">
        <f aca="false">VLOOKUP(B23,Paysheet!$A$4:$CE$34,COLUMN(Paysheet!AC25),FALSE())*0.6</f>
        <v>#N/A</v>
      </c>
      <c r="G30" s="128" t="e">
        <f aca="false">VLOOKUP(B23,Paysheet!$A$4:$CE$34,COLUMN(Paysheet!AC25),FALSE())*0.4*N1</f>
        <v>#N/A</v>
      </c>
      <c r="H30" s="130"/>
      <c r="I30" s="129" t="s">
        <v>65</v>
      </c>
      <c r="J30" s="120"/>
      <c r="K30" s="128" t="e">
        <f aca="false">VLOOKUP(B23,Paysheet!$A$4:$CE$34,COLUMN(Paysheet!BA25),FALSE())</f>
        <v>#N/A</v>
      </c>
    </row>
    <row r="31" customFormat="false" ht="21" hidden="false" customHeight="true" outlineLevel="0" collapsed="false">
      <c r="A31" s="115" t="s">
        <v>33</v>
      </c>
      <c r="B31" s="124" t="e">
        <f aca="false">VLOOKUP(B23,Paysheet!$A$4:$CE$34,COLUMN(Paysheet!F26),FALSE())</f>
        <v>#N/A</v>
      </c>
      <c r="C31" s="117"/>
      <c r="D31" s="125" t="s">
        <v>396</v>
      </c>
      <c r="E31" s="126"/>
      <c r="F31" s="128" t="e">
        <f aca="false">VLOOKUP(B23,Paysheet!$A$4:$CE$34,COLUMN(Paysheet!V26),FALSE())*0.6</f>
        <v>#N/A</v>
      </c>
      <c r="G31" s="128" t="e">
        <f aca="false">VLOOKUP(B23,Paysheet!$A$4:$CE$34,COLUMN(Paysheet!V26),FALSE())*0.4*N1</f>
        <v>#N/A</v>
      </c>
      <c r="H31" s="127"/>
      <c r="I31" s="129" t="s">
        <v>59</v>
      </c>
      <c r="J31" s="120"/>
      <c r="K31" s="128" t="e">
        <f aca="false">VLOOKUP(B23,Paysheet!$A$4:$CE$34,COLUMN(Paysheet!AL26),FALSE())</f>
        <v>#N/A</v>
      </c>
      <c r="M31" s="3" t="s">
        <v>397</v>
      </c>
      <c r="N31" s="3"/>
    </row>
    <row r="32" customFormat="false" ht="21" hidden="false" customHeight="true" outlineLevel="0" collapsed="false">
      <c r="A32" s="115" t="s">
        <v>32</v>
      </c>
      <c r="B32" s="132" t="e">
        <f aca="false">VLOOKUP($B$23,Paysheet!$A$4:$CE$34,COLUMN(Paysheet!E34),FALSE())</f>
        <v>#N/A</v>
      </c>
      <c r="C32" s="131"/>
      <c r="D32" s="125" t="s">
        <v>398</v>
      </c>
      <c r="E32" s="126"/>
      <c r="F32" s="128"/>
      <c r="G32" s="128" t="n">
        <f aca="false">(300*N1)+Paysheet!S5</f>
        <v>11215.145412</v>
      </c>
      <c r="H32" s="127"/>
      <c r="I32" s="120" t="s">
        <v>399</v>
      </c>
      <c r="J32" s="120" t="e">
        <f aca="false">VLOOKUP(B23,Paysheet!$A$4:$CE$34,COLUMN(Paysheet!BH20),FALSE())</f>
        <v>#N/A</v>
      </c>
      <c r="K32" s="128" t="e">
        <f aca="false">VLOOKUP(B23,Paysheet!$A$4:$CE$34,COLUMN(Paysheet!BE20),FALSE())</f>
        <v>#N/A</v>
      </c>
      <c r="M32" s="3" t="s">
        <v>26</v>
      </c>
      <c r="N32" s="3" t="e">
        <f aca="false">F35-J35</f>
        <v>#N/A</v>
      </c>
    </row>
    <row r="33" customFormat="false" ht="21" hidden="false" customHeight="true" outlineLevel="0" collapsed="false">
      <c r="A33" s="145" t="s">
        <v>401</v>
      </c>
      <c r="B33" s="146" t="e">
        <f aca="false">VLOOKUP(B23,Paysheet!$A$4:$CE$34,COLUMN(Paysheet!M27),FALSE())</f>
        <v>#N/A</v>
      </c>
      <c r="C33" s="133"/>
      <c r="D33" s="134" t="s">
        <v>408</v>
      </c>
      <c r="E33" s="135"/>
      <c r="F33" s="137" t="e">
        <f aca="false">VLOOKUP(B23,Paysheet!$A$4:$CE$34,COLUMN(Paysheet!T27),FALSE())*0.5</f>
        <v>#N/A</v>
      </c>
      <c r="G33" s="137" t="e">
        <f aca="false">VLOOKUP(B23,Paysheet!$A$4:$CE$34,COLUMN(Paysheet!T27),FALSE())*0.5*N1</f>
        <v>#N/A</v>
      </c>
      <c r="H33" s="138"/>
      <c r="I33" s="136" t="s">
        <v>400</v>
      </c>
      <c r="J33" s="136" t="e">
        <f aca="false">VLOOKUP(B23,Paysheet!$A$4:$CE$34,COLUMN(Paysheet!BI27),FALSE())</f>
        <v>#N/A</v>
      </c>
      <c r="K33" s="137"/>
      <c r="M33" s="1" t="s">
        <v>62</v>
      </c>
      <c r="N33" s="3" t="e">
        <f aca="false">G35-K35</f>
        <v>#N/A</v>
      </c>
    </row>
    <row r="34" customFormat="false" ht="15.75" hidden="true" customHeight="true" outlineLevel="0" collapsed="false">
      <c r="A34" s="139"/>
      <c r="B34" s="139"/>
      <c r="C34" s="140"/>
      <c r="D34" s="140"/>
      <c r="E34" s="141"/>
      <c r="F34" s="142"/>
      <c r="G34" s="142"/>
      <c r="H34" s="143"/>
      <c r="I34" s="142"/>
      <c r="J34" s="142"/>
      <c r="K34" s="144"/>
      <c r="M34" s="3" t="e">
        <f aca="false">K38-N32</f>
        <v>#N/A</v>
      </c>
      <c r="N34" s="3" t="e">
        <f aca="false">K37-N33</f>
        <v>#N/A</v>
      </c>
    </row>
    <row r="35" customFormat="false" ht="21" hidden="false" customHeight="true" outlineLevel="0" collapsed="false">
      <c r="A35" s="145"/>
      <c r="B35" s="183"/>
      <c r="C35" s="147"/>
      <c r="D35" s="148" t="s">
        <v>402</v>
      </c>
      <c r="E35" s="149"/>
      <c r="F35" s="184" t="e">
        <f aca="false">SUM(F24:F34)</f>
        <v>#N/A</v>
      </c>
      <c r="G35" s="184" t="e">
        <f aca="false">SUM(G24:G34)</f>
        <v>#N/A</v>
      </c>
      <c r="H35" s="152"/>
      <c r="I35" s="151" t="s">
        <v>403</v>
      </c>
      <c r="J35" s="151" t="e">
        <f aca="false">SUM(J24:J34)</f>
        <v>#N/A</v>
      </c>
      <c r="K35" s="151" t="e">
        <f aca="false">SUM(K24:K34)</f>
        <v>#N/A</v>
      </c>
    </row>
    <row r="36" customFormat="false" ht="6" hidden="false" customHeight="true" outlineLevel="0" collapsed="false">
      <c r="A36" s="108"/>
      <c r="B36" s="108"/>
      <c r="C36" s="108"/>
      <c r="D36" s="153"/>
      <c r="E36" s="154"/>
      <c r="F36" s="155"/>
      <c r="G36" s="156"/>
      <c r="H36" s="156"/>
      <c r="I36" s="155"/>
      <c r="J36" s="157"/>
      <c r="K36" s="155"/>
      <c r="M36" s="3"/>
    </row>
    <row r="37" customFormat="false" ht="15.75" hidden="false" customHeight="true" outlineLevel="0" collapsed="false">
      <c r="A37" s="158" t="s">
        <v>404</v>
      </c>
      <c r="B37" s="159" t="e">
        <f aca="false">VLOOKUP(B23,Paysheet!$A$4:$CE$34,COLUMN(Paysheet!BU31),FALSE())</f>
        <v>#N/A</v>
      </c>
      <c r="C37" s="100"/>
      <c r="D37" s="107" t="e">
        <f aca="false">VLOOKUP(B23,Paysheet!$A$4:$CE$34,COLUMN(Paysheet!BZ31),FALSE())</f>
        <v>#N/A</v>
      </c>
      <c r="E37" s="160"/>
      <c r="F37" s="161" t="s">
        <v>405</v>
      </c>
      <c r="G37" s="162"/>
      <c r="H37" s="163"/>
      <c r="I37" s="164" t="s">
        <v>406</v>
      </c>
      <c r="J37" s="165" t="s">
        <v>62</v>
      </c>
      <c r="K37" s="166" t="e">
        <f aca="false">VLOOKUP(B23,Paysheet!$A$4:$CE$34,COLUMN(Paysheet!BM20),FALSE())</f>
        <v>#N/A</v>
      </c>
      <c r="M37" s="3"/>
      <c r="N37" s="3" t="e">
        <f aca="false">K37-N33</f>
        <v>#N/A</v>
      </c>
    </row>
    <row r="38" customFormat="false" ht="15.75" hidden="false" customHeight="true" outlineLevel="0" collapsed="false">
      <c r="A38" s="115" t="s">
        <v>407</v>
      </c>
      <c r="B38" s="167" t="e">
        <f aca="false">VLOOKUP(B23,Paysheet!$A$4:$CE$34,COLUMN(Paysheet!BX31),FALSE())</f>
        <v>#N/A</v>
      </c>
      <c r="C38" s="168"/>
      <c r="D38" s="124" t="e">
        <f aca="false">VLOOKUP(B23,Paysheet!$A$4:$CE$34,COLUMN(Paysheet!BZ31),FALSE())</f>
        <v>#N/A</v>
      </c>
      <c r="E38" s="169"/>
      <c r="F38" s="170" t="e">
        <f aca="false">VLOOKUP($B$23,Paysheet!$A$4:$CE$34,COLUMN(Paysheet!AS14),FALSE())</f>
        <v>#N/A</v>
      </c>
      <c r="G38" s="171"/>
      <c r="H38" s="172"/>
      <c r="I38" s="164"/>
      <c r="J38" s="173" t="s">
        <v>26</v>
      </c>
      <c r="K38" s="174" t="e">
        <f aca="false">VLOOKUP(B23,Paysheet!$A$4:$CE$34,COLUMN(Paysheet!BL20),FALSE())</f>
        <v>#N/A</v>
      </c>
      <c r="M38" s="3"/>
      <c r="N38" s="3"/>
    </row>
    <row r="39" customFormat="false" ht="6" hidden="false" customHeight="true" outlineLevel="0" collapsed="false">
      <c r="A39" s="175"/>
      <c r="B39" s="176"/>
      <c r="C39" s="176"/>
      <c r="D39" s="176"/>
      <c r="E39" s="177"/>
      <c r="F39" s="177"/>
      <c r="G39" s="178"/>
      <c r="H39" s="178"/>
      <c r="I39" s="177"/>
      <c r="J39" s="179"/>
      <c r="K39" s="179"/>
      <c r="M39" s="3"/>
    </row>
    <row r="40" customFormat="false" ht="51" hidden="false" customHeight="true" outlineLevel="0" collapsed="false">
      <c r="A40" s="126"/>
      <c r="B40" s="119"/>
      <c r="C40" s="119"/>
      <c r="D40" s="119"/>
      <c r="E40" s="126"/>
      <c r="F40" s="126"/>
      <c r="G40" s="180"/>
      <c r="H40" s="180"/>
      <c r="I40" s="126"/>
      <c r="J40" s="181"/>
      <c r="K40" s="181"/>
      <c r="M40" s="3"/>
    </row>
    <row r="41" customFormat="false" ht="51" hidden="false" customHeight="true" outlineLevel="0" collapsed="false">
      <c r="A41" s="126"/>
      <c r="B41" s="119"/>
      <c r="C41" s="119"/>
      <c r="D41" s="119"/>
      <c r="E41" s="126"/>
      <c r="F41" s="126"/>
      <c r="G41" s="180"/>
      <c r="H41" s="180"/>
      <c r="I41" s="126"/>
      <c r="J41" s="181"/>
      <c r="K41" s="181"/>
      <c r="M41" s="3"/>
    </row>
    <row r="42" customFormat="false" ht="15.75" hidden="false" customHeight="true" outlineLevel="0" collapsed="false">
      <c r="A42" s="96" t="s">
        <v>373</v>
      </c>
      <c r="B42" s="96"/>
      <c r="C42" s="96"/>
      <c r="D42" s="96"/>
      <c r="E42" s="96"/>
      <c r="F42" s="96"/>
      <c r="G42" s="96"/>
      <c r="H42" s="96"/>
      <c r="I42" s="96"/>
      <c r="J42" s="96"/>
      <c r="K42" s="96"/>
    </row>
    <row r="43" customFormat="false" ht="21" hidden="false" customHeight="true" outlineLevel="0" collapsed="false">
      <c r="A43" s="106" t="e">
        <f aca="false">VLOOKUP(B44,Paysheet!$A$4:$CE$34,COLUMN(Paysheet!B18),FALSE())</f>
        <v>#N/A</v>
      </c>
      <c r="B43" s="107" t="e">
        <f aca="false">VLOOKUP(B44,Paysheet!$A$4:$CE$34,COLUMN(Paysheet!C18),FALSE())</f>
        <v>#N/A</v>
      </c>
      <c r="C43" s="185"/>
      <c r="D43" s="101" t="s">
        <v>375</v>
      </c>
      <c r="E43" s="102" t="s">
        <v>376</v>
      </c>
      <c r="F43" s="103" t="s">
        <v>377</v>
      </c>
      <c r="G43" s="103"/>
      <c r="H43" s="104"/>
      <c r="I43" s="103" t="s">
        <v>409</v>
      </c>
      <c r="J43" s="103" t="s">
        <v>379</v>
      </c>
      <c r="K43" s="103"/>
    </row>
    <row r="44" customFormat="false" ht="21" hidden="false" customHeight="true" outlineLevel="0" collapsed="false">
      <c r="A44" s="115" t="s">
        <v>381</v>
      </c>
      <c r="B44" s="116" t="str">
        <f aca="false">O4</f>
        <v>AESR89</v>
      </c>
      <c r="C44" s="108"/>
      <c r="D44" s="101"/>
      <c r="E44" s="109"/>
      <c r="F44" s="182" t="s">
        <v>74</v>
      </c>
      <c r="G44" s="110" t="s">
        <v>62</v>
      </c>
      <c r="H44" s="111"/>
      <c r="I44" s="103" t="s">
        <v>410</v>
      </c>
      <c r="J44" s="112" t="s">
        <v>26</v>
      </c>
      <c r="K44" s="113" t="s">
        <v>62</v>
      </c>
    </row>
    <row r="45" customFormat="false" ht="21" hidden="false" customHeight="true" outlineLevel="0" collapsed="false">
      <c r="A45" s="115" t="s">
        <v>38</v>
      </c>
      <c r="B45" s="124" t="e">
        <f aca="false">VLOOKUP(B44,Paysheet!$A$4:$CE$34,COLUMN(Paysheet!K20),FALSE())</f>
        <v>#N/A</v>
      </c>
      <c r="C45" s="117"/>
      <c r="D45" s="118" t="s">
        <v>382</v>
      </c>
      <c r="E45" s="119" t="e">
        <f aca="false">VLOOKUP($B$44,Paysheet!$A$4:$CE$34,COLUMN(Paysheet!L20),FALSE())</f>
        <v>#N/A</v>
      </c>
      <c r="F45" s="121" t="e">
        <f aca="false">VLOOKUP(B44,Paysheet!$A$4:$CE$34,COLUMN(Paysheet!P22),FALSE())*0.5</f>
        <v>#N/A</v>
      </c>
      <c r="G45" s="121" t="e">
        <f aca="false">VLOOKUP(B44,Paysheet!$A$4:$CE$34,COLUMN(Paysheet!P22),FALSE())*0.5*N1</f>
        <v>#N/A</v>
      </c>
      <c r="H45" s="122"/>
      <c r="I45" s="123" t="s">
        <v>383</v>
      </c>
      <c r="J45" s="123" t="e">
        <f aca="false">VLOOKUP(B44,Paysheet!$A$4:$CE$34,COLUMN(Paysheet!AU20),FALSE())</f>
        <v>#N/A</v>
      </c>
      <c r="K45" s="121" t="e">
        <f aca="false">VLOOKUP(B44,Paysheet!$A$4:$CE$34,COLUMN(Paysheet!AW20),FALSE())</f>
        <v>#N/A</v>
      </c>
    </row>
    <row r="46" customFormat="false" ht="21" hidden="false" customHeight="true" outlineLevel="0" collapsed="false">
      <c r="A46" s="115" t="s">
        <v>386</v>
      </c>
      <c r="B46" s="124" t="e">
        <f aca="false">VLOOKUP(B44,Paysheet!$A$4:$CE$34,COLUMN(Paysheet!D45),FALSE())</f>
        <v>#N/A</v>
      </c>
      <c r="C46" s="117"/>
      <c r="D46" s="125" t="s">
        <v>411</v>
      </c>
      <c r="E46" s="126"/>
      <c r="F46" s="128" t="e">
        <f aca="false">VLOOKUP(B44,Paysheet!$A$4:$CE$34,COLUMN(Paysheet!R45),FALSE())*0.5</f>
        <v>#N/A</v>
      </c>
      <c r="G46" s="128" t="e">
        <f aca="false">VLOOKUP(B44,Paysheet!$A$4:$CE$34,COLUMN(Paysheet!R45),FALSE())*0.5*N1</f>
        <v>#N/A</v>
      </c>
      <c r="H46" s="127"/>
      <c r="I46" s="120" t="s">
        <v>64</v>
      </c>
      <c r="J46" s="120" t="e">
        <f aca="false">VLOOKUP(B44,Paysheet!$A$4:$CE$34,COLUMN(Paysheet!AV45),FALSE())</f>
        <v>#N/A</v>
      </c>
      <c r="K46" s="128" t="e">
        <f aca="false">VLOOKUP(B44,Paysheet!$A$4:$CE$34,COLUMN(Paysheet!AX45),FALSE())</f>
        <v>#N/A</v>
      </c>
    </row>
    <row r="47" customFormat="false" ht="21.75" hidden="false" customHeight="true" outlineLevel="0" collapsed="false">
      <c r="A47" s="115" t="s">
        <v>388</v>
      </c>
      <c r="B47" s="124" t="s">
        <v>389</v>
      </c>
      <c r="C47" s="117"/>
      <c r="D47" s="125" t="s">
        <v>387</v>
      </c>
      <c r="E47" s="119"/>
      <c r="F47" s="128" t="e">
        <f aca="false">VLOOKUP(B44,Paysheet!$A$4:$CE$34,COLUMN(Paysheet!X46),FALSE())*0.6</f>
        <v>#N/A</v>
      </c>
      <c r="G47" s="128" t="e">
        <f aca="false">VLOOKUP(B44,Paysheet!$A$4:$CE$34,COLUMN(Paysheet!X46),FALSE())*0.4*N22</f>
        <v>#N/A</v>
      </c>
      <c r="H47" s="127"/>
      <c r="I47" s="120" t="s">
        <v>56</v>
      </c>
      <c r="J47" s="120" t="e">
        <f aca="false">VLOOKUP(B44,Paysheet!$A$4:$CE$34,COLUMN(Paysheet!AJ46),FALSE())</f>
        <v>#N/A</v>
      </c>
      <c r="K47" s="128" t="e">
        <f aca="false">VLOOKUP(B44,Paysheet!$A$4:$CE$34,COLUMN(Paysheet!AK46),FALSE())</f>
        <v>#N/A</v>
      </c>
    </row>
    <row r="48" customFormat="false" ht="21" hidden="false" customHeight="true" outlineLevel="0" collapsed="false">
      <c r="A48" s="115" t="s">
        <v>35</v>
      </c>
      <c r="B48" s="124" t="e">
        <f aca="false">VLOOKUP(B44,Paysheet!$A$4:$CE$34,COLUMN(Paysheet!H47),FALSE())</f>
        <v>#N/A</v>
      </c>
      <c r="C48" s="117"/>
      <c r="D48" s="125" t="s">
        <v>390</v>
      </c>
      <c r="E48" s="119"/>
      <c r="F48" s="128" t="e">
        <f aca="false">VLOOKUP($B$23,Paysheet!$A$4:$CE$34,COLUMN(Paysheet!W47),FALSE())*0.6</f>
        <v>#N/A</v>
      </c>
      <c r="G48" s="128" t="e">
        <f aca="false">VLOOKUP(B44,Paysheet!$A$4:$CE$34,COLUMN(Paysheet!W47),FALSE())*0.4*N22</f>
        <v>#N/A</v>
      </c>
      <c r="H48" s="127"/>
      <c r="I48" s="120" t="s">
        <v>60</v>
      </c>
      <c r="J48" s="120"/>
      <c r="K48" s="128" t="e">
        <f aca="false">VLOOKUP(B44,Paysheet!$A$4:$CE$34,COLUMN(Paysheet!AM47),FALSE())</f>
        <v>#N/A</v>
      </c>
    </row>
    <row r="49" customFormat="false" ht="21" hidden="false" customHeight="true" outlineLevel="0" collapsed="false">
      <c r="A49" s="115" t="s">
        <v>34</v>
      </c>
      <c r="B49" s="124" t="e">
        <f aca="false">VLOOKUP(B44,Paysheet!$A$4:$CE$34,COLUMN(Paysheet!G48),FALSE())</f>
        <v>#N/A</v>
      </c>
      <c r="C49" s="117"/>
      <c r="D49" s="125" t="s">
        <v>391</v>
      </c>
      <c r="E49" s="126"/>
      <c r="F49" s="128"/>
      <c r="G49" s="128"/>
      <c r="H49" s="127"/>
      <c r="I49" s="120" t="s">
        <v>392</v>
      </c>
      <c r="J49" s="120"/>
      <c r="K49" s="128"/>
    </row>
    <row r="50" customFormat="false" ht="21" hidden="false" customHeight="true" outlineLevel="0" collapsed="false">
      <c r="A50" s="115" t="s">
        <v>27</v>
      </c>
      <c r="B50" s="124" t="s">
        <v>330</v>
      </c>
      <c r="C50" s="117"/>
      <c r="D50" s="125" t="s">
        <v>52</v>
      </c>
      <c r="E50" s="126"/>
      <c r="F50" s="128" t="e">
        <f aca="false">VLOOKUP(B44,Paysheet!$A$4:$CE$34,COLUMN(Paysheet!AB49),FALSE())*0.5</f>
        <v>#N/A</v>
      </c>
      <c r="G50" s="128" t="e">
        <f aca="false">VLOOKUP(B44,Paysheet!$A$4:$CE$34,COLUMN(Paysheet!AB49),FALSE())*0.5*N1</f>
        <v>#N/A</v>
      </c>
      <c r="H50" s="127"/>
      <c r="I50" s="129" t="s">
        <v>393</v>
      </c>
      <c r="J50" s="120" t="e">
        <f aca="false">VLOOKUP(B44,Paysheet!$A$4:$CE$34,COLUMN(Paysheet!BD49),FALSE())</f>
        <v>#N/A</v>
      </c>
      <c r="K50" s="128" t="e">
        <f aca="false">VLOOKUP($B$23,Paysheet!$A$4:$CE$34,COLUMN(Paysheet!BC49),FALSE())</f>
        <v>#N/A</v>
      </c>
    </row>
    <row r="51" customFormat="false" ht="21" hidden="false" customHeight="true" outlineLevel="0" collapsed="false">
      <c r="A51" s="115" t="s">
        <v>395</v>
      </c>
      <c r="B51" s="124" t="e">
        <f aca="false">VLOOKUP(B44,Paysheet!$A$4:$CE$34,COLUMN(Paysheet!I50),FALSE())</f>
        <v>#N/A</v>
      </c>
      <c r="C51" s="117"/>
      <c r="D51" s="125" t="s">
        <v>394</v>
      </c>
      <c r="E51" s="126"/>
      <c r="F51" s="128" t="e">
        <f aca="false">VLOOKUP(B44,Paysheet!$A$4:$CE$34,COLUMN(Paysheet!AC50),FALSE())*0.6</f>
        <v>#N/A</v>
      </c>
      <c r="G51" s="128" t="e">
        <f aca="false">VLOOKUP(B44,Paysheet!$A$4:$CE$34,COLUMN(Paysheet!AC50),FALSE())*0.4*N22</f>
        <v>#N/A</v>
      </c>
      <c r="H51" s="130"/>
      <c r="I51" s="129" t="s">
        <v>65</v>
      </c>
      <c r="J51" s="120"/>
      <c r="K51" s="128" t="e">
        <f aca="false">VLOOKUP(B44,Paysheet!$A$4:$CE$34,COLUMN(Paysheet!BA50),FALSE())</f>
        <v>#N/A</v>
      </c>
    </row>
    <row r="52" customFormat="false" ht="21" hidden="false" customHeight="true" outlineLevel="0" collapsed="false">
      <c r="A52" s="115" t="s">
        <v>33</v>
      </c>
      <c r="B52" s="124" t="e">
        <f aca="false">VLOOKUP(B44,Paysheet!$A$4:$CE$34,COLUMN(Paysheet!F34),FALSE())</f>
        <v>#N/A</v>
      </c>
      <c r="C52" s="117"/>
      <c r="D52" s="125" t="s">
        <v>396</v>
      </c>
      <c r="E52" s="126"/>
      <c r="F52" s="128" t="e">
        <f aca="false">VLOOKUP(B44,Paysheet!$A$4:$CE$34,COLUMN(Paysheet!V34),FALSE())*0.6</f>
        <v>#N/A</v>
      </c>
      <c r="G52" s="128" t="e">
        <f aca="false">VLOOKUP(B44,Paysheet!$A$4:$CE$34,COLUMN(Paysheet!V34),FALSE())*0.4*N1</f>
        <v>#N/A</v>
      </c>
      <c r="H52" s="127"/>
      <c r="I52" s="129" t="s">
        <v>59</v>
      </c>
      <c r="J52" s="120"/>
      <c r="K52" s="128" t="e">
        <f aca="false">VLOOKUP(B44,Paysheet!$A$4:$CE$34,COLUMN(Paysheet!AL51),FALSE())</f>
        <v>#N/A</v>
      </c>
      <c r="M52" s="3" t="s">
        <v>397</v>
      </c>
      <c r="N52" s="3"/>
    </row>
    <row r="53" customFormat="false" ht="21" hidden="false" customHeight="true" outlineLevel="0" collapsed="false">
      <c r="A53" s="115" t="s">
        <v>32</v>
      </c>
      <c r="B53" s="132" t="e">
        <f aca="false">VLOOKUP($B$23,Paysheet!$A$4:$CE$34,COLUMN(Paysheet!E45),FALSE())</f>
        <v>#N/A</v>
      </c>
      <c r="C53" s="131"/>
      <c r="D53" s="125" t="s">
        <v>398</v>
      </c>
      <c r="E53" s="126"/>
      <c r="F53" s="128"/>
      <c r="G53" s="128" t="n">
        <f aca="false">70*N1+Paysheet!S8</f>
        <v>5833.1996912</v>
      </c>
      <c r="H53" s="127"/>
      <c r="I53" s="120" t="s">
        <v>399</v>
      </c>
      <c r="J53" s="120" t="e">
        <f aca="false">VLOOKUP(B44,Paysheet!$A$4:$CE$34,COLUMN(Paysheet!BH45),FALSE())</f>
        <v>#N/A</v>
      </c>
      <c r="K53" s="128" t="e">
        <f aca="false">VLOOKUP(B44,Paysheet!$A$4:$CE$34,COLUMN(Paysheet!BB52),FALSE())</f>
        <v>#N/A</v>
      </c>
      <c r="M53" s="3" t="s">
        <v>26</v>
      </c>
      <c r="N53" s="3" t="e">
        <f aca="false">F55-J55</f>
        <v>#N/A</v>
      </c>
    </row>
    <row r="54" customFormat="false" ht="21" hidden="false" customHeight="true" outlineLevel="0" collapsed="false">
      <c r="A54" s="145" t="s">
        <v>401</v>
      </c>
      <c r="B54" s="146" t="e">
        <f aca="false">VLOOKUP(B44,Paysheet!$A$4:$CE$34,COLUMN(Paysheet!M38),FALSE())</f>
        <v>#N/A</v>
      </c>
      <c r="C54" s="133"/>
      <c r="D54" s="134" t="s">
        <v>408</v>
      </c>
      <c r="E54" s="135"/>
      <c r="F54" s="137" t="e">
        <f aca="false">VLOOKUP(B44,Paysheet!$A$4:$CE$34,COLUMN(Paysheet!T46),FALSE())*0.6</f>
        <v>#N/A</v>
      </c>
      <c r="G54" s="137" t="e">
        <f aca="false">VLOOKUP(B44,Paysheet!$A$4:$CE$34,COLUMN(Paysheet!T46),FALSE())*0.4*N1</f>
        <v>#N/A</v>
      </c>
      <c r="H54" s="138"/>
      <c r="I54" s="136" t="s">
        <v>400</v>
      </c>
      <c r="J54" s="136" t="e">
        <f aca="false">VLOOKUP(B44,Paysheet!$A$4:$CE$34,COLUMN(Paysheet!BI46),FALSE())</f>
        <v>#N/A</v>
      </c>
      <c r="K54" s="137"/>
      <c r="M54" s="1" t="s">
        <v>62</v>
      </c>
      <c r="N54" s="3" t="e">
        <f aca="false">G55-K55</f>
        <v>#N/A</v>
      </c>
    </row>
    <row r="55" customFormat="false" ht="15.75" hidden="false" customHeight="true" outlineLevel="0" collapsed="false">
      <c r="A55" s="145"/>
      <c r="B55" s="183"/>
      <c r="C55" s="147"/>
      <c r="D55" s="148" t="s">
        <v>402</v>
      </c>
      <c r="E55" s="149"/>
      <c r="F55" s="184" t="e">
        <f aca="false">SUM(F45:F54)</f>
        <v>#N/A</v>
      </c>
      <c r="G55" s="184" t="e">
        <f aca="false">SUM(G45:G54)</f>
        <v>#N/A</v>
      </c>
      <c r="H55" s="152"/>
      <c r="I55" s="151" t="s">
        <v>403</v>
      </c>
      <c r="J55" s="151" t="e">
        <f aca="false">SUM(J45:J54)</f>
        <v>#N/A</v>
      </c>
      <c r="K55" s="151" t="e">
        <f aca="false">SUM(K45:K54)</f>
        <v>#N/A</v>
      </c>
    </row>
    <row r="56" customFormat="false" ht="6" hidden="false" customHeight="true" outlineLevel="0" collapsed="false">
      <c r="A56" s="108"/>
      <c r="B56" s="108"/>
      <c r="C56" s="108"/>
      <c r="D56" s="153"/>
      <c r="E56" s="154"/>
      <c r="F56" s="155"/>
      <c r="G56" s="156"/>
      <c r="H56" s="156"/>
      <c r="I56" s="155"/>
      <c r="J56" s="157"/>
      <c r="K56" s="155"/>
    </row>
    <row r="57" customFormat="false" ht="15.75" hidden="false" customHeight="true" outlineLevel="0" collapsed="false">
      <c r="A57" s="158" t="s">
        <v>404</v>
      </c>
      <c r="B57" s="159" t="e">
        <f aca="false">VLOOKUP(B44,Paysheet!$A$4:$CE$34,COLUMN(Paysheet!BU31),FALSE())</f>
        <v>#N/A</v>
      </c>
      <c r="C57" s="100"/>
      <c r="D57" s="107" t="e">
        <f aca="false">VLOOKUP(B44,Paysheet!$A$4:$CE$34,COLUMN(Paysheet!BZ31),FALSE())</f>
        <v>#N/A</v>
      </c>
      <c r="E57" s="160"/>
      <c r="F57" s="161" t="s">
        <v>405</v>
      </c>
      <c r="G57" s="162"/>
      <c r="H57" s="163"/>
      <c r="I57" s="164" t="s">
        <v>406</v>
      </c>
      <c r="J57" s="165" t="s">
        <v>62</v>
      </c>
      <c r="K57" s="166" t="e">
        <f aca="false">VLOOKUP(B44,Paysheet!$A$4:$CE$34,COLUMN(Paysheet!BM20),FALSE())</f>
        <v>#N/A</v>
      </c>
      <c r="N57" s="3" t="e">
        <f aca="false">K57-N54</f>
        <v>#N/A</v>
      </c>
    </row>
    <row r="58" customFormat="false" ht="15.75" hidden="false" customHeight="true" outlineLevel="0" collapsed="false">
      <c r="A58" s="115" t="s">
        <v>407</v>
      </c>
      <c r="B58" s="167" t="e">
        <f aca="false">VLOOKUP(B44,Paysheet!$A$4:$CE$34,COLUMN(Paysheet!BX31),FALSE())</f>
        <v>#N/A</v>
      </c>
      <c r="C58" s="168"/>
      <c r="D58" s="124" t="e">
        <f aca="false">VLOOKUP(B44,Paysheet!$A$4:$CE$34,COLUMN(Paysheet!BZ31),FALSE())</f>
        <v>#N/A</v>
      </c>
      <c r="E58" s="169"/>
      <c r="F58" s="170" t="e">
        <f aca="false">VLOOKUP($B$23,Paysheet!$A$4:$CE$34,COLUMN(Paysheet!AS14),FALSE())</f>
        <v>#N/A</v>
      </c>
      <c r="G58" s="171"/>
      <c r="H58" s="172"/>
      <c r="I58" s="164"/>
      <c r="J58" s="173" t="s">
        <v>26</v>
      </c>
      <c r="K58" s="174" t="e">
        <f aca="false">VLOOKUP(B44,Paysheet!$A$4:$CE$34,COLUMN(Paysheet!BL20),FALSE())</f>
        <v>#N/A</v>
      </c>
    </row>
    <row r="59" customFormat="false" ht="6" hidden="false" customHeight="true" outlineLevel="0" collapsed="false">
      <c r="A59" s="175"/>
      <c r="B59" s="176"/>
      <c r="C59" s="176"/>
      <c r="D59" s="176"/>
      <c r="E59" s="177"/>
      <c r="F59" s="177"/>
      <c r="G59" s="178"/>
      <c r="H59" s="178"/>
      <c r="I59" s="177"/>
      <c r="J59" s="179"/>
      <c r="K59" s="179"/>
    </row>
    <row r="60" customFormat="false" ht="15.75" hidden="false" customHeight="true" outlineLevel="0" collapsed="false">
      <c r="A60" s="126"/>
      <c r="B60" s="119"/>
      <c r="C60" s="119"/>
      <c r="D60" s="119"/>
      <c r="E60" s="126"/>
      <c r="F60" s="126"/>
      <c r="G60" s="180"/>
      <c r="H60" s="180"/>
      <c r="I60" s="126"/>
      <c r="J60" s="181"/>
      <c r="K60" s="181"/>
    </row>
  </sheetData>
  <mergeCells count="18">
    <mergeCell ref="A1:K1"/>
    <mergeCell ref="A2:B2"/>
    <mergeCell ref="D2:D3"/>
    <mergeCell ref="F2:G2"/>
    <mergeCell ref="I2:I3"/>
    <mergeCell ref="J2:K2"/>
    <mergeCell ref="I17:I18"/>
    <mergeCell ref="A21:K21"/>
    <mergeCell ref="D22:D23"/>
    <mergeCell ref="F22:G22"/>
    <mergeCell ref="I22:I23"/>
    <mergeCell ref="J22:K22"/>
    <mergeCell ref="I37:I38"/>
    <mergeCell ref="A42:K42"/>
    <mergeCell ref="D43:D44"/>
    <mergeCell ref="F43:G43"/>
    <mergeCell ref="J43:K43"/>
    <mergeCell ref="I57:I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8" activeCellId="0" sqref="M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.71"/>
    <col collapsed="false" customWidth="true" hidden="false" outlineLevel="0" max="2" min="2" style="1" width="20.14"/>
    <col collapsed="false" customWidth="true" hidden="false" outlineLevel="0" max="3" min="3" style="1" width="1.14"/>
    <col collapsed="false" customWidth="true" hidden="false" outlineLevel="0" max="4" min="4" style="1" width="28"/>
    <col collapsed="false" customWidth="true" hidden="false" outlineLevel="0" max="5" min="5" style="1" width="6.57"/>
    <col collapsed="false" customWidth="true" hidden="false" outlineLevel="0" max="6" min="6" style="1" width="10.85"/>
    <col collapsed="false" customWidth="true" hidden="false" outlineLevel="0" max="7" min="7" style="1" width="16"/>
    <col collapsed="false" customWidth="true" hidden="false" outlineLevel="0" max="8" min="8" style="1" width="1.14"/>
    <col collapsed="false" customWidth="true" hidden="false" outlineLevel="0" max="9" min="9" style="1" width="20.57"/>
    <col collapsed="false" customWidth="true" hidden="false" outlineLevel="0" max="10" min="10" style="1" width="10.57"/>
    <col collapsed="false" customWidth="true" hidden="false" outlineLevel="0" max="11" min="11" style="1" width="15.71"/>
    <col collapsed="false" customWidth="true" hidden="false" outlineLevel="0" max="13" min="12" style="1" width="12.29"/>
    <col collapsed="false" customWidth="true" hidden="false" outlineLevel="0" max="14" min="14" style="1" width="14"/>
    <col collapsed="false" customWidth="true" hidden="false" outlineLevel="0" max="17" min="15" style="1" width="9.14"/>
  </cols>
  <sheetData>
    <row r="1" customFormat="false" ht="21" hidden="false" customHeight="true" outlineLevel="0" collapsed="false">
      <c r="A1" s="186" t="s">
        <v>373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M1" s="97" t="s">
        <v>2</v>
      </c>
      <c r="N1" s="98" t="n">
        <f aca="false">' Payslip 1'!N1</f>
        <v>26.6951</v>
      </c>
    </row>
    <row r="2" customFormat="false" ht="21" hidden="false" customHeight="true" outlineLevel="0" collapsed="false">
      <c r="A2" s="99" t="s">
        <v>374</v>
      </c>
      <c r="B2" s="99"/>
      <c r="C2" s="100"/>
      <c r="D2" s="187" t="s">
        <v>375</v>
      </c>
      <c r="E2" s="102" t="s">
        <v>376</v>
      </c>
      <c r="F2" s="103" t="s">
        <v>377</v>
      </c>
      <c r="G2" s="103"/>
      <c r="H2" s="104"/>
      <c r="I2" s="105" t="s">
        <v>378</v>
      </c>
      <c r="J2" s="103" t="s">
        <v>379</v>
      </c>
      <c r="K2" s="103"/>
      <c r="M2" s="80" t="s">
        <v>384</v>
      </c>
      <c r="N2" s="1" t="n">
        <v>187</v>
      </c>
      <c r="O2" s="1" t="str">
        <f aca="false">CONCATENATE(M2,N2)</f>
        <v>AESR187</v>
      </c>
    </row>
    <row r="3" customFormat="false" ht="21" hidden="false" customHeight="true" outlineLevel="0" collapsed="false">
      <c r="A3" s="106" t="e">
        <f aca="false">VLOOKUP(B4,Paysheet!$A$4:$CE$48,COLUMN(Paysheet!B5),FALSE())</f>
        <v>#N/A</v>
      </c>
      <c r="B3" s="107" t="e">
        <f aca="false">VLOOKUP(B4,Paysheet!$A$4:$CE$48,COLUMN(Paysheet!C5),FALSE())</f>
        <v>#N/A</v>
      </c>
      <c r="C3" s="108"/>
      <c r="D3" s="187"/>
      <c r="E3" s="188"/>
      <c r="F3" s="102" t="s">
        <v>74</v>
      </c>
      <c r="G3" s="110" t="s">
        <v>62</v>
      </c>
      <c r="H3" s="111"/>
      <c r="I3" s="105"/>
      <c r="J3" s="112" t="s">
        <v>26</v>
      </c>
      <c r="K3" s="113" t="s">
        <v>62</v>
      </c>
      <c r="M3" s="114" t="s">
        <v>384</v>
      </c>
      <c r="N3" s="1" t="n">
        <v>179</v>
      </c>
      <c r="O3" s="1" t="str">
        <f aca="false">CONCATENATE(M3,N3)</f>
        <v>AESR179</v>
      </c>
    </row>
    <row r="4" customFormat="false" ht="21" hidden="false" customHeight="true" outlineLevel="0" collapsed="false">
      <c r="A4" s="115" t="s">
        <v>381</v>
      </c>
      <c r="B4" s="116" t="str">
        <f aca="false">O2</f>
        <v>AESR187</v>
      </c>
      <c r="C4" s="168"/>
      <c r="D4" s="160" t="s">
        <v>382</v>
      </c>
      <c r="E4" s="189" t="e">
        <f aca="false">VLOOKUP(B4,Paysheet!$A$4:$CE$48,COLUMN(Paysheet!L6),FALSE())</f>
        <v>#N/A</v>
      </c>
      <c r="F4" s="144" t="e">
        <f aca="false">VLOOKUP(B4,Paysheet!$A$4:$CE$48,COLUMN(Paysheet!P6),FALSE())*0.5</f>
        <v>#N/A</v>
      </c>
      <c r="G4" s="121" t="e">
        <f aca="false">VLOOKUP(B4,Paysheet!$A$4:$CE$48,COLUMN(Paysheet!P6),FALSE())*0.5*N1</f>
        <v>#N/A</v>
      </c>
      <c r="H4" s="122"/>
      <c r="I4" s="123" t="s">
        <v>383</v>
      </c>
      <c r="J4" s="123" t="e">
        <f aca="false">VLOOKUP(B4,Paysheet!$A$4:$CE$48,COLUMN(Paysheet!AU6),FALSE())</f>
        <v>#N/A</v>
      </c>
      <c r="K4" s="121" t="e">
        <f aca="false">VLOOKUP(B4,Paysheet!$A$4:$CE$48,COLUMN(Paysheet!AW6),FALSE())</f>
        <v>#N/A</v>
      </c>
      <c r="M4" s="114" t="s">
        <v>384</v>
      </c>
      <c r="N4" s="1" t="n">
        <v>183</v>
      </c>
      <c r="O4" s="1" t="str">
        <f aca="false">CONCATENATE(M4,N4)</f>
        <v>AESR183</v>
      </c>
    </row>
    <row r="5" customFormat="false" ht="21" hidden="false" customHeight="true" outlineLevel="0" collapsed="false">
      <c r="A5" s="115" t="s">
        <v>38</v>
      </c>
      <c r="B5" s="124" t="e">
        <f aca="false">VLOOKUP(B4,Paysheet!$A$4:$CE$48,COLUMN(Paysheet!K7),FALSE())</f>
        <v>#N/A</v>
      </c>
      <c r="C5" s="168"/>
      <c r="D5" s="190" t="s">
        <v>385</v>
      </c>
      <c r="E5" s="125"/>
      <c r="F5" s="144" t="e">
        <f aca="false">VLOOKUP(B4,Paysheet!$A$4:$CE$48,COLUMN(Paysheet!R7),FALSE())*0.5</f>
        <v>#N/A</v>
      </c>
      <c r="G5" s="120" t="e">
        <f aca="false">VLOOKUP(B4,Paysheet!$A$4:$CE$48,COLUMN(Paysheet!R7),FALSE())*0.5*N1</f>
        <v>#N/A</v>
      </c>
      <c r="H5" s="127"/>
      <c r="I5" s="120" t="s">
        <v>64</v>
      </c>
      <c r="J5" s="120" t="e">
        <f aca="false">VLOOKUP(B4,Paysheet!$A$4:$CE$48,COLUMN(Paysheet!AV7),FALSE())</f>
        <v>#N/A</v>
      </c>
      <c r="K5" s="128" t="e">
        <f aca="false">VLOOKUP(B4,Paysheet!$A$4:$CE$48,COLUMN(Paysheet!AX7),FALSE())</f>
        <v>#N/A</v>
      </c>
    </row>
    <row r="6" customFormat="false" ht="21" hidden="false" customHeight="true" outlineLevel="0" collapsed="false">
      <c r="A6" s="115" t="s">
        <v>386</v>
      </c>
      <c r="B6" s="124" t="e">
        <f aca="false">VLOOKUP(B4,Paysheet!$A$4:$CE$48,COLUMN(Paysheet!D8),FALSE())</f>
        <v>#N/A</v>
      </c>
      <c r="C6" s="168"/>
      <c r="D6" s="190" t="s">
        <v>387</v>
      </c>
      <c r="E6" s="191"/>
      <c r="F6" s="144" t="e">
        <f aca="false">VLOOKUP(B4,Paysheet!$A$4:$CE$48,COLUMN(Paysheet!X8),FALSE())*0.5</f>
        <v>#N/A</v>
      </c>
      <c r="G6" s="128"/>
      <c r="H6" s="127"/>
      <c r="I6" s="120" t="s">
        <v>56</v>
      </c>
      <c r="J6" s="120" t="e">
        <f aca="false">VLOOKUP(B4,Paysheet!$A$4:$CE$48,COLUMN(Paysheet!AJ8),FALSE())</f>
        <v>#N/A</v>
      </c>
      <c r="K6" s="128" t="e">
        <f aca="false">VLOOKUP(B4,Paysheet!$A$4:$CE$48,COLUMN(Paysheet!AK8),FALSE())</f>
        <v>#N/A</v>
      </c>
      <c r="N6" s="3"/>
    </row>
    <row r="7" customFormat="false" ht="21" hidden="false" customHeight="true" outlineLevel="0" collapsed="false">
      <c r="A7" s="115" t="s">
        <v>388</v>
      </c>
      <c r="B7" s="124" t="s">
        <v>389</v>
      </c>
      <c r="C7" s="168"/>
      <c r="D7" s="190" t="s">
        <v>390</v>
      </c>
      <c r="E7" s="191"/>
      <c r="F7" s="144" t="e">
        <f aca="false">VLOOKUP(B4,Paysheet!$A$4:$CE$48,COLUMN(Paysheet!W6),FALSE())*0.5</f>
        <v>#N/A</v>
      </c>
      <c r="G7" s="120" t="e">
        <f aca="false">VLOOKUP(B4,Paysheet!$A$4:$CE$48,COLUMN(Paysheet!W6),FALSE())*0.5*N1</f>
        <v>#N/A</v>
      </c>
      <c r="H7" s="127"/>
      <c r="I7" s="120" t="s">
        <v>60</v>
      </c>
      <c r="J7" s="120"/>
      <c r="K7" s="128" t="e">
        <f aca="false">VLOOKUP(B4,Paysheet!$A$4:$CE$48,COLUMN(Paysheet!AM12),FALSE())</f>
        <v>#N/A</v>
      </c>
      <c r="N7" s="3"/>
    </row>
    <row r="8" customFormat="false" ht="21" hidden="false" customHeight="true" outlineLevel="0" collapsed="false">
      <c r="A8" s="115" t="s">
        <v>35</v>
      </c>
      <c r="B8" s="124" t="e">
        <f aca="false">VLOOKUP(B4,Paysheet!$A$4:$CE$48,COLUMN(Paysheet!H9),FALSE())</f>
        <v>#N/A</v>
      </c>
      <c r="C8" s="168"/>
      <c r="D8" s="190" t="s">
        <v>391</v>
      </c>
      <c r="E8" s="125"/>
      <c r="F8" s="144" t="e">
        <f aca="false">VLOOKUP(B4,Paysheet!$A$4:$CE$48,COLUMN(Paysheet!BJ9),FALSE())</f>
        <v>#N/A</v>
      </c>
      <c r="G8" s="120" t="e">
        <f aca="false">VLOOKUP(B4,Paysheet!$A$4:$CE$48,COLUMN(Paysheet!BK9),FALSE())</f>
        <v>#N/A</v>
      </c>
      <c r="H8" s="127"/>
      <c r="I8" s="120" t="s">
        <v>392</v>
      </c>
      <c r="J8" s="120" t="e">
        <f aca="false">VLOOKUP(B4,Paysheet!$A$4:$CE$48,COLUMN(Paysheet!BG9),FALSE())</f>
        <v>#N/A</v>
      </c>
      <c r="K8" s="128"/>
      <c r="N8" s="3"/>
    </row>
    <row r="9" customFormat="false" ht="21" hidden="false" customHeight="true" outlineLevel="0" collapsed="false">
      <c r="A9" s="115" t="s">
        <v>34</v>
      </c>
      <c r="B9" s="124" t="e">
        <f aca="false">VLOOKUP(B4,Paysheet!$A$4:$CE$48,COLUMN(Paysheet!G10),FALSE())</f>
        <v>#N/A</v>
      </c>
      <c r="C9" s="168"/>
      <c r="D9" s="190" t="s">
        <v>52</v>
      </c>
      <c r="E9" s="125"/>
      <c r="F9" s="144" t="e">
        <f aca="false">VLOOKUP(B4,Paysheet!$A$4:$CE$48,COLUMN(Paysheet!AB10),FALSE())*0.5</f>
        <v>#N/A</v>
      </c>
      <c r="G9" s="128" t="e">
        <f aca="false">VLOOKUP(B4,Paysheet!$A$4:$CE$48,COLUMN(Paysheet!AB10),FALSE())*0.5*N1</f>
        <v>#N/A</v>
      </c>
      <c r="H9" s="127"/>
      <c r="I9" s="129" t="s">
        <v>393</v>
      </c>
      <c r="J9" s="120" t="e">
        <f aca="false">VLOOKUP(B4,Paysheet!$A$4:$CE$48,COLUMN(Paysheet!BD10),FALSE())</f>
        <v>#N/A</v>
      </c>
      <c r="K9" s="128" t="e">
        <f aca="false">VLOOKUP(B4,Paysheet!$A$4:$CE$48,COLUMN(Paysheet!BC10),FALSE())</f>
        <v>#N/A</v>
      </c>
      <c r="M9" s="3"/>
      <c r="N9" s="3"/>
    </row>
    <row r="10" customFormat="false" ht="20.25" hidden="false" customHeight="true" outlineLevel="0" collapsed="false">
      <c r="A10" s="115" t="s">
        <v>27</v>
      </c>
      <c r="B10" s="124" t="e">
        <f aca="false">VLOOKUP(B4,Paysheet!$A$4:$CE$48,COLUMN(Paysheet!CE11),FALSE())</f>
        <v>#N/A</v>
      </c>
      <c r="C10" s="168"/>
      <c r="D10" s="190" t="s">
        <v>394</v>
      </c>
      <c r="E10" s="125"/>
      <c r="F10" s="144" t="e">
        <f aca="false">VLOOKUP(B4,Paysheet!$A$4:$CE$48,COLUMN(Paysheet!AC11),FALSE())*0.5</f>
        <v>#N/A</v>
      </c>
      <c r="G10" s="120" t="e">
        <f aca="false">VLOOKUP(B4,Paysheet!$A$4:$CE$48,COLUMN(Paysheet!AC11),FALSE())*0.5*N1</f>
        <v>#N/A</v>
      </c>
      <c r="H10" s="130"/>
      <c r="I10" s="129" t="s">
        <v>65</v>
      </c>
      <c r="J10" s="120"/>
      <c r="K10" s="128" t="e">
        <f aca="false">VLOOKUP(B4,Paysheet!$A$4:$CE$48,COLUMN(Paysheet!BA11),FALSE())</f>
        <v>#N/A</v>
      </c>
      <c r="M10" s="3"/>
      <c r="N10" s="3"/>
    </row>
    <row r="11" customFormat="false" ht="21" hidden="false" customHeight="true" outlineLevel="0" collapsed="false">
      <c r="A11" s="115" t="s">
        <v>395</v>
      </c>
      <c r="B11" s="124" t="e">
        <f aca="false">VLOOKUP(B4,Paysheet!$A$4:$CE$48,COLUMN(Paysheet!I25),FALSE())</f>
        <v>#N/A</v>
      </c>
      <c r="C11" s="168"/>
      <c r="D11" s="190" t="s">
        <v>396</v>
      </c>
      <c r="E11" s="125"/>
      <c r="F11" s="144" t="e">
        <f aca="false">VLOOKUP(B4,Paysheet!$A$4:$CE$48,COLUMN(Paysheet!V11),FALSE())*0.5</f>
        <v>#N/A</v>
      </c>
      <c r="G11" s="120" t="e">
        <f aca="false">VLOOKUP(B4,Paysheet!$A$4:$CE$48,COLUMN(Paysheet!V11),FALSE())*0.5*N1</f>
        <v>#N/A</v>
      </c>
      <c r="H11" s="127"/>
      <c r="I11" s="129" t="s">
        <v>59</v>
      </c>
      <c r="J11" s="120"/>
      <c r="K11" s="128" t="e">
        <f aca="false">VLOOKUP(B4,Paysheet!$A$4:$CE$48,COLUMN(Paysheet!AL11),FALSE())</f>
        <v>#N/A</v>
      </c>
      <c r="M11" s="3" t="s">
        <v>397</v>
      </c>
      <c r="N11" s="3"/>
    </row>
    <row r="12" customFormat="false" ht="21" hidden="false" customHeight="true" outlineLevel="0" collapsed="false">
      <c r="A12" s="115" t="s">
        <v>33</v>
      </c>
      <c r="B12" s="124" t="e">
        <f aca="false">VLOOKUP(B4,Paysheet!$A$4:$CE$48,COLUMN(Paysheet!F12),FALSE())</f>
        <v>#N/A</v>
      </c>
      <c r="C12" s="192"/>
      <c r="D12" s="190" t="s">
        <v>408</v>
      </c>
      <c r="E12" s="125"/>
      <c r="F12" s="144" t="e">
        <f aca="false">VLOOKUP(B4,Paysheet!$A$4:$CE$48,COLUMN(Paysheet!T12),FALSE())*0.5</f>
        <v>#N/A</v>
      </c>
      <c r="G12" s="120" t="e">
        <f aca="false">VLOOKUP(B4,Paysheet!$A$4:$CE$48,COLUMN(Paysheet!T12),FALSE())*0.5*N1</f>
        <v>#N/A</v>
      </c>
      <c r="H12" s="127"/>
      <c r="I12" s="120" t="s">
        <v>399</v>
      </c>
      <c r="J12" s="120" t="e">
        <f aca="false">VLOOKUP(B4,Paysheet!$A$4:$CE$48,COLUMN(Paysheet!BH12),FALSE())</f>
        <v>#N/A</v>
      </c>
      <c r="K12" s="128" t="e">
        <f aca="false">VLOOKUP(B4,Paysheet!$A$4:$CE$48,COLUMN(Paysheet!BB12),FALSE())</f>
        <v>#N/A</v>
      </c>
      <c r="M12" s="3" t="s">
        <v>412</v>
      </c>
      <c r="N12" s="3" t="e">
        <f aca="false">F15-J15</f>
        <v>#N/A</v>
      </c>
    </row>
    <row r="13" customFormat="false" ht="21" hidden="false" customHeight="true" outlineLevel="0" collapsed="false">
      <c r="A13" s="193" t="s">
        <v>32</v>
      </c>
      <c r="B13" s="194" t="e">
        <f aca="false">VLOOKUP(B4,Paysheet!$A$4:$CE$48,COLUMN(Paysheet!E12),FALSE())</f>
        <v>#N/A</v>
      </c>
      <c r="C13" s="195"/>
      <c r="D13" s="190" t="s">
        <v>413</v>
      </c>
      <c r="E13" s="125"/>
      <c r="F13" s="144" t="e">
        <f aca="false">VLOOKUP(B4,Paysheet!$A$4:$CE$48,COLUMN(Paysheet!U12),FALSE())*0.5</f>
        <v>#N/A</v>
      </c>
      <c r="G13" s="120" t="e">
        <f aca="false">VLOOKUP(B4,Paysheet!$A$4:$CE$48,COLUMN(Paysheet!U12),FALSE())*0.5*N1</f>
        <v>#N/A</v>
      </c>
      <c r="H13" s="138"/>
      <c r="I13" s="136" t="s">
        <v>400</v>
      </c>
      <c r="J13" s="136" t="e">
        <f aca="false">VLOOKUP(B4,Paysheet!$A$4:$CE$48,COLUMN(Paysheet!BI12),FALSE())</f>
        <v>#N/A</v>
      </c>
      <c r="K13" s="137"/>
      <c r="M13" s="3" t="s">
        <v>414</v>
      </c>
      <c r="N13" s="3" t="e">
        <f aca="false">G15-K15</f>
        <v>#N/A</v>
      </c>
    </row>
    <row r="14" customFormat="false" ht="15.75" hidden="false" customHeight="true" outlineLevel="0" collapsed="false">
      <c r="A14" s="145" t="s">
        <v>401</v>
      </c>
      <c r="B14" s="146" t="e">
        <f aca="false">VLOOKUP(B4,Paysheet!$A$4:$CE$48,COLUMN(Paysheet!M13),FALSE())</f>
        <v>#N/A</v>
      </c>
      <c r="C14" s="126"/>
      <c r="D14" s="169" t="s">
        <v>43</v>
      </c>
      <c r="E14" s="134"/>
      <c r="F14" s="196"/>
      <c r="G14" s="120" t="e">
        <f aca="false">VLOOKUP(B4,Paysheet!$A$4:$CE$48,COLUMN(Paysheet!S13),FALSE())</f>
        <v>#N/A</v>
      </c>
      <c r="H14" s="143"/>
      <c r="I14" s="142"/>
      <c r="J14" s="142"/>
      <c r="K14" s="144"/>
    </row>
    <row r="15" customFormat="false" ht="15.75" hidden="false" customHeight="true" outlineLevel="0" collapsed="false">
      <c r="A15" s="145"/>
      <c r="B15" s="183"/>
      <c r="C15" s="147"/>
      <c r="D15" s="197" t="s">
        <v>402</v>
      </c>
      <c r="E15" s="198"/>
      <c r="F15" s="184" t="e">
        <f aca="false">SUM(F4:F14)</f>
        <v>#N/A</v>
      </c>
      <c r="G15" s="151" t="e">
        <f aca="false">SUM(G4:G14)</f>
        <v>#N/A</v>
      </c>
      <c r="H15" s="152"/>
      <c r="I15" s="151" t="s">
        <v>403</v>
      </c>
      <c r="J15" s="151" t="e">
        <f aca="false">SUM(J4:J14)</f>
        <v>#N/A</v>
      </c>
      <c r="K15" s="151" t="e">
        <f aca="false">SUM(K4:K14)</f>
        <v>#N/A</v>
      </c>
      <c r="M15" s="3" t="e">
        <f aca="false">K18-N12</f>
        <v>#N/A</v>
      </c>
      <c r="N15" s="3" t="e">
        <f aca="false">K17-N13</f>
        <v>#N/A</v>
      </c>
    </row>
    <row r="16" customFormat="false" ht="6" hidden="false" customHeight="true" outlineLevel="0" collapsed="false">
      <c r="A16" s="108"/>
      <c r="B16" s="108"/>
      <c r="C16" s="108"/>
      <c r="D16" s="153"/>
      <c r="E16" s="154"/>
      <c r="F16" s="155"/>
      <c r="G16" s="156"/>
      <c r="H16" s="156"/>
      <c r="I16" s="155"/>
      <c r="J16" s="157"/>
      <c r="K16" s="155"/>
      <c r="M16" s="3"/>
    </row>
    <row r="17" customFormat="false" ht="15.75" hidden="false" customHeight="true" outlineLevel="0" collapsed="false">
      <c r="A17" s="158" t="s">
        <v>404</v>
      </c>
      <c r="B17" s="159" t="e">
        <f aca="false">VLOOKUP(B4,Paysheet!$A$4:$CE$48,COLUMN(Paysheet!BU12),FALSE())</f>
        <v>#N/A</v>
      </c>
      <c r="C17" s="100"/>
      <c r="D17" s="107" t="e">
        <f aca="false">VLOOKUP(B4,Paysheet!$A$4:$CE$48,COLUMN(Paysheet!BW12),FALSE())</f>
        <v>#N/A</v>
      </c>
      <c r="E17" s="160"/>
      <c r="F17" s="161" t="s">
        <v>405</v>
      </c>
      <c r="G17" s="162"/>
      <c r="H17" s="163"/>
      <c r="I17" s="164" t="s">
        <v>406</v>
      </c>
      <c r="J17" s="165" t="s">
        <v>62</v>
      </c>
      <c r="K17" s="166" t="e">
        <f aca="false">VLOOKUP(B4,Paysheet!$A$4:$CE$48,COLUMN(Paysheet!BM6),FALSE())</f>
        <v>#N/A</v>
      </c>
      <c r="N17" s="3"/>
    </row>
    <row r="18" customFormat="false" ht="15.75" hidden="false" customHeight="true" outlineLevel="0" collapsed="false">
      <c r="A18" s="115" t="s">
        <v>407</v>
      </c>
      <c r="B18" s="167" t="e">
        <f aca="false">VLOOKUP(B4,Paysheet!$A$4:$CE$48,COLUMN(Paysheet!BX12),FALSE())</f>
        <v>#N/A</v>
      </c>
      <c r="C18" s="168"/>
      <c r="D18" s="124" t="e">
        <f aca="false">VLOOKUP(B4,Paysheet!$A$4:$CE$48,COLUMN(Paysheet!BZ12),FALSE())</f>
        <v>#N/A</v>
      </c>
      <c r="E18" s="169"/>
      <c r="F18" s="170" t="e">
        <f aca="false">VLOOKUP(B4,Paysheet!$A$4:$CE$48,COLUMN(Paysheet!AS12),FALSE())</f>
        <v>#N/A</v>
      </c>
      <c r="G18" s="171"/>
      <c r="H18" s="172"/>
      <c r="I18" s="164"/>
      <c r="J18" s="173" t="s">
        <v>26</v>
      </c>
      <c r="K18" s="174" t="e">
        <f aca="false">VLOOKUP(B4,Paysheet!$A$4:$CE$48,COLUMN(Paysheet!BL6),FALSE())</f>
        <v>#N/A</v>
      </c>
    </row>
    <row r="19" customFormat="false" ht="6" hidden="false" customHeight="true" outlineLevel="0" collapsed="false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M19" s="3"/>
    </row>
    <row r="20" customFormat="false" ht="51" hidden="false" customHeight="true" outlineLevel="0" collapsed="false"/>
    <row r="21" customFormat="false" ht="21" hidden="false" customHeight="true" outlineLevel="0" collapsed="false">
      <c r="A21" s="186" t="s">
        <v>373</v>
      </c>
      <c r="B21" s="186"/>
      <c r="C21" s="186"/>
      <c r="D21" s="186"/>
      <c r="E21" s="186"/>
      <c r="F21" s="186"/>
      <c r="G21" s="186"/>
      <c r="H21" s="186"/>
      <c r="I21" s="186"/>
      <c r="J21" s="186"/>
      <c r="K21" s="186"/>
    </row>
    <row r="22" customFormat="false" ht="15.75" hidden="false" customHeight="true" outlineLevel="0" collapsed="false">
      <c r="A22" s="99" t="s">
        <v>374</v>
      </c>
      <c r="B22" s="99"/>
      <c r="C22" s="100"/>
      <c r="D22" s="101" t="s">
        <v>375</v>
      </c>
      <c r="E22" s="102" t="s">
        <v>376</v>
      </c>
      <c r="F22" s="103" t="s">
        <v>377</v>
      </c>
      <c r="G22" s="103"/>
      <c r="H22" s="104"/>
      <c r="I22" s="105" t="s">
        <v>378</v>
      </c>
      <c r="J22" s="103" t="s">
        <v>379</v>
      </c>
      <c r="K22" s="103"/>
    </row>
    <row r="23" customFormat="false" ht="15.75" hidden="false" customHeight="true" outlineLevel="0" collapsed="false">
      <c r="A23" s="106" t="e">
        <f aca="false">VLOOKUP(B24,Paysheet!$A$4:$CE$44,COLUMN(Paysheet!B18),FALSE())</f>
        <v>#N/A</v>
      </c>
      <c r="B23" s="107" t="e">
        <f aca="false">VLOOKUP(B24,Paysheet!$A$4:$CE$46,COLUMN(Paysheet!C18),FALSE())</f>
        <v>#N/A</v>
      </c>
      <c r="C23" s="108"/>
      <c r="D23" s="101"/>
      <c r="E23" s="109"/>
      <c r="F23" s="102" t="s">
        <v>74</v>
      </c>
      <c r="G23" s="110" t="s">
        <v>62</v>
      </c>
      <c r="H23" s="111"/>
      <c r="I23" s="105"/>
      <c r="J23" s="112" t="s">
        <v>26</v>
      </c>
      <c r="K23" s="113" t="s">
        <v>62</v>
      </c>
    </row>
    <row r="24" customFormat="false" ht="15.75" hidden="false" customHeight="true" outlineLevel="0" collapsed="false">
      <c r="A24" s="115" t="s">
        <v>381</v>
      </c>
      <c r="B24" s="116" t="str">
        <f aca="false">O3</f>
        <v>AESR179</v>
      </c>
      <c r="C24" s="117"/>
      <c r="D24" s="118" t="s">
        <v>382</v>
      </c>
      <c r="E24" s="119" t="e">
        <f aca="false">VLOOKUP(B24,Paysheet!$A$4:$CE$46,COLUMN(Paysheet!L19),FALSE())</f>
        <v>#N/A</v>
      </c>
      <c r="F24" s="120" t="e">
        <f aca="false">VLOOKUP(B24,Paysheet!$A$4:$CE$46,COLUMN(Paysheet!P19),FALSE())*0.5</f>
        <v>#N/A</v>
      </c>
      <c r="G24" s="121" t="e">
        <f aca="false">VLOOKUP(B24,Paysheet!$A$4:$CE$46,COLUMN(Paysheet!P19),FALSE())*0.5*N1</f>
        <v>#N/A</v>
      </c>
      <c r="H24" s="122"/>
      <c r="I24" s="123" t="s">
        <v>383</v>
      </c>
      <c r="J24" s="123" t="e">
        <f aca="false">VLOOKUP(B24,Paysheet!$A$4:$CE$46,COLUMN(Paysheet!AU19),FALSE())</f>
        <v>#N/A</v>
      </c>
      <c r="K24" s="121" t="e">
        <f aca="false">VLOOKUP(B24,Paysheet!$A$4:$CE$46,COLUMN(Paysheet!AW19),FALSE())</f>
        <v>#N/A</v>
      </c>
    </row>
    <row r="25" customFormat="false" ht="15.75" hidden="false" customHeight="true" outlineLevel="0" collapsed="false">
      <c r="A25" s="115" t="s">
        <v>38</v>
      </c>
      <c r="B25" s="124" t="e">
        <f aca="false">VLOOKUP(B24,Paysheet!$A$4:$CE$46,COLUMN(Paysheet!K20),FALSE())</f>
        <v>#N/A</v>
      </c>
      <c r="C25" s="117"/>
      <c r="D25" s="125" t="s">
        <v>385</v>
      </c>
      <c r="E25" s="126"/>
      <c r="F25" s="120" t="e">
        <f aca="false">VLOOKUP(B24,Paysheet!$A$4:$CE$46,COLUMN(Paysheet!R20),FALSE())*0.5</f>
        <v>#N/A</v>
      </c>
      <c r="G25" s="120" t="e">
        <f aca="false">VLOOKUP(B24,Paysheet!$A$4:$CE$46,COLUMN(Paysheet!R20),FALSE())*0.5*N1</f>
        <v>#N/A</v>
      </c>
      <c r="H25" s="127"/>
      <c r="I25" s="120" t="s">
        <v>64</v>
      </c>
      <c r="J25" s="120" t="e">
        <f aca="false">VLOOKUP(B24,Paysheet!$A$4:$CE$46,COLUMN(Paysheet!AV20),FALSE())</f>
        <v>#N/A</v>
      </c>
      <c r="K25" s="128" t="e">
        <f aca="false">VLOOKUP(B24,Paysheet!$A$4:$CE$46,COLUMN(Paysheet!AX20),FALSE())</f>
        <v>#N/A</v>
      </c>
    </row>
    <row r="26" customFormat="false" ht="15.75" hidden="false" customHeight="true" outlineLevel="0" collapsed="false">
      <c r="A26" s="115" t="s">
        <v>386</v>
      </c>
      <c r="B26" s="124" t="e">
        <f aca="false">VLOOKUP(B24,Paysheet!$A$4:$CE$46,COLUMN(Paysheet!D20),FALSE())</f>
        <v>#N/A</v>
      </c>
      <c r="C26" s="117"/>
      <c r="D26" s="125" t="s">
        <v>387</v>
      </c>
      <c r="E26" s="119"/>
      <c r="F26" s="120" t="e">
        <f aca="false">VLOOKUP(B24,Paysheet!$A$4:$CE$46,COLUMN(Paysheet!X20),FALSE())*0.5</f>
        <v>#N/A</v>
      </c>
      <c r="G26" s="128"/>
      <c r="H26" s="127"/>
      <c r="I26" s="120" t="s">
        <v>56</v>
      </c>
      <c r="J26" s="120" t="e">
        <f aca="false">VLOOKUP(B24,Paysheet!$A$4:$CE$46,COLUMN(Paysheet!AJ20),FALSE())</f>
        <v>#N/A</v>
      </c>
      <c r="K26" s="128" t="e">
        <f aca="false">VLOOKUP(B24,Paysheet!$A$4:$CE$46,COLUMN(Paysheet!AK20),FALSE())</f>
        <v>#N/A</v>
      </c>
    </row>
    <row r="27" customFormat="false" ht="15.75" hidden="false" customHeight="true" outlineLevel="0" collapsed="false">
      <c r="A27" s="115" t="s">
        <v>388</v>
      </c>
      <c r="B27" s="124" t="s">
        <v>389</v>
      </c>
      <c r="C27" s="117"/>
      <c r="D27" s="125" t="s">
        <v>390</v>
      </c>
      <c r="E27" s="119"/>
      <c r="F27" s="120" t="e">
        <f aca="false">VLOOKUP(B24,Paysheet!$A$4:$CE$46,COLUMN(Paysheet!W21),FALSE())*0.5</f>
        <v>#N/A</v>
      </c>
      <c r="G27" s="120" t="e">
        <f aca="false">VLOOKUP(B24,Paysheet!$A$4:$CE$46,COLUMN(Paysheet!W21),FALSE())*0.5*N1</f>
        <v>#N/A</v>
      </c>
      <c r="H27" s="127"/>
      <c r="I27" s="120" t="s">
        <v>60</v>
      </c>
      <c r="J27" s="120"/>
      <c r="K27" s="128" t="e">
        <f aca="false">VLOOKUP(B24,Paysheet!$A$4:$CE$46,COLUMN(Paysheet!AM21),FALSE())</f>
        <v>#N/A</v>
      </c>
    </row>
    <row r="28" customFormat="false" ht="15.75" hidden="false" customHeight="true" outlineLevel="0" collapsed="false">
      <c r="A28" s="115" t="s">
        <v>35</v>
      </c>
      <c r="B28" s="124" t="e">
        <f aca="false">VLOOKUP(B24,Paysheet!$A$4:$CE$46,COLUMN(Paysheet!H22),FALSE())</f>
        <v>#N/A</v>
      </c>
      <c r="C28" s="117"/>
      <c r="D28" s="190" t="s">
        <v>415</v>
      </c>
      <c r="E28" s="126"/>
      <c r="F28" s="120" t="e">
        <f aca="false">VLOOKUP(B24,Paysheet!$A$4:$CE$46,COLUMN(Paysheet!BJ22),FALSE())</f>
        <v>#N/A</v>
      </c>
      <c r="G28" s="128"/>
      <c r="H28" s="127"/>
      <c r="I28" s="120" t="s">
        <v>392</v>
      </c>
      <c r="J28" s="120" t="e">
        <f aca="false">VLOOKUP(B24,Paysheet!$A$4:$CE$46,COLUMN(Paysheet!BG22),FALSE())</f>
        <v>#N/A</v>
      </c>
      <c r="K28" s="128" t="e">
        <f aca="false">VLOOKUP(B24,Paysheet!$A$4:$CE$46,COLUMN(Paysheet!BF22),FALSE())</f>
        <v>#N/A</v>
      </c>
    </row>
    <row r="29" customFormat="false" ht="15.75" hidden="false" customHeight="true" outlineLevel="0" collapsed="false">
      <c r="A29" s="115" t="s">
        <v>34</v>
      </c>
      <c r="B29" s="124" t="e">
        <f aca="false">VLOOKUP(B24,Paysheet!$A$4:$CE$46,COLUMN(Paysheet!G23),FALSE())</f>
        <v>#N/A</v>
      </c>
      <c r="C29" s="117"/>
      <c r="D29" s="125" t="s">
        <v>52</v>
      </c>
      <c r="E29" s="126"/>
      <c r="F29" s="120" t="e">
        <f aca="false">VLOOKUP(B24,Paysheet!$A$4:$CE$46,COLUMN(Paysheet!AB23),FALSE())*0.5</f>
        <v>#N/A</v>
      </c>
      <c r="G29" s="128" t="e">
        <f aca="false">VLOOKUP(B24,Paysheet!$A$4:$CE$46,COLUMN(Paysheet!AB23),FALSE())*0.5*N1</f>
        <v>#N/A</v>
      </c>
      <c r="H29" s="127"/>
      <c r="I29" s="129" t="s">
        <v>393</v>
      </c>
      <c r="J29" s="120" t="e">
        <f aca="false">VLOOKUP(B24,Paysheet!$A$4:$CE$46,COLUMN(Paysheet!BD23),FALSE())</f>
        <v>#N/A</v>
      </c>
      <c r="K29" s="128" t="e">
        <f aca="false">VLOOKUP(B24,Paysheet!$A$4:$CE$46,COLUMN(Paysheet!BC23),FALSE())</f>
        <v>#N/A</v>
      </c>
    </row>
    <row r="30" customFormat="false" ht="15.75" hidden="false" customHeight="true" outlineLevel="0" collapsed="false">
      <c r="A30" s="115" t="s">
        <v>27</v>
      </c>
      <c r="B30" s="124" t="e">
        <f aca="false">VLOOKUP(B24,Paysheet!$A$4:$CE$46,COLUMN(Paysheet!CE24),FALSE())</f>
        <v>#N/A</v>
      </c>
      <c r="C30" s="117"/>
      <c r="D30" s="125" t="s">
        <v>394</v>
      </c>
      <c r="E30" s="126"/>
      <c r="F30" s="120" t="e">
        <f aca="false">VLOOKUP(B24,Paysheet!$A$4:$CE$46,COLUMN(Paysheet!AC24),FALSE())*0.5</f>
        <v>#N/A</v>
      </c>
      <c r="G30" s="120" t="e">
        <f aca="false">VLOOKUP(B24,Paysheet!$A$4:$CE$46,COLUMN(Paysheet!AC24),FALSE())*0.5*N1</f>
        <v>#N/A</v>
      </c>
      <c r="H30" s="130"/>
      <c r="I30" s="129" t="s">
        <v>65</v>
      </c>
      <c r="J30" s="120"/>
      <c r="K30" s="128" t="e">
        <f aca="false">VLOOKUP(B24,Paysheet!$A$4:$CE$46,COLUMN(Paysheet!BA24),FALSE())</f>
        <v>#N/A</v>
      </c>
    </row>
    <row r="31" customFormat="false" ht="15.75" hidden="false" customHeight="true" outlineLevel="0" collapsed="false">
      <c r="A31" s="115" t="s">
        <v>395</v>
      </c>
      <c r="B31" s="124" t="e">
        <f aca="false">VLOOKUP(B24,Paysheet!$A$4:$CE$46,COLUMN(Paysheet!I25),FALSE())</f>
        <v>#N/A</v>
      </c>
      <c r="C31" s="117"/>
      <c r="D31" s="125" t="s">
        <v>396</v>
      </c>
      <c r="E31" s="126"/>
      <c r="F31" s="120" t="e">
        <f aca="false">VLOOKUP(B24,Paysheet!$A$4:$CE$46,COLUMN(Paysheet!V25),FALSE())*0.5</f>
        <v>#N/A</v>
      </c>
      <c r="G31" s="120" t="e">
        <f aca="false">VLOOKUP(B24,Paysheet!$A$4:$CE$46,COLUMN(Paysheet!V25),FALSE())*0.5*N1</f>
        <v>#N/A</v>
      </c>
      <c r="H31" s="127"/>
      <c r="I31" s="129" t="s">
        <v>59</v>
      </c>
      <c r="J31" s="120"/>
      <c r="K31" s="128" t="e">
        <f aca="false">VLOOKUP(B24,Paysheet!$A$4:$CE$46,COLUMN(Paysheet!AL25),FALSE())</f>
        <v>#N/A</v>
      </c>
      <c r="M31" s="3" t="s">
        <v>397</v>
      </c>
      <c r="N31" s="3"/>
    </row>
    <row r="32" customFormat="false" ht="15.75" hidden="false" customHeight="true" outlineLevel="0" collapsed="false">
      <c r="A32" s="115" t="s">
        <v>33</v>
      </c>
      <c r="B32" s="124" t="e">
        <f aca="false">VLOOKUP(B24,Paysheet!$A$4:$CE$46,COLUMN(Paysheet!F26),FALSE())</f>
        <v>#N/A</v>
      </c>
      <c r="C32" s="131"/>
      <c r="D32" s="125" t="s">
        <v>408</v>
      </c>
      <c r="E32" s="126"/>
      <c r="F32" s="120" t="e">
        <f aca="false">VLOOKUP(B24,Paysheet!$A$4:$CE$46,COLUMN(Paysheet!T26),FALSE())*0.5</f>
        <v>#N/A</v>
      </c>
      <c r="G32" s="120" t="e">
        <f aca="false">VLOOKUP(B24,Paysheet!$A$4:$CE$46,COLUMN(Paysheet!T26),FALSE())*0.5*N1</f>
        <v>#N/A</v>
      </c>
      <c r="H32" s="127"/>
      <c r="I32" s="120" t="s">
        <v>399</v>
      </c>
      <c r="J32" s="120" t="e">
        <f aca="false">VLOOKUP(B24,Paysheet!$A$4:$CE$46,COLUMN(Paysheet!BH26),FALSE())</f>
        <v>#N/A</v>
      </c>
      <c r="K32" s="128" t="e">
        <f aca="false">VLOOKUP(B24,Paysheet!$A$4:$CE$46,COLUMN(Paysheet!BB26),FALSE())</f>
        <v>#N/A</v>
      </c>
      <c r="L32" s="3"/>
      <c r="M32" s="3" t="s">
        <v>412</v>
      </c>
      <c r="N32" s="3" t="e">
        <f aca="false">F35-J35</f>
        <v>#N/A</v>
      </c>
    </row>
    <row r="33" customFormat="false" ht="15.75" hidden="false" customHeight="true" outlineLevel="0" collapsed="false">
      <c r="A33" s="115" t="s">
        <v>32</v>
      </c>
      <c r="B33" s="132" t="e">
        <f aca="false">VLOOKUP(B24,Paysheet!$A$4:$CE$46,COLUMN(Paysheet!E20),FALSE())</f>
        <v>#N/A</v>
      </c>
      <c r="C33" s="133"/>
      <c r="D33" s="134" t="s">
        <v>413</v>
      </c>
      <c r="E33" s="135"/>
      <c r="F33" s="120" t="e">
        <f aca="false">VLOOKUP(B24,Paysheet!$A$4:$CE$46,COLUMN(Paysheet!U20),FALSE())*0.5</f>
        <v>#N/A</v>
      </c>
      <c r="G33" s="120" t="e">
        <f aca="false">VLOOKUP(B24,Paysheet!$A$4:$CE$46,COLUMN(Paysheet!U12),FALSE())*0.5*N1</f>
        <v>#N/A</v>
      </c>
      <c r="H33" s="138"/>
      <c r="I33" s="136" t="s">
        <v>400</v>
      </c>
      <c r="J33" s="136" t="e">
        <f aca="false">VLOOKUP(B24,Paysheet!$A$4:$CE$46,COLUMN(Paysheet!BI20),FALSE())</f>
        <v>#N/A</v>
      </c>
      <c r="K33" s="137"/>
      <c r="L33" s="3"/>
      <c r="M33" s="3" t="s">
        <v>414</v>
      </c>
      <c r="N33" s="3" t="e">
        <f aca="false">G35-K35</f>
        <v>#N/A</v>
      </c>
    </row>
    <row r="34" customFormat="false" ht="19.5" hidden="false" customHeight="true" outlineLevel="0" collapsed="false">
      <c r="A34" s="145" t="s">
        <v>401</v>
      </c>
      <c r="B34" s="146" t="e">
        <f aca="false">VLOOKUP(B24,Paysheet!$A$4:$CE$46,COLUMN(Paysheet!M28),FALSE())</f>
        <v>#N/A</v>
      </c>
      <c r="C34" s="140"/>
      <c r="D34" s="169" t="s">
        <v>43</v>
      </c>
      <c r="E34" s="141"/>
      <c r="F34" s="142"/>
      <c r="G34" s="120" t="e">
        <f aca="false">VLOOKUP(B24,Paysheet!$A$4:$CE$46,COLUMN(Paysheet!S28),FALSE())</f>
        <v>#N/A</v>
      </c>
      <c r="H34" s="142"/>
      <c r="I34" s="142"/>
      <c r="J34" s="142"/>
      <c r="K34" s="144"/>
    </row>
    <row r="35" customFormat="false" ht="15.75" hidden="false" customHeight="true" outlineLevel="0" collapsed="false">
      <c r="A35" s="145"/>
      <c r="B35" s="183"/>
      <c r="C35" s="147"/>
      <c r="D35" s="148" t="s">
        <v>402</v>
      </c>
      <c r="E35" s="149"/>
      <c r="F35" s="184" t="e">
        <f aca="false">SUM(F24:F34)</f>
        <v>#N/A</v>
      </c>
      <c r="G35" s="151" t="e">
        <f aca="false">SUM(G24:G34)</f>
        <v>#N/A</v>
      </c>
      <c r="H35" s="152"/>
      <c r="I35" s="151" t="s">
        <v>403</v>
      </c>
      <c r="J35" s="151" t="e">
        <f aca="false">SUM(J24:J34)</f>
        <v>#N/A</v>
      </c>
      <c r="K35" s="151" t="e">
        <f aca="false">SUM(K24:K34)</f>
        <v>#N/A</v>
      </c>
      <c r="M35" s="3"/>
    </row>
    <row r="36" customFormat="false" ht="6" hidden="false" customHeight="true" outlineLevel="0" collapsed="false">
      <c r="A36" s="108"/>
      <c r="B36" s="108"/>
      <c r="C36" s="108"/>
      <c r="D36" s="153"/>
      <c r="E36" s="154"/>
      <c r="F36" s="155"/>
      <c r="G36" s="156"/>
      <c r="H36" s="156"/>
      <c r="I36" s="155"/>
      <c r="J36" s="157"/>
      <c r="K36" s="155"/>
    </row>
    <row r="37" customFormat="false" ht="15.75" hidden="false" customHeight="true" outlineLevel="0" collapsed="false">
      <c r="A37" s="158" t="s">
        <v>404</v>
      </c>
      <c r="B37" s="159" t="e">
        <f aca="false">VLOOKUP(B24,Paysheet!$A$4:$CE$46,COLUMN(Paysheet!BU30),FALSE())</f>
        <v>#N/A</v>
      </c>
      <c r="C37" s="100"/>
      <c r="D37" s="107" t="e">
        <f aca="false">VLOOKUP(B24,Paysheet!$A$4:$CE$46,COLUMN(Paysheet!BW30),FALSE())</f>
        <v>#N/A</v>
      </c>
      <c r="E37" s="160"/>
      <c r="F37" s="161" t="s">
        <v>405</v>
      </c>
      <c r="G37" s="162"/>
      <c r="H37" s="163"/>
      <c r="I37" s="164" t="s">
        <v>406</v>
      </c>
      <c r="J37" s="165" t="s">
        <v>62</v>
      </c>
      <c r="K37" s="166" t="e">
        <f aca="false">VLOOKUP(B24,Paysheet!$A$4:$CE$46,COLUMN(Paysheet!BM19),FALSE())</f>
        <v>#N/A</v>
      </c>
      <c r="M37" s="3"/>
    </row>
    <row r="38" customFormat="false" ht="15.75" hidden="false" customHeight="true" outlineLevel="0" collapsed="false">
      <c r="A38" s="115" t="s">
        <v>407</v>
      </c>
      <c r="B38" s="167" t="e">
        <f aca="false">VLOOKUP(B24,Paysheet!$A$4:$CE$46,COLUMN(Paysheet!BX12),FALSE())</f>
        <v>#N/A</v>
      </c>
      <c r="C38" s="168"/>
      <c r="D38" s="124" t="e">
        <f aca="false">VLOOKUP(B24,Paysheet!$A$4:$CE$46,COLUMN(Paysheet!BZ12),FALSE())</f>
        <v>#N/A</v>
      </c>
      <c r="E38" s="169"/>
      <c r="F38" s="170" t="e">
        <f aca="false">VLOOKUP(B24,Paysheet!$A$4:$CE$48,COLUMN(Paysheet!AS30),FALSE())</f>
        <v>#N/A</v>
      </c>
      <c r="G38" s="171"/>
      <c r="H38" s="172"/>
      <c r="I38" s="164"/>
      <c r="J38" s="173" t="s">
        <v>26</v>
      </c>
      <c r="K38" s="174" t="e">
        <f aca="false">VLOOKUP(B24,Paysheet!$A$4:$CE$46,COLUMN(Paysheet!BL19),FALSE())</f>
        <v>#N/A</v>
      </c>
      <c r="N38" s="3" t="e">
        <f aca="false">K37-N33</f>
        <v>#N/A</v>
      </c>
    </row>
    <row r="39" customFormat="false" ht="6" hidden="false" customHeight="true" outlineLevel="0" collapsed="false">
      <c r="A39" s="97"/>
      <c r="B39" s="97"/>
      <c r="C39" s="97"/>
      <c r="D39" s="97"/>
      <c r="E39" s="97"/>
      <c r="F39" s="97"/>
      <c r="G39" s="97"/>
      <c r="H39" s="97"/>
      <c r="I39" s="97"/>
      <c r="J39" s="97"/>
      <c r="K39" s="97"/>
    </row>
    <row r="40" customFormat="false" ht="51" hidden="false" customHeight="true" outlineLevel="0" collapsed="false"/>
    <row r="41" customFormat="false" ht="51" hidden="true" customHeight="true" outlineLevel="0" collapsed="false"/>
    <row r="42" customFormat="false" ht="21" hidden="false" customHeight="true" outlineLevel="0" collapsed="false">
      <c r="A42" s="186" t="s">
        <v>373</v>
      </c>
      <c r="B42" s="186"/>
      <c r="C42" s="186"/>
      <c r="D42" s="186"/>
      <c r="E42" s="186"/>
      <c r="F42" s="186"/>
      <c r="G42" s="186"/>
      <c r="H42" s="186"/>
      <c r="I42" s="186"/>
      <c r="J42" s="186"/>
      <c r="K42" s="186"/>
    </row>
    <row r="43" customFormat="false" ht="15.75" hidden="false" customHeight="true" outlineLevel="0" collapsed="false">
      <c r="A43" s="199" t="s">
        <v>374</v>
      </c>
      <c r="B43" s="199"/>
      <c r="C43" s="200"/>
      <c r="D43" s="201" t="s">
        <v>375</v>
      </c>
      <c r="E43" s="102" t="s">
        <v>376</v>
      </c>
      <c r="F43" s="103" t="s">
        <v>377</v>
      </c>
      <c r="G43" s="103"/>
      <c r="H43" s="104"/>
      <c r="I43" s="202" t="s">
        <v>378</v>
      </c>
      <c r="J43" s="103" t="s">
        <v>379</v>
      </c>
      <c r="K43" s="103"/>
    </row>
    <row r="44" customFormat="false" ht="15.75" hidden="false" customHeight="true" outlineLevel="0" collapsed="false">
      <c r="A44" s="106" t="e">
        <f aca="false">VLOOKUP(B45,Paysheet!$A$4:$CE$48,COLUMN(Paysheet!B32),FALSE())</f>
        <v>#N/A</v>
      </c>
      <c r="B44" s="159" t="e">
        <f aca="false">VLOOKUP(B45,Paysheet!$A$4:$CE$48,COLUMN(Paysheet!C32),FALSE())</f>
        <v>#N/A</v>
      </c>
      <c r="C44" s="203"/>
      <c r="D44" s="201"/>
      <c r="E44" s="188"/>
      <c r="F44" s="182" t="s">
        <v>74</v>
      </c>
      <c r="G44" s="110" t="s">
        <v>62</v>
      </c>
      <c r="H44" s="111"/>
      <c r="I44" s="202"/>
      <c r="J44" s="113" t="s">
        <v>26</v>
      </c>
      <c r="K44" s="204" t="s">
        <v>62</v>
      </c>
    </row>
    <row r="45" customFormat="false" ht="15.75" hidden="false" customHeight="true" outlineLevel="0" collapsed="false">
      <c r="A45" s="158" t="s">
        <v>381</v>
      </c>
      <c r="B45" s="205" t="str">
        <f aca="false">O4</f>
        <v>AESR183</v>
      </c>
      <c r="C45" s="206"/>
      <c r="D45" s="207" t="s">
        <v>382</v>
      </c>
      <c r="E45" s="208" t="e">
        <f aca="false">VLOOKUP(B45,Paysheet!$A$4:$CE$48,COLUMN(Paysheet!L33),FALSE())</f>
        <v>#N/A</v>
      </c>
      <c r="F45" s="121" t="e">
        <f aca="false">VLOOKUP(B45,Paysheet!$A$4:$CE$48,COLUMN(Paysheet!P33),FALSE())*0.5</f>
        <v>#N/A</v>
      </c>
      <c r="G45" s="121" t="e">
        <f aca="false">VLOOKUP(B45,Paysheet!$A$4:$CE$48,COLUMN(Paysheet!P33),FALSE())*0.5*N1</f>
        <v>#N/A</v>
      </c>
      <c r="H45" s="209"/>
      <c r="I45" s="121" t="s">
        <v>383</v>
      </c>
      <c r="J45" s="121" t="e">
        <f aca="false">VLOOKUP(B45,Paysheet!$A$4:$CE$48,COLUMN(Paysheet!AU33),FALSE())</f>
        <v>#N/A</v>
      </c>
      <c r="K45" s="121" t="e">
        <f aca="false">VLOOKUP(B45,Paysheet!$A$4:$CE$48,COLUMN(Paysheet!AW33),FALSE())</f>
        <v>#N/A</v>
      </c>
    </row>
    <row r="46" customFormat="false" ht="15.75" hidden="false" customHeight="true" outlineLevel="0" collapsed="false">
      <c r="A46" s="115" t="s">
        <v>38</v>
      </c>
      <c r="B46" s="167" t="e">
        <f aca="false">VLOOKUP(B45,Paysheet!$A$4:$CE$48,COLUMN(Paysheet!K33),FALSE())</f>
        <v>#N/A</v>
      </c>
      <c r="C46" s="206"/>
      <c r="D46" s="210" t="s">
        <v>385</v>
      </c>
      <c r="E46" s="190"/>
      <c r="F46" s="128" t="e">
        <f aca="false">VLOOKUP(B45,Paysheet!$A$4:$CE$48,COLUMN(Paysheet!R33),FALSE())*0.5</f>
        <v>#N/A</v>
      </c>
      <c r="G46" s="128" t="e">
        <f aca="false">VLOOKUP(B45,Paysheet!$A$4:$CE$48,COLUMN(Paysheet!R33),FALSE())*0.5*N1</f>
        <v>#N/A</v>
      </c>
      <c r="H46" s="211"/>
      <c r="I46" s="128" t="s">
        <v>64</v>
      </c>
      <c r="J46" s="128" t="e">
        <f aca="false">VLOOKUP(B45,Paysheet!$A$4:$CE$48,COLUMN(Paysheet!AV33),FALSE())</f>
        <v>#N/A</v>
      </c>
      <c r="K46" s="128" t="e">
        <f aca="false">VLOOKUP(B45,Paysheet!$A$4:$CE$48,COLUMN(Paysheet!AX33),FALSE())</f>
        <v>#N/A</v>
      </c>
    </row>
    <row r="47" customFormat="false" ht="15.75" hidden="false" customHeight="true" outlineLevel="0" collapsed="false">
      <c r="A47" s="115" t="s">
        <v>386</v>
      </c>
      <c r="B47" s="167" t="e">
        <f aca="false">VLOOKUP(B45,Paysheet!$A$4:$CE$48,COLUMN(Paysheet!D33),FALSE())</f>
        <v>#N/A</v>
      </c>
      <c r="C47" s="206"/>
      <c r="D47" s="126" t="s">
        <v>387</v>
      </c>
      <c r="E47" s="212"/>
      <c r="F47" s="128" t="e">
        <f aca="false">VLOOKUP(B45,Paysheet!$A$4:$CE$48,COLUMN(Paysheet!X33),FALSE())*0.5</f>
        <v>#N/A</v>
      </c>
      <c r="G47" s="128"/>
      <c r="H47" s="211"/>
      <c r="I47" s="128" t="s">
        <v>56</v>
      </c>
      <c r="J47" s="128" t="e">
        <f aca="false">VLOOKUP(B45,Paysheet!$A$4:$CE$48,COLUMN(Paysheet!AJ33),FALSE())</f>
        <v>#N/A</v>
      </c>
      <c r="K47" s="128" t="e">
        <f aca="false">VLOOKUP(B45,Paysheet!$A$4:$CE$48,COLUMN(Paysheet!AK33),FALSE())</f>
        <v>#N/A</v>
      </c>
    </row>
    <row r="48" customFormat="false" ht="15.75" hidden="false" customHeight="true" outlineLevel="0" collapsed="false">
      <c r="A48" s="115" t="s">
        <v>388</v>
      </c>
      <c r="B48" s="167" t="s">
        <v>389</v>
      </c>
      <c r="C48" s="206"/>
      <c r="D48" s="126" t="s">
        <v>390</v>
      </c>
      <c r="E48" s="212"/>
      <c r="F48" s="120" t="e">
        <f aca="false">VLOOKUP(B45,Paysheet!$A$4:$CE$48,COLUMN(Paysheet!W45),FALSE())*0.5</f>
        <v>#N/A</v>
      </c>
      <c r="G48" s="120" t="e">
        <f aca="false">VLOOKUP(B45,Paysheet!$A$4:$CE$48,COLUMN(Paysheet!W45),FALSE())*0.5*N1</f>
        <v>#N/A</v>
      </c>
      <c r="H48" s="211"/>
      <c r="I48" s="128" t="s">
        <v>60</v>
      </c>
      <c r="J48" s="128"/>
      <c r="K48" s="128" t="e">
        <f aca="false">VLOOKUP(B45,Paysheet!$A$4:$CE$48,COLUMN(Paysheet!AM45),FALSE())</f>
        <v>#N/A</v>
      </c>
    </row>
    <row r="49" customFormat="false" ht="15.75" hidden="false" customHeight="true" outlineLevel="0" collapsed="false">
      <c r="A49" s="115" t="s">
        <v>35</v>
      </c>
      <c r="B49" s="124" t="e">
        <f aca="false">VLOOKUP(B45,Paysheet!$A$4:$CE$48,COLUMN(Paysheet!H46),FALSE())</f>
        <v>#N/A</v>
      </c>
      <c r="C49" s="206"/>
      <c r="D49" s="126" t="s">
        <v>391</v>
      </c>
      <c r="E49" s="190"/>
      <c r="F49" s="120"/>
      <c r="G49" s="128"/>
      <c r="H49" s="211"/>
      <c r="I49" s="128" t="s">
        <v>392</v>
      </c>
      <c r="J49" s="128" t="e">
        <f aca="false">VLOOKUP(B45,Paysheet!$A$4:$CE$48,COLUMN(Paysheet!BG13),FALSE())</f>
        <v>#N/A</v>
      </c>
      <c r="K49" s="128"/>
    </row>
    <row r="50" customFormat="false" ht="15.75" hidden="false" customHeight="true" outlineLevel="0" collapsed="false">
      <c r="A50" s="115" t="s">
        <v>34</v>
      </c>
      <c r="B50" s="124" t="e">
        <f aca="false">VLOOKUP(B45,Paysheet!$A$4:$CE$48,COLUMN(Paysheet!G47),FALSE())</f>
        <v>#N/A</v>
      </c>
      <c r="C50" s="206"/>
      <c r="D50" s="126" t="s">
        <v>52</v>
      </c>
      <c r="E50" s="190"/>
      <c r="F50" s="120" t="e">
        <f aca="false">VLOOKUP(B45,Paysheet!$A$4:$CE$48,COLUMN(Paysheet!AB47),FALSE())*0.5</f>
        <v>#N/A</v>
      </c>
      <c r="G50" s="128" t="e">
        <f aca="false">VLOOKUP(B45,Paysheet!$A$4:$CE$48,COLUMN(Paysheet!AB47),FALSE())*0.5*N1</f>
        <v>#N/A</v>
      </c>
      <c r="H50" s="211"/>
      <c r="I50" s="213" t="s">
        <v>393</v>
      </c>
      <c r="J50" s="120" t="e">
        <f aca="false">VLOOKUP(B45,Paysheet!$A$4:$CE$48,COLUMN(Paysheet!BD47),FALSE())</f>
        <v>#N/A</v>
      </c>
      <c r="K50" s="128" t="e">
        <f aca="false">VLOOKUP(B45,Paysheet!$A$4:$CE$48,COLUMN(Paysheet!BC47),FALSE())</f>
        <v>#N/A</v>
      </c>
    </row>
    <row r="51" customFormat="false" ht="15.75" hidden="false" customHeight="true" outlineLevel="0" collapsed="false">
      <c r="A51" s="115" t="s">
        <v>27</v>
      </c>
      <c r="B51" s="124" t="e">
        <f aca="false">VLOOKUP(B45,Paysheet!$A$4:$CE$48,COLUMN(Paysheet!CE48),FALSE())</f>
        <v>#N/A</v>
      </c>
      <c r="C51" s="206"/>
      <c r="D51" s="126" t="s">
        <v>394</v>
      </c>
      <c r="E51" s="190"/>
      <c r="F51" s="120" t="e">
        <f aca="false">VLOOKUP(B45,Paysheet!$A$4:$CE$48,COLUMN(Paysheet!AC48),FALSE())*0.5</f>
        <v>#N/A</v>
      </c>
      <c r="G51" s="120" t="e">
        <f aca="false">VLOOKUP(B45,Paysheet!$A$4:$CE$48,COLUMN(Paysheet!AC48),FALSE())*0.5*N1</f>
        <v>#N/A</v>
      </c>
      <c r="H51" s="214"/>
      <c r="I51" s="213" t="s">
        <v>65</v>
      </c>
      <c r="J51" s="120"/>
      <c r="K51" s="128" t="e">
        <f aca="false">VLOOKUP(B45,Paysheet!$A$4:$CE$48,COLUMN(Paysheet!BA48),FALSE())</f>
        <v>#N/A</v>
      </c>
    </row>
    <row r="52" customFormat="false" ht="15.75" hidden="false" customHeight="true" outlineLevel="0" collapsed="false">
      <c r="A52" s="115" t="s">
        <v>395</v>
      </c>
      <c r="B52" s="124" t="e">
        <f aca="false">VLOOKUP(B45,Paysheet!$A$4:$CE$48,COLUMN(Paysheet!I49),FALSE())</f>
        <v>#N/A</v>
      </c>
      <c r="C52" s="206"/>
      <c r="D52" s="126" t="s">
        <v>396</v>
      </c>
      <c r="E52" s="190"/>
      <c r="F52" s="120" t="e">
        <f aca="false">VLOOKUP(B45,Paysheet!$A$4:$CE$48,COLUMN(Paysheet!V49),FALSE())*0.5</f>
        <v>#N/A</v>
      </c>
      <c r="G52" s="128" t="e">
        <f aca="false">VLOOKUP(B45,Paysheet!$A$4:$CE$48,COLUMN(Paysheet!V49),FALSE())*0.5*N1</f>
        <v>#N/A</v>
      </c>
      <c r="H52" s="211"/>
      <c r="I52" s="213" t="s">
        <v>59</v>
      </c>
      <c r="J52" s="120"/>
      <c r="K52" s="128" t="e">
        <f aca="false">VLOOKUP(B45,Paysheet!$A$4:$CE$48,COLUMN(Paysheet!AL49),FALSE())</f>
        <v>#N/A</v>
      </c>
      <c r="L52" s="3"/>
      <c r="M52" s="3" t="s">
        <v>397</v>
      </c>
      <c r="N52" s="3"/>
    </row>
    <row r="53" customFormat="false" ht="15.75" hidden="false" customHeight="true" outlineLevel="0" collapsed="false">
      <c r="A53" s="115" t="s">
        <v>33</v>
      </c>
      <c r="B53" s="124" t="e">
        <f aca="false">VLOOKUP(B45,Paysheet!$A$4:$CE$48,COLUMN(Paysheet!F50),FALSE())</f>
        <v>#N/A</v>
      </c>
      <c r="C53" s="215"/>
      <c r="D53" s="126" t="s">
        <v>408</v>
      </c>
      <c r="E53" s="190"/>
      <c r="F53" s="120" t="e">
        <f aca="false">VLOOKUP(B45,Paysheet!$A$4:$CE$48,COLUMN(Paysheet!T50),FALSE())*0.5</f>
        <v>#N/A</v>
      </c>
      <c r="G53" s="120" t="e">
        <f aca="false">VLOOKUP(B45,Paysheet!$A$4:$CE$48,COLUMN(Paysheet!T50),FALSE())*0.5*N1</f>
        <v>#N/A</v>
      </c>
      <c r="H53" s="211"/>
      <c r="I53" s="128" t="s">
        <v>399</v>
      </c>
      <c r="J53" s="120" t="e">
        <f aca="false">VLOOKUP(B45,Paysheet!$A$4:$CE$48,COLUMN(Paysheet!BH50),FALSE())</f>
        <v>#N/A</v>
      </c>
      <c r="K53" s="128" t="e">
        <f aca="false">VLOOKUP(B45,Paysheet!$A$4:$CE$48,COLUMN(Paysheet!BB50),FALSE())</f>
        <v>#N/A</v>
      </c>
      <c r="L53" s="3"/>
      <c r="M53" s="3" t="s">
        <v>412</v>
      </c>
      <c r="N53" s="3" t="e">
        <f aca="false">F56-J56</f>
        <v>#N/A</v>
      </c>
    </row>
    <row r="54" customFormat="false" ht="15.75" hidden="false" customHeight="true" outlineLevel="0" collapsed="false">
      <c r="A54" s="115" t="s">
        <v>32</v>
      </c>
      <c r="B54" s="132" t="e">
        <f aca="false">VLOOKUP(B45,Paysheet!$A$4:$CE$48,COLUMN(Paysheet!E51),FALSE())</f>
        <v>#N/A</v>
      </c>
      <c r="C54" s="216"/>
      <c r="D54" s="126" t="s">
        <v>413</v>
      </c>
      <c r="E54" s="190"/>
      <c r="F54" s="120" t="e">
        <f aca="false">VLOOKUP(B45,Paysheet!$A$4:$CE$48,COLUMN(Paysheet!U51),FALSE())*0.5</f>
        <v>#N/A</v>
      </c>
      <c r="G54" s="120" t="e">
        <f aca="false">VLOOKUP(B45,Paysheet!$A$4:$CE$48,COLUMN(Paysheet!U51),FALSE())*0.5*N1</f>
        <v>#N/A</v>
      </c>
      <c r="H54" s="217"/>
      <c r="I54" s="128" t="s">
        <v>400</v>
      </c>
      <c r="J54" s="136" t="e">
        <f aca="false">VLOOKUP(B45,Paysheet!$A$4:$CE$48,COLUMN(Paysheet!BI51),FALSE())</f>
        <v>#N/A</v>
      </c>
      <c r="K54" s="137"/>
      <c r="L54" s="3"/>
      <c r="M54" s="3" t="s">
        <v>414</v>
      </c>
      <c r="N54" s="3" t="e">
        <f aca="false">G56-K56</f>
        <v>#N/A</v>
      </c>
    </row>
    <row r="55" customFormat="false" ht="15.75" hidden="false" customHeight="true" outlineLevel="0" collapsed="false">
      <c r="A55" s="145" t="s">
        <v>401</v>
      </c>
      <c r="B55" s="146" t="e">
        <f aca="false">VLOOKUP(B45,Paysheet!$A$4:$CE$48,COLUMN(Paysheet!M45),FALSE())</f>
        <v>#N/A</v>
      </c>
      <c r="C55" s="218"/>
      <c r="D55" s="135" t="s">
        <v>398</v>
      </c>
      <c r="E55" s="169"/>
      <c r="F55" s="137"/>
      <c r="G55" s="120" t="e">
        <f aca="false">VLOOKUP(B45,Paysheet!$A$4:$CE$48,COLUMN(Paysheet!S54),FALSE())</f>
        <v>#N/A</v>
      </c>
      <c r="H55" s="211"/>
      <c r="I55" s="137"/>
      <c r="J55" s="137"/>
      <c r="K55" s="137"/>
    </row>
    <row r="56" customFormat="false" ht="15.75" hidden="false" customHeight="true" outlineLevel="0" collapsed="false">
      <c r="A56" s="219"/>
      <c r="B56" s="219"/>
      <c r="C56" s="108"/>
      <c r="D56" s="197" t="s">
        <v>402</v>
      </c>
      <c r="E56" s="198"/>
      <c r="F56" s="220" t="e">
        <f aca="false">SUM(F45:F55)</f>
        <v>#N/A</v>
      </c>
      <c r="G56" s="151" t="e">
        <f aca="false">SUM(G45:G55)</f>
        <v>#N/A</v>
      </c>
      <c r="H56" s="221"/>
      <c r="I56" s="222" t="s">
        <v>403</v>
      </c>
      <c r="J56" s="223" t="e">
        <f aca="false">SUM(J45:J55)</f>
        <v>#N/A</v>
      </c>
      <c r="K56" s="222" t="e">
        <f aca="false">SUM(K45:K55)</f>
        <v>#N/A</v>
      </c>
      <c r="L56" s="3"/>
      <c r="M56" s="3"/>
      <c r="N56" s="3" t="e">
        <f aca="false">K58-N54</f>
        <v>#N/A</v>
      </c>
    </row>
    <row r="57" customFormat="false" ht="6" hidden="false" customHeight="true" outlineLevel="0" collapsed="false">
      <c r="A57" s="108"/>
      <c r="B57" s="108"/>
      <c r="C57" s="108"/>
      <c r="D57" s="153"/>
      <c r="E57" s="154"/>
      <c r="F57" s="155"/>
      <c r="G57" s="156"/>
      <c r="H57" s="156"/>
      <c r="I57" s="155"/>
      <c r="J57" s="157"/>
      <c r="K57" s="155"/>
    </row>
    <row r="58" customFormat="false" ht="15.75" hidden="false" customHeight="true" outlineLevel="0" collapsed="false">
      <c r="A58" s="158" t="s">
        <v>404</v>
      </c>
      <c r="B58" s="159" t="e">
        <f aca="false">VLOOKUP(B45,Paysheet!$A$4:$CE$48,COLUMN(Paysheet!BU49),FALSE())</f>
        <v>#N/A</v>
      </c>
      <c r="C58" s="100"/>
      <c r="D58" s="107" t="e">
        <f aca="false">VLOOKUP(B45,Paysheet!$A$4:$CE$48,COLUMN(Paysheet!BW49),FALSE())</f>
        <v>#N/A</v>
      </c>
      <c r="E58" s="160"/>
      <c r="F58" s="161" t="s">
        <v>405</v>
      </c>
      <c r="G58" s="162"/>
      <c r="H58" s="163"/>
      <c r="I58" s="164" t="s">
        <v>406</v>
      </c>
      <c r="J58" s="165" t="s">
        <v>62</v>
      </c>
      <c r="K58" s="166" t="e">
        <f aca="false">VLOOKUP(B45,Paysheet!$A$4:$CE$48,COLUMN(Paysheet!BM33),FALSE())</f>
        <v>#N/A</v>
      </c>
      <c r="L58" s="3"/>
      <c r="N58" s="3" t="e">
        <f aca="false">K59-N53</f>
        <v>#N/A</v>
      </c>
    </row>
    <row r="59" customFormat="false" ht="15.75" hidden="false" customHeight="true" outlineLevel="0" collapsed="false">
      <c r="A59" s="115" t="s">
        <v>407</v>
      </c>
      <c r="B59" s="167" t="e">
        <f aca="false">VLOOKUP(B45,Paysheet!$A$4:$CE$48,COLUMN(Paysheet!BX50),FALSE())</f>
        <v>#N/A</v>
      </c>
      <c r="C59" s="168"/>
      <c r="D59" s="124" t="e">
        <f aca="false">VLOOKUP(B45,Paysheet!$A$4:$CE$48,COLUMN(Paysheet!BZ50),FALSE())</f>
        <v>#N/A</v>
      </c>
      <c r="E59" s="169"/>
      <c r="F59" s="170" t="e">
        <f aca="false">VLOOKUP(B45,Paysheet!$A$4:$CE$48,COLUMN(Paysheet!AS49),FALSE())</f>
        <v>#N/A</v>
      </c>
      <c r="G59" s="171"/>
      <c r="H59" s="172"/>
      <c r="I59" s="164"/>
      <c r="J59" s="173" t="s">
        <v>26</v>
      </c>
      <c r="K59" s="174" t="e">
        <f aca="false">VLOOKUP(B45,Paysheet!$A$4:$CE$48,COLUMN(Paysheet!BL33),FALSE())</f>
        <v>#N/A</v>
      </c>
    </row>
    <row r="60" customFormat="false" ht="6" hidden="false" customHeight="true" outlineLevel="0" collapsed="false">
      <c r="A60" s="97"/>
      <c r="B60" s="97"/>
      <c r="C60" s="97"/>
      <c r="D60" s="97"/>
      <c r="E60" s="97"/>
      <c r="F60" s="97"/>
      <c r="G60" s="97"/>
      <c r="H60" s="97"/>
      <c r="I60" s="97"/>
      <c r="J60" s="97"/>
      <c r="K60" s="97"/>
    </row>
    <row r="62" customFormat="false" ht="15" hidden="false" customHeight="false" outlineLevel="0" collapsed="false">
      <c r="K62" s="3"/>
      <c r="L62" s="3"/>
    </row>
    <row r="63" customFormat="false" ht="15" hidden="false" customHeight="false" outlineLevel="0" collapsed="false">
      <c r="L63" s="3"/>
    </row>
    <row r="64" customFormat="false" ht="15" hidden="false" customHeight="false" outlineLevel="0" collapsed="false">
      <c r="L64" s="3"/>
    </row>
    <row r="67" customFormat="false" ht="15" hidden="false" customHeight="false" outlineLevel="0" collapsed="false">
      <c r="J67" s="4"/>
    </row>
  </sheetData>
  <mergeCells count="21">
    <mergeCell ref="A1:K1"/>
    <mergeCell ref="A2:B2"/>
    <mergeCell ref="D2:D3"/>
    <mergeCell ref="F2:G2"/>
    <mergeCell ref="I2:I3"/>
    <mergeCell ref="J2:K2"/>
    <mergeCell ref="I17:I18"/>
    <mergeCell ref="A21:K21"/>
    <mergeCell ref="A22:B22"/>
    <mergeCell ref="D22:D23"/>
    <mergeCell ref="F22:G22"/>
    <mergeCell ref="I22:I23"/>
    <mergeCell ref="J22:K22"/>
    <mergeCell ref="I37:I38"/>
    <mergeCell ref="A42:K42"/>
    <mergeCell ref="A43:B43"/>
    <mergeCell ref="D43:D44"/>
    <mergeCell ref="F43:G43"/>
    <mergeCell ref="I43:I44"/>
    <mergeCell ref="J43:K43"/>
    <mergeCell ref="I58:I5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.57"/>
    <col collapsed="false" customWidth="true" hidden="false" outlineLevel="0" max="3" min="3" style="1" width="18"/>
    <col collapsed="false" customWidth="true" hidden="false" outlineLevel="0" max="4" min="4" style="1" width="17.57"/>
    <col collapsed="false" customWidth="true" hidden="false" outlineLevel="0" max="5" min="5" style="1" width="11.29"/>
    <col collapsed="false" customWidth="true" hidden="false" outlineLevel="0" max="6" min="6" style="1" width="15"/>
    <col collapsed="false" customWidth="true" hidden="false" outlineLevel="0" max="7" min="7" style="1" width="16.85"/>
    <col collapsed="false" customWidth="true" hidden="false" outlineLevel="0" max="8" min="8" style="1" width="17.15"/>
    <col collapsed="false" customWidth="true" hidden="false" outlineLevel="0" max="9" min="9" style="1" width="11.43"/>
    <col collapsed="false" customWidth="true" hidden="false" outlineLevel="0" max="10" min="10" style="1" width="15.71"/>
    <col collapsed="false" customWidth="true" hidden="false" outlineLevel="0" max="11" min="11" style="1" width="17.29"/>
    <col collapsed="false" customWidth="true" hidden="false" outlineLevel="0" max="12" min="12" style="1" width="13.42"/>
    <col collapsed="false" customWidth="true" hidden="false" outlineLevel="0" max="15" min="15" style="1" width="13.29"/>
  </cols>
  <sheetData>
    <row r="1" customFormat="false" ht="15" hidden="false" customHeight="false" outlineLevel="0" collapsed="false">
      <c r="B1" s="41"/>
      <c r="C1" s="29" t="s">
        <v>29</v>
      </c>
      <c r="D1" s="29" t="s">
        <v>30</v>
      </c>
      <c r="E1" s="29" t="s">
        <v>416</v>
      </c>
      <c r="F1" s="29" t="s">
        <v>417</v>
      </c>
      <c r="G1" s="29" t="s">
        <v>83</v>
      </c>
      <c r="H1" s="29" t="s">
        <v>418</v>
      </c>
      <c r="I1" s="29" t="s">
        <v>416</v>
      </c>
      <c r="J1" s="29" t="s">
        <v>417</v>
      </c>
      <c r="K1" s="29" t="s">
        <v>83</v>
      </c>
      <c r="L1" s="29" t="s">
        <v>418</v>
      </c>
    </row>
    <row r="2" customFormat="false" ht="15.75" hidden="false" customHeight="true" outlineLevel="0" collapsed="false">
      <c r="A2" s="1" t="n">
        <v>1</v>
      </c>
      <c r="B2" s="41" t="str">
        <f aca="false">Paysheet!A4</f>
        <v>AES-E046</v>
      </c>
      <c r="C2" s="71" t="str">
        <f aca="false">Paysheet!B4</f>
        <v>Tarisai</v>
      </c>
      <c r="D2" s="224" t="str">
        <f aca="false">Paysheet!C4</f>
        <v>Zinyama</v>
      </c>
      <c r="E2" s="57" t="str">
        <f aca="false">Paysheet!BU4</f>
        <v>FBC</v>
      </c>
      <c r="F2" s="41" t="str">
        <f aca="false">Paysheet!BV4</f>
        <v>Zvishavane</v>
      </c>
      <c r="G2" s="41" t="str">
        <f aca="false">Paysheet!BW4</f>
        <v>8374810963284</v>
      </c>
      <c r="H2" s="57" t="n">
        <f aca="false">Paysheet!BM4</f>
        <v>32451.6719751467</v>
      </c>
      <c r="I2" s="57" t="str">
        <f aca="false">Paysheet!BX4</f>
        <v>FBC</v>
      </c>
      <c r="J2" s="41" t="str">
        <f aca="false">Paysheet!BY4</f>
        <v>Zvishavane</v>
      </c>
      <c r="K2" s="41" t="str">
        <f aca="false">Paysheet!BZ4</f>
        <v>4591712639586</v>
      </c>
      <c r="L2" s="57" t="n">
        <f aca="false">Paysheet!BL4</f>
        <v>1103.10084480685</v>
      </c>
    </row>
    <row r="3" customFormat="false" ht="15.75" hidden="false" customHeight="true" outlineLevel="0" collapsed="false">
      <c r="A3" s="1" t="n">
        <v>2</v>
      </c>
      <c r="B3" s="41" t="str">
        <f aca="false">Paysheet!A5</f>
        <v>AES-E049</v>
      </c>
      <c r="C3" s="71" t="str">
        <f aca="false">Paysheet!B5</f>
        <v>Marvellous</v>
      </c>
      <c r="D3" s="224" t="str">
        <f aca="false">Paysheet!C5</f>
        <v>Chakanetsa</v>
      </c>
      <c r="E3" s="57" t="str">
        <f aca="false">Paysheet!BU5</f>
        <v>FBC</v>
      </c>
      <c r="F3" s="41" t="str">
        <f aca="false">Paysheet!BV5</f>
        <v>Zvishavane</v>
      </c>
      <c r="G3" s="41" t="str">
        <f aca="false">Paysheet!BW5</f>
        <v>6276992244264</v>
      </c>
      <c r="H3" s="57" t="n">
        <f aca="false">Paysheet!BM5</f>
        <v>20356.5511158012</v>
      </c>
      <c r="I3" s="57" t="str">
        <f aca="false">Paysheet!BX5</f>
        <v>FBC</v>
      </c>
      <c r="J3" s="41" t="str">
        <f aca="false">Paysheet!BY5</f>
        <v>Zvishavane</v>
      </c>
      <c r="K3" s="41" t="str">
        <f aca="false">Paysheet!BZ5</f>
        <v>6563946412917</v>
      </c>
      <c r="L3" s="57" t="n">
        <f aca="false">Paysheet!BL5</f>
        <v>464.295921577068</v>
      </c>
    </row>
    <row r="4" customFormat="false" ht="15.75" hidden="false" customHeight="true" outlineLevel="0" collapsed="false">
      <c r="A4" s="1" t="n">
        <v>3</v>
      </c>
      <c r="B4" s="41" t="str">
        <f aca="false">Paysheet!A6</f>
        <v>AES-E022</v>
      </c>
      <c r="C4" s="71" t="str">
        <f aca="false">Paysheet!B6</f>
        <v>Obvious</v>
      </c>
      <c r="D4" s="224" t="str">
        <f aca="false">Paysheet!C6</f>
        <v>Mpofu</v>
      </c>
      <c r="E4" s="57" t="str">
        <f aca="false">Paysheet!BU6</f>
        <v>FBC</v>
      </c>
      <c r="F4" s="41" t="str">
        <f aca="false">Paysheet!BV6</f>
        <v>VIRTUAL</v>
      </c>
      <c r="G4" s="41" t="str">
        <f aca="false">Paysheet!BW6</f>
        <v>2760919825741</v>
      </c>
      <c r="H4" s="57" t="n">
        <f aca="false">Paysheet!BM6</f>
        <v>17106.2857028296</v>
      </c>
      <c r="I4" s="57" t="str">
        <f aca="false">Paysheet!BX6</f>
        <v>FBC</v>
      </c>
      <c r="J4" s="41" t="str">
        <f aca="false">Paysheet!BY6</f>
        <v>VIRTUAL</v>
      </c>
      <c r="K4" s="41" t="str">
        <f aca="false">Paysheet!BZ6</f>
        <v>9900087728107</v>
      </c>
      <c r="L4" s="57" t="n">
        <f aca="false">Paysheet!BL6</f>
        <v>585.912190396722</v>
      </c>
    </row>
    <row r="5" customFormat="false" ht="15.75" hidden="false" customHeight="true" outlineLevel="0" collapsed="false">
      <c r="A5" s="1" t="n">
        <v>4</v>
      </c>
      <c r="B5" s="41" t="str">
        <f aca="false">Paysheet!A7</f>
        <v>AES-E035</v>
      </c>
      <c r="C5" s="71" t="str">
        <f aca="false">Paysheet!B7</f>
        <v>Polite</v>
      </c>
      <c r="D5" s="224" t="str">
        <f aca="false">Paysheet!C7</f>
        <v>Mudarikwa</v>
      </c>
      <c r="E5" s="57" t="str">
        <f aca="false">Paysheet!BU7</f>
        <v>FBC</v>
      </c>
      <c r="F5" s="41" t="str">
        <f aca="false">Paysheet!BV7</f>
        <v>Zvishavane</v>
      </c>
      <c r="G5" s="41" t="str">
        <f aca="false">Paysheet!BW7</f>
        <v>5298743732931</v>
      </c>
      <c r="H5" s="57" t="n">
        <f aca="false">Paysheet!BM7</f>
        <v>10734.8515542155</v>
      </c>
      <c r="I5" s="57" t="str">
        <f aca="false">Paysheet!BX7</f>
        <v>FBC</v>
      </c>
      <c r="J5" s="41" t="str">
        <f aca="false">Paysheet!BY7</f>
        <v>Zvishavane</v>
      </c>
      <c r="K5" s="41" t="str">
        <f aca="false">Paysheet!BZ7</f>
        <v>6013813941202</v>
      </c>
      <c r="L5" s="57" t="n">
        <f aca="false">Paysheet!BL7</f>
        <v>346.699533815318</v>
      </c>
      <c r="O5" s="4"/>
    </row>
    <row r="6" customFormat="false" ht="15.75" hidden="false" customHeight="true" outlineLevel="0" collapsed="false">
      <c r="A6" s="1" t="n">
        <v>5</v>
      </c>
      <c r="B6" s="41" t="str">
        <f aca="false">Paysheet!A8</f>
        <v>AES-E041</v>
      </c>
      <c r="C6" s="71" t="str">
        <f aca="false">Paysheet!B8</f>
        <v>Chenai</v>
      </c>
      <c r="D6" s="224" t="str">
        <f aca="false">Paysheet!C8</f>
        <v>Runesu</v>
      </c>
      <c r="E6" s="57" t="str">
        <f aca="false">Paysheet!BU8</f>
        <v>FBC</v>
      </c>
      <c r="F6" s="41" t="str">
        <f aca="false">Paysheet!BV8</f>
        <v>Zvishavane</v>
      </c>
      <c r="G6" s="41" t="str">
        <f aca="false">Paysheet!BW8</f>
        <v>2823915366343</v>
      </c>
      <c r="H6" s="57" t="n">
        <f aca="false">Paysheet!BM8</f>
        <v>16611.6246232145</v>
      </c>
      <c r="I6" s="57" t="str">
        <f aca="false">Paysheet!BX8</f>
        <v>FBC</v>
      </c>
      <c r="J6" s="41" t="str">
        <f aca="false">Paysheet!BY8</f>
        <v>Zvishavane</v>
      </c>
      <c r="K6" s="41" t="str">
        <f aca="false">Paysheet!BZ8</f>
        <v>5652026357519</v>
      </c>
      <c r="L6" s="57" t="n">
        <f aca="false">Paysheet!BL8</f>
        <v>494.703874897075</v>
      </c>
    </row>
    <row r="7" customFormat="false" ht="15.75" hidden="false" customHeight="true" outlineLevel="0" collapsed="false">
      <c r="A7" s="1" t="n">
        <v>6</v>
      </c>
      <c r="B7" s="41" t="str">
        <f aca="false">Paysheet!A9</f>
        <v>AES-E033</v>
      </c>
      <c r="C7" s="71" t="str">
        <f aca="false">Paysheet!B9</f>
        <v>Tafadzwa</v>
      </c>
      <c r="D7" s="224" t="str">
        <f aca="false">Paysheet!C9</f>
        <v>Mafukidze</v>
      </c>
      <c r="E7" s="57" t="str">
        <f aca="false">Paysheet!BU9</f>
        <v>FBC</v>
      </c>
      <c r="F7" s="41" t="str">
        <f aca="false">Paysheet!BV9</f>
        <v>Zvishavane</v>
      </c>
      <c r="G7" s="41" t="str">
        <f aca="false">Paysheet!BW9</f>
        <v>5957561986265</v>
      </c>
      <c r="H7" s="57" t="n">
        <f aca="false">Paysheet!BM9</f>
        <v>7442.25974078255</v>
      </c>
      <c r="I7" s="57" t="str">
        <f aca="false">Paysheet!BX9</f>
        <v>FBC</v>
      </c>
      <c r="J7" s="41" t="str">
        <f aca="false">Paysheet!BY9</f>
        <v>Zvishavane</v>
      </c>
      <c r="K7" s="41" t="str">
        <f aca="false">Paysheet!BZ9</f>
        <v>4704859533483</v>
      </c>
      <c r="L7" s="57" t="n">
        <f aca="false">Paysheet!BL9</f>
        <v>257.176774151745</v>
      </c>
    </row>
    <row r="8" customFormat="false" ht="15.75" hidden="false" customHeight="true" outlineLevel="0" collapsed="false">
      <c r="A8" s="1" t="n">
        <v>7</v>
      </c>
      <c r="B8" s="41" t="str">
        <f aca="false">Paysheet!A10</f>
        <v>AES-E034</v>
      </c>
      <c r="C8" s="71" t="str">
        <f aca="false">Paysheet!B10</f>
        <v>Kudzai</v>
      </c>
      <c r="D8" s="224" t="str">
        <f aca="false">Paysheet!C10</f>
        <v>Gwatidzo</v>
      </c>
      <c r="E8" s="57" t="str">
        <f aca="false">Paysheet!BU10</f>
        <v>FBC</v>
      </c>
      <c r="F8" s="41" t="str">
        <f aca="false">Paysheet!BV10</f>
        <v>Zvishavane</v>
      </c>
      <c r="G8" s="41" t="str">
        <f aca="false">Paysheet!BW10</f>
        <v>9596400274673</v>
      </c>
      <c r="H8" s="57" t="n">
        <f aca="false">Paysheet!BM10</f>
        <v>9605.09227016654</v>
      </c>
      <c r="I8" s="57" t="str">
        <f aca="false">Paysheet!BX10</f>
        <v>FBC</v>
      </c>
      <c r="J8" s="41" t="str">
        <f aca="false">Paysheet!BY10</f>
        <v>Zvishavane</v>
      </c>
      <c r="K8" s="41" t="str">
        <f aca="false">Paysheet!BZ10</f>
        <v>2623715817487</v>
      </c>
      <c r="L8" s="57" t="n">
        <f aca="false">Paysheet!BL10</f>
        <v>358.813854705705</v>
      </c>
    </row>
    <row r="9" customFormat="false" ht="15.75" hidden="false" customHeight="true" outlineLevel="0" collapsed="false">
      <c r="A9" s="1" t="n">
        <v>8</v>
      </c>
      <c r="B9" s="41" t="str">
        <f aca="false">Paysheet!A11</f>
        <v>AES-E036</v>
      </c>
      <c r="C9" s="71" t="str">
        <f aca="false">Paysheet!B11</f>
        <v>Dadirai</v>
      </c>
      <c r="D9" s="224" t="str">
        <f aca="false">Paysheet!C11</f>
        <v>Nyakudya</v>
      </c>
      <c r="E9" s="57" t="str">
        <f aca="false">Paysheet!BU11</f>
        <v>FBC</v>
      </c>
      <c r="F9" s="41" t="str">
        <f aca="false">Paysheet!BV11</f>
        <v>Zvishavane</v>
      </c>
      <c r="G9" s="41" t="str">
        <f aca="false">Paysheet!BW11</f>
        <v>6866940554958</v>
      </c>
      <c r="H9" s="57" t="n">
        <f aca="false">Paysheet!BM11</f>
        <v>3590.56505045375</v>
      </c>
      <c r="I9" s="57" t="str">
        <f aca="false">Paysheet!BX11</f>
        <v>FBC</v>
      </c>
      <c r="J9" s="41" t="str">
        <f aca="false">Paysheet!BY11</f>
        <v>Zvishavane</v>
      </c>
      <c r="K9" s="41" t="str">
        <f aca="false">Paysheet!BZ11</f>
        <v>3301119435213</v>
      </c>
      <c r="L9" s="57" t="n">
        <f aca="false">Paysheet!BL11</f>
        <v>142.229040811144</v>
      </c>
    </row>
    <row r="10" customFormat="false" ht="15.75" hidden="false" customHeight="true" outlineLevel="0" collapsed="false">
      <c r="A10" s="1" t="n">
        <v>10</v>
      </c>
      <c r="B10" s="41" t="str">
        <f aca="false">Paysheet!A12</f>
        <v>AES-E037</v>
      </c>
      <c r="C10" s="71" t="str">
        <f aca="false">Paysheet!B12</f>
        <v>Tarisai</v>
      </c>
      <c r="D10" s="224" t="str">
        <f aca="false">Paysheet!C12</f>
        <v>Chidzambwa</v>
      </c>
      <c r="E10" s="57" t="str">
        <f aca="false">Paysheet!BU12</f>
        <v>FBC</v>
      </c>
      <c r="F10" s="41" t="str">
        <f aca="false">Paysheet!BV12</f>
        <v>Zvishavane</v>
      </c>
      <c r="G10" s="41" t="str">
        <f aca="false">Paysheet!BW12</f>
        <v>8523518553916</v>
      </c>
      <c r="H10" s="57" t="n">
        <f aca="false">Paysheet!BM12</f>
        <v>4375.94975045375</v>
      </c>
      <c r="I10" s="57" t="str">
        <f aca="false">Paysheet!BX12</f>
        <v>FBC</v>
      </c>
      <c r="J10" s="41" t="str">
        <f aca="false">Paysheet!BY12</f>
        <v>Zvishavane</v>
      </c>
      <c r="K10" s="41" t="str">
        <f aca="false">Paysheet!BZ12</f>
        <v>1169912801200</v>
      </c>
      <c r="L10" s="57" t="n">
        <f aca="false">Paysheet!BL12</f>
        <v>142.229040811144</v>
      </c>
    </row>
    <row r="11" customFormat="false" ht="15.75" hidden="false" customHeight="true" outlineLevel="0" collapsed="false">
      <c r="A11" s="1" t="n">
        <v>11</v>
      </c>
      <c r="B11" s="225" t="str">
        <f aca="false">Paysheet!A13</f>
        <v>AES-E015</v>
      </c>
      <c r="C11" s="71" t="str">
        <f aca="false">Paysheet!B13</f>
        <v>Believe</v>
      </c>
      <c r="D11" s="224" t="str">
        <f aca="false">Paysheet!C13</f>
        <v>Mhererwa</v>
      </c>
      <c r="E11" s="57" t="str">
        <f aca="false">Paysheet!BU13</f>
        <v>FBC</v>
      </c>
      <c r="F11" s="41" t="str">
        <f aca="false">Paysheet!BV13</f>
        <v>Zvishavane</v>
      </c>
      <c r="G11" s="41" t="str">
        <f aca="false">Paysheet!BW13</f>
        <v>1633703484987</v>
      </c>
      <c r="H11" s="57" t="n">
        <f aca="false">Paysheet!BM13</f>
        <v>5146.18998851217</v>
      </c>
      <c r="I11" s="57" t="str">
        <f aca="false">Paysheet!BX13</f>
        <v>FBC</v>
      </c>
      <c r="J11" s="41" t="str">
        <f aca="false">Paysheet!BY13</f>
        <v>Zvishavane</v>
      </c>
      <c r="K11" s="41" t="str">
        <f aca="false">Paysheet!BZ13</f>
        <v>7497575109867</v>
      </c>
      <c r="L11" s="57" t="n">
        <f aca="false">Paysheet!BL13</f>
        <v>30.4235766555343</v>
      </c>
    </row>
    <row r="12" customFormat="false" ht="15.75" hidden="false" customHeight="true" outlineLevel="0" collapsed="false">
      <c r="A12" s="1" t="n">
        <v>12</v>
      </c>
      <c r="B12" s="41" t="str">
        <f aca="false">Paysheet!A14</f>
        <v>AES-E016</v>
      </c>
      <c r="C12" s="71" t="str">
        <f aca="false">Paysheet!B14</f>
        <v>Shingai</v>
      </c>
      <c r="D12" s="224" t="str">
        <f aca="false">Paysheet!C14</f>
        <v>Rusike</v>
      </c>
      <c r="E12" s="57" t="str">
        <f aca="false">Paysheet!BU14</f>
        <v>FBC</v>
      </c>
      <c r="F12" s="41" t="str">
        <f aca="false">Paysheet!BV14</f>
        <v>Zvishavane</v>
      </c>
      <c r="G12" s="41" t="str">
        <f aca="false">Paysheet!BW14</f>
        <v>1734986781954</v>
      </c>
      <c r="H12" s="57" t="n">
        <f aca="false">Paysheet!BM14</f>
        <v>4748.00445678673</v>
      </c>
      <c r="I12" s="57" t="str">
        <f aca="false">Paysheet!BX14</f>
        <v>FBC</v>
      </c>
      <c r="J12" s="41" t="str">
        <f aca="false">Paysheet!BY14</f>
        <v>Zvishavane</v>
      </c>
      <c r="K12" s="41" t="str">
        <f aca="false">Paysheet!BZ14</f>
        <v>7413710132455</v>
      </c>
      <c r="L12" s="57" t="n">
        <f aca="false">Paysheet!BL14</f>
        <v>138.16762564353</v>
      </c>
    </row>
    <row r="13" customFormat="false" ht="15.75" hidden="false" customHeight="true" outlineLevel="0" collapsed="false">
      <c r="A13" s="1" t="n">
        <v>14</v>
      </c>
      <c r="B13" s="41" t="str">
        <f aca="false">Paysheet!A15</f>
        <v>AES-E018</v>
      </c>
      <c r="C13" s="71" t="str">
        <f aca="false">Paysheet!B15</f>
        <v>Gamuchirai</v>
      </c>
      <c r="D13" s="224" t="str">
        <f aca="false">Paysheet!C15</f>
        <v>Chirenda</v>
      </c>
      <c r="E13" s="57" t="str">
        <f aca="false">Paysheet!BU15</f>
        <v>FBC</v>
      </c>
      <c r="F13" s="41" t="str">
        <f aca="false">Paysheet!BV15</f>
        <v>Zvishavane</v>
      </c>
      <c r="G13" s="41" t="str">
        <f aca="false">Paysheet!BW15</f>
        <v>2811045688826</v>
      </c>
      <c r="H13" s="57" t="n">
        <f aca="false">Paysheet!BM15</f>
        <v>4679.75445678673</v>
      </c>
      <c r="I13" s="57" t="str">
        <f aca="false">Paysheet!BX15</f>
        <v>FBC</v>
      </c>
      <c r="J13" s="41" t="str">
        <f aca="false">Paysheet!BY15</f>
        <v>Zvishavane</v>
      </c>
      <c r="K13" s="41" t="str">
        <f aca="false">Paysheet!BZ15</f>
        <v>8150582443075</v>
      </c>
      <c r="L13" s="57" t="n">
        <f aca="false">Paysheet!BL15</f>
        <v>138.16762564353</v>
      </c>
    </row>
    <row r="14" customFormat="false" ht="15.75" hidden="false" customHeight="true" outlineLevel="0" collapsed="false">
      <c r="A14" s="1" t="n">
        <v>15</v>
      </c>
      <c r="B14" s="41" t="str">
        <f aca="false">Paysheet!A16</f>
        <v>AES-E013</v>
      </c>
      <c r="C14" s="71" t="str">
        <f aca="false">Paysheet!B16</f>
        <v>Chido</v>
      </c>
      <c r="D14" s="224" t="str">
        <f aca="false">Paysheet!C16</f>
        <v>Chigumba</v>
      </c>
      <c r="E14" s="57" t="str">
        <f aca="false">Paysheet!BU16</f>
        <v>FBC</v>
      </c>
      <c r="F14" s="41" t="str">
        <f aca="false">Paysheet!BV16</f>
        <v>Zvishavane</v>
      </c>
      <c r="G14" s="41" t="str">
        <f aca="false">Paysheet!BW16</f>
        <v>8253690449424</v>
      </c>
      <c r="H14" s="57" t="n">
        <f aca="false">Paysheet!BM16</f>
        <v>4829.73528851217</v>
      </c>
      <c r="I14" s="57" t="str">
        <f aca="false">Paysheet!BX16</f>
        <v>FBC</v>
      </c>
      <c r="J14" s="41" t="str">
        <f aca="false">Paysheet!BY16</f>
        <v>Zvishavane</v>
      </c>
      <c r="K14" s="41" t="str">
        <f aca="false">Paysheet!BZ16</f>
        <v>4152612451898</v>
      </c>
      <c r="L14" s="57" t="n">
        <f aca="false">Paysheet!BL16</f>
        <v>150.423576655534</v>
      </c>
    </row>
    <row r="15" customFormat="false" ht="15.75" hidden="false" customHeight="true" outlineLevel="0" collapsed="false">
      <c r="A15" s="1" t="n">
        <v>16</v>
      </c>
      <c r="B15" s="41" t="str">
        <f aca="false">Paysheet!A17</f>
        <v>AES-E045</v>
      </c>
      <c r="C15" s="71" t="str">
        <f aca="false">Paysheet!B17</f>
        <v>Tinotenda</v>
      </c>
      <c r="D15" s="224" t="str">
        <f aca="false">Paysheet!C17</f>
        <v>Nyagura</v>
      </c>
      <c r="E15" s="57" t="str">
        <f aca="false">Paysheet!BU17</f>
        <v>FBC</v>
      </c>
      <c r="F15" s="41" t="str">
        <f aca="false">Paysheet!BV17</f>
        <v>Zvishavane</v>
      </c>
      <c r="G15" s="41" t="str">
        <f aca="false">Paysheet!BW17</f>
        <v>3801464598795</v>
      </c>
      <c r="H15" s="57" t="n">
        <f aca="false">Paysheet!BM17</f>
        <v>7093.30714508375</v>
      </c>
      <c r="I15" s="57" t="str">
        <f aca="false">Paysheet!BX17</f>
        <v>FBC</v>
      </c>
      <c r="J15" s="41" t="str">
        <f aca="false">Paysheet!BY17</f>
        <v>Zvishavane</v>
      </c>
      <c r="K15" s="41" t="str">
        <f aca="false">Paysheet!BZ17</f>
        <v>7726383052711</v>
      </c>
      <c r="L15" s="57" t="n">
        <f aca="false">Paysheet!BL17</f>
        <v>207.725149422967</v>
      </c>
    </row>
    <row r="16" customFormat="false" ht="15.75" hidden="false" customHeight="true" outlineLevel="0" collapsed="false">
      <c r="A16" s="1" t="n">
        <v>17</v>
      </c>
      <c r="B16" s="41" t="str">
        <f aca="false">Paysheet!A18</f>
        <v>AES-E048</v>
      </c>
      <c r="C16" s="71" t="str">
        <f aca="false">Paysheet!B18</f>
        <v>Nomatter</v>
      </c>
      <c r="D16" s="224" t="str">
        <f aca="false">Paysheet!C18</f>
        <v>Nhira</v>
      </c>
      <c r="E16" s="57" t="str">
        <f aca="false">Paysheet!BU18</f>
        <v>FBC</v>
      </c>
      <c r="F16" s="41" t="str">
        <f aca="false">Paysheet!BV18</f>
        <v>Zvishavane</v>
      </c>
      <c r="G16" s="41" t="str">
        <f aca="false">Paysheet!BW18</f>
        <v>7152370155220</v>
      </c>
      <c r="H16" s="57" t="n">
        <f aca="false">Paysheet!BM18</f>
        <v>6672.673598364</v>
      </c>
      <c r="I16" s="57" t="str">
        <f aca="false">Paysheet!BX18</f>
        <v>FBC</v>
      </c>
      <c r="J16" s="41" t="str">
        <f aca="false">Paysheet!BY18</f>
        <v>Zvishavane</v>
      </c>
      <c r="K16" s="41" t="str">
        <f aca="false">Paysheet!BZ18</f>
        <v>4922282656442</v>
      </c>
      <c r="L16" s="57" t="n">
        <f aca="false">Paysheet!BL18</f>
        <v>221.8307665694</v>
      </c>
    </row>
    <row r="17" customFormat="false" ht="15.75" hidden="false" customHeight="true" outlineLevel="0" collapsed="false">
      <c r="A17" s="1" t="n">
        <v>18</v>
      </c>
      <c r="B17" s="41" t="str">
        <f aca="false">Paysheet!A19</f>
        <v>AES-E043</v>
      </c>
      <c r="C17" s="71" t="str">
        <f aca="false">Paysheet!B19</f>
        <v>Zvikomborero</v>
      </c>
      <c r="D17" s="224" t="str">
        <f aca="false">Paysheet!C19</f>
        <v>Mpofu</v>
      </c>
      <c r="E17" s="57" t="str">
        <f aca="false">Paysheet!BU19</f>
        <v>FBC</v>
      </c>
      <c r="F17" s="41" t="str">
        <f aca="false">Paysheet!BV19</f>
        <v>Zvishavane</v>
      </c>
      <c r="G17" s="41" t="str">
        <f aca="false">Paysheet!BW19</f>
        <v>5901967559084</v>
      </c>
      <c r="H17" s="57" t="n">
        <f aca="false">Paysheet!BM19</f>
        <v>5178.63649144039</v>
      </c>
      <c r="I17" s="57" t="str">
        <f aca="false">Paysheet!BX19</f>
        <v>FBC</v>
      </c>
      <c r="J17" s="41" t="str">
        <f aca="false">Paysheet!BY19</f>
        <v>Zvishavane</v>
      </c>
      <c r="K17" s="41" t="str">
        <f aca="false">Paysheet!BZ19</f>
        <v>2223483079689</v>
      </c>
      <c r="L17" s="57" t="n">
        <f aca="false">Paysheet!BL19</f>
        <v>190.678555584019</v>
      </c>
    </row>
    <row r="18" customFormat="false" ht="15.75" hidden="false" customHeight="true" outlineLevel="0" collapsed="false">
      <c r="A18" s="1" t="n">
        <v>19</v>
      </c>
      <c r="B18" s="41" t="str">
        <f aca="false">Paysheet!A20</f>
        <v>AES-E044</v>
      </c>
      <c r="C18" s="71" t="str">
        <f aca="false">Paysheet!B20</f>
        <v>Anesu</v>
      </c>
      <c r="D18" s="224" t="str">
        <f aca="false">Paysheet!C20</f>
        <v>Chidzambwa</v>
      </c>
      <c r="E18" s="57" t="str">
        <f aca="false">Paysheet!BU20</f>
        <v>FBC</v>
      </c>
      <c r="F18" s="41" t="str">
        <f aca="false">Paysheet!BV20</f>
        <v>Zvishavane</v>
      </c>
      <c r="G18" s="41" t="str">
        <f aca="false">Paysheet!BW20</f>
        <v>6826278682407</v>
      </c>
      <c r="H18" s="57" t="n">
        <f aca="false">Paysheet!BM20</f>
        <v>8014.13353795207</v>
      </c>
      <c r="I18" s="57" t="str">
        <f aca="false">Paysheet!BX20</f>
        <v>FBC</v>
      </c>
      <c r="J18" s="41" t="str">
        <f aca="false">Paysheet!BY20</f>
        <v>Zvishavane</v>
      </c>
      <c r="K18" s="41" t="str">
        <f aca="false">Paysheet!BZ20</f>
        <v>1489365297273</v>
      </c>
      <c r="L18" s="57" t="n">
        <f aca="false">Paysheet!BL20</f>
        <v>297.979532054329</v>
      </c>
    </row>
    <row r="19" customFormat="false" ht="15.75" hidden="false" customHeight="true" outlineLevel="0" collapsed="false">
      <c r="A19" s="1" t="n">
        <v>20</v>
      </c>
      <c r="B19" s="41" t="str">
        <f aca="false">Paysheet!A21</f>
        <v>AES-E047</v>
      </c>
      <c r="C19" s="71" t="str">
        <f aca="false">Paysheet!B21</f>
        <v>Innocent</v>
      </c>
      <c r="D19" s="224" t="str">
        <f aca="false">Paysheet!C21</f>
        <v>Chihota</v>
      </c>
      <c r="E19" s="57" t="str">
        <f aca="false">Paysheet!BU21</f>
        <v>FBC</v>
      </c>
      <c r="F19" s="41" t="str">
        <f aca="false">Paysheet!BV21</f>
        <v>Zvishavane</v>
      </c>
      <c r="G19" s="41" t="str">
        <f aca="false">Paysheet!BW21</f>
        <v>1671155067525</v>
      </c>
      <c r="H19" s="57" t="n">
        <f aca="false">Paysheet!BM21</f>
        <v>12848.2319955399</v>
      </c>
      <c r="I19" s="57" t="str">
        <f aca="false">Paysheet!BX21</f>
        <v>FBC</v>
      </c>
      <c r="J19" s="41" t="str">
        <f aca="false">Paysheet!BY21</f>
        <v>Zvishavane</v>
      </c>
      <c r="K19" s="41" t="str">
        <f aca="false">Paysheet!BZ21</f>
        <v>7079245160972</v>
      </c>
      <c r="L19" s="57" t="n">
        <f aca="false">Paysheet!BL21</f>
        <v>413.259859630085</v>
      </c>
    </row>
    <row r="20" customFormat="false" ht="15.75" hidden="false" customHeight="true" outlineLevel="0" collapsed="false">
      <c r="A20" s="1" t="n">
        <v>21</v>
      </c>
      <c r="B20" s="41" t="str">
        <f aca="false">Paysheet!A22</f>
        <v>AES-E038</v>
      </c>
      <c r="C20" s="71" t="str">
        <f aca="false">Paysheet!B22</f>
        <v>Munyaradzi</v>
      </c>
      <c r="D20" s="224" t="str">
        <f aca="false">Paysheet!C22</f>
        <v>Zhou</v>
      </c>
      <c r="E20" s="57" t="str">
        <f aca="false">Paysheet!BU22</f>
        <v>FBC</v>
      </c>
      <c r="F20" s="41" t="str">
        <f aca="false">Paysheet!BV22</f>
        <v>Zvishavane</v>
      </c>
      <c r="G20" s="41" t="str">
        <f aca="false">Paysheet!BW22</f>
        <v>7773660120665</v>
      </c>
      <c r="H20" s="57" t="n">
        <f aca="false">Paysheet!BM22</f>
        <v>4574.75445678673</v>
      </c>
      <c r="I20" s="57" t="str">
        <f aca="false">Paysheet!BX22</f>
        <v>FBC</v>
      </c>
      <c r="J20" s="41" t="str">
        <f aca="false">Paysheet!BY22</f>
        <v>Zvishavane</v>
      </c>
      <c r="K20" s="41" t="str">
        <f aca="false">Paysheet!BZ22</f>
        <v>5480467271853</v>
      </c>
      <c r="L20" s="57" t="n">
        <f aca="false">Paysheet!BL22</f>
        <v>138.16762564353</v>
      </c>
    </row>
    <row r="21" customFormat="false" ht="15.75" hidden="false" customHeight="true" outlineLevel="0" collapsed="false">
      <c r="A21" s="1" t="n">
        <v>22</v>
      </c>
      <c r="B21" s="41" t="str">
        <f aca="false">Paysheet!A23</f>
        <v>AES-E040</v>
      </c>
      <c r="C21" s="71" t="str">
        <f aca="false">Paysheet!B23</f>
        <v>Takudzwa</v>
      </c>
      <c r="D21" s="224" t="str">
        <f aca="false">Paysheet!C23</f>
        <v>Nyandoro</v>
      </c>
      <c r="E21" s="57" t="str">
        <f aca="false">Paysheet!BU23</f>
        <v>FBC</v>
      </c>
      <c r="F21" s="41" t="str">
        <f aca="false">Paysheet!BV23</f>
        <v>Zvishavane</v>
      </c>
      <c r="G21" s="41" t="str">
        <f aca="false">Paysheet!BW23</f>
        <v>7404642497786</v>
      </c>
      <c r="H21" s="57" t="n">
        <f aca="false">Paysheet!BM23</f>
        <v>5152.51915678673</v>
      </c>
      <c r="I21" s="57" t="str">
        <f aca="false">Paysheet!BX23</f>
        <v>FBC</v>
      </c>
      <c r="J21" s="41" t="str">
        <f aca="false">Paysheet!BY23</f>
        <v>Zvishavane</v>
      </c>
      <c r="K21" s="41" t="str">
        <f aca="false">Paysheet!BZ23</f>
        <v>2230213054883</v>
      </c>
      <c r="L21" s="57" t="n">
        <f aca="false">Paysheet!BL23</f>
        <v>150.66762564353</v>
      </c>
    </row>
    <row r="22" customFormat="false" ht="15.75" hidden="false" customHeight="true" outlineLevel="0" collapsed="false">
      <c r="A22" s="1" t="n">
        <v>23</v>
      </c>
      <c r="B22" s="41" t="str">
        <f aca="false">Paysheet!A24</f>
        <v>AES-E039</v>
      </c>
      <c r="C22" s="71" t="str">
        <f aca="false">Paysheet!B24</f>
        <v>Chiedza</v>
      </c>
      <c r="D22" s="224" t="str">
        <f aca="false">Paysheet!C24</f>
        <v>Mucheki</v>
      </c>
      <c r="E22" s="57" t="str">
        <f aca="false">Paysheet!BU24</f>
        <v>FBC</v>
      </c>
      <c r="F22" s="41" t="str">
        <f aca="false">Paysheet!BV24</f>
        <v>Zvishavane</v>
      </c>
      <c r="G22" s="41" t="str">
        <f aca="false">Paysheet!BW24</f>
        <v>9921936948112</v>
      </c>
      <c r="H22" s="57" t="n">
        <f aca="false">Paysheet!BM24</f>
        <v>4678.17540920193</v>
      </c>
      <c r="I22" s="57" t="str">
        <f aca="false">Paysheet!BX24</f>
        <v>FBC</v>
      </c>
      <c r="J22" s="41" t="str">
        <f aca="false">Paysheet!BY24</f>
        <v>Zvishavane</v>
      </c>
      <c r="K22" s="41" t="str">
        <f aca="false">Paysheet!BZ24</f>
        <v>6739830341653</v>
      </c>
      <c r="L22" s="57" t="n">
        <f aca="false">Paysheet!BL24</f>
        <v>148.164829046356</v>
      </c>
    </row>
    <row r="23" customFormat="false" ht="15.75" hidden="false" customHeight="true" outlineLevel="0" collapsed="false">
      <c r="A23" s="1" t="n">
        <v>24</v>
      </c>
      <c r="B23" s="41" t="str">
        <f aca="false">Paysheet!A25</f>
        <v>AES-E010</v>
      </c>
      <c r="C23" s="71" t="str">
        <f aca="false">Paysheet!B25</f>
        <v>Farai</v>
      </c>
      <c r="D23" s="224" t="str">
        <f aca="false">Paysheet!C25</f>
        <v>Dhliwayo</v>
      </c>
      <c r="E23" s="57" t="str">
        <f aca="false">Paysheet!BU25</f>
        <v>FBC</v>
      </c>
      <c r="F23" s="41" t="str">
        <f aca="false">Paysheet!BV25</f>
        <v>Zvishavane</v>
      </c>
      <c r="G23" s="41" t="str">
        <f aca="false">Paysheet!BW25</f>
        <v>4372096024310</v>
      </c>
      <c r="H23" s="57" t="n">
        <f aca="false">Paysheet!BM25</f>
        <v>5083.11558742809</v>
      </c>
      <c r="I23" s="57" t="str">
        <f aca="false">Paysheet!BX25</f>
        <v>FBC</v>
      </c>
      <c r="J23" s="41" t="str">
        <f aca="false">Paysheet!BY25</f>
        <v>Zvishavane</v>
      </c>
      <c r="K23" s="41" t="str">
        <f aca="false">Paysheet!BZ25</f>
        <v>7669828074599</v>
      </c>
      <c r="L23" s="57" t="n">
        <f aca="false">Paysheet!BL25</f>
        <v>160.177535908134</v>
      </c>
    </row>
    <row r="24" customFormat="false" ht="15.75" hidden="false" customHeight="true" outlineLevel="0" collapsed="false">
      <c r="A24" s="1" t="n">
        <v>25</v>
      </c>
      <c r="B24" s="41" t="str">
        <f aca="false">Paysheet!A26</f>
        <v>AES-E011</v>
      </c>
      <c r="C24" s="71" t="str">
        <f aca="false">Paysheet!B26</f>
        <v>Kundai</v>
      </c>
      <c r="D24" s="224" t="str">
        <f aca="false">Paysheet!C26</f>
        <v>Chataika</v>
      </c>
      <c r="E24" s="57" t="str">
        <f aca="false">Paysheet!BU26</f>
        <v>FBC</v>
      </c>
      <c r="F24" s="41" t="str">
        <f aca="false">Paysheet!BV26</f>
        <v>Zvishavane</v>
      </c>
      <c r="G24" s="41" t="str">
        <f aca="false">Paysheet!BW26</f>
        <v>1007875789648</v>
      </c>
      <c r="H24" s="57" t="n">
        <f aca="false">Paysheet!BM26</f>
        <v>6960.68228616716</v>
      </c>
      <c r="I24" s="57" t="str">
        <f aca="false">Paysheet!BX26</f>
        <v>FBC</v>
      </c>
      <c r="J24" s="41" t="str">
        <f aca="false">Paysheet!BY26</f>
        <v>Zvishavane</v>
      </c>
      <c r="K24" s="41" t="str">
        <f aca="false">Paysheet!BZ26</f>
        <v>6047891705783</v>
      </c>
      <c r="L24" s="57" t="n">
        <f aca="false">Paysheet!BL26</f>
        <v>231.780078074709</v>
      </c>
    </row>
    <row r="25" customFormat="false" ht="15.75" hidden="false" customHeight="true" outlineLevel="0" collapsed="false">
      <c r="A25" s="1" t="n">
        <v>26</v>
      </c>
      <c r="B25" s="41" t="str">
        <f aca="false">Paysheet!A27</f>
        <v>AES-E014</v>
      </c>
      <c r="C25" s="71" t="str">
        <f aca="false">Paysheet!B27</f>
        <v>Mufaro</v>
      </c>
      <c r="D25" s="224" t="str">
        <f aca="false">Paysheet!C27</f>
        <v>Nemukuyu</v>
      </c>
      <c r="E25" s="57" t="str">
        <f aca="false">Paysheet!BU27</f>
        <v>FBC</v>
      </c>
      <c r="F25" s="41" t="str">
        <f aca="false">Paysheet!BV27</f>
        <v>Zvishavane</v>
      </c>
      <c r="G25" s="41" t="str">
        <f aca="false">Paysheet!BW27</f>
        <v>6667873802666</v>
      </c>
      <c r="H25" s="57" t="n">
        <f aca="false">Paysheet!BM27</f>
        <v>5544.20742658581</v>
      </c>
      <c r="I25" s="57" t="str">
        <f aca="false">Paysheet!BX27</f>
        <v>FBC</v>
      </c>
      <c r="J25" s="41" t="str">
        <f aca="false">Paysheet!BY27</f>
        <v>Zvishavane</v>
      </c>
      <c r="K25" s="41" t="str">
        <f aca="false">Paysheet!BZ27</f>
        <v>8771592947529</v>
      </c>
      <c r="L25" s="57" t="n">
        <f aca="false">Paysheet!BL27</f>
        <v>149.557660655534</v>
      </c>
    </row>
    <row r="26" customFormat="false" ht="15.75" hidden="false" customHeight="true" outlineLevel="0" collapsed="false">
      <c r="A26" s="1" t="n">
        <v>27</v>
      </c>
      <c r="B26" s="41" t="str">
        <f aca="false">Paysheet!A28</f>
        <v>AES-E019</v>
      </c>
      <c r="C26" s="71" t="str">
        <f aca="false">Paysheet!B28</f>
        <v>Rufaro</v>
      </c>
      <c r="D26" s="224" t="str">
        <f aca="false">Paysheet!C28</f>
        <v>Mashingaidze</v>
      </c>
      <c r="E26" s="57" t="str">
        <f aca="false">Paysheet!BU28</f>
        <v>FBC</v>
      </c>
      <c r="F26" s="41" t="str">
        <f aca="false">Paysheet!BV28</f>
        <v>Zvishavane</v>
      </c>
      <c r="G26" s="41" t="str">
        <f aca="false">Paysheet!BW28</f>
        <v>5991116192008</v>
      </c>
      <c r="H26" s="57" t="n">
        <f aca="false">Paysheet!BM28</f>
        <v>6322.93726206315</v>
      </c>
      <c r="I26" s="57" t="str">
        <f aca="false">Paysheet!BX28</f>
        <v>FBC</v>
      </c>
      <c r="J26" s="41" t="str">
        <f aca="false">Paysheet!BY28</f>
        <v>Zvishavane</v>
      </c>
      <c r="K26" s="41" t="str">
        <f aca="false">Paysheet!BZ28</f>
        <v>2642117129691</v>
      </c>
      <c r="L26" s="57" t="n">
        <f aca="false">Paysheet!BL28</f>
        <v>207.556043802652</v>
      </c>
    </row>
    <row r="27" customFormat="false" ht="15.75" hidden="false" customHeight="true" outlineLevel="0" collapsed="false">
      <c r="A27" s="1" t="n">
        <v>28</v>
      </c>
      <c r="B27" s="41" t="str">
        <f aca="false">Paysheet!A29</f>
        <v>AES-E017</v>
      </c>
      <c r="C27" s="71" t="str">
        <f aca="false">Paysheet!B29</f>
        <v>Ropafadzo</v>
      </c>
      <c r="D27" s="224" t="str">
        <f aca="false">Paysheet!C29</f>
        <v>Mangwende</v>
      </c>
      <c r="E27" s="57" t="str">
        <f aca="false">Paysheet!BU29</f>
        <v>FBC</v>
      </c>
      <c r="F27" s="41" t="str">
        <f aca="false">Paysheet!BV29</f>
        <v>Zvishavane</v>
      </c>
      <c r="G27" s="41" t="str">
        <f aca="false">Paysheet!BW29</f>
        <v>4503862507510</v>
      </c>
      <c r="H27" s="57" t="n">
        <f aca="false">Paysheet!BM29</f>
        <v>5074.9143274589</v>
      </c>
      <c r="I27" s="57" t="str">
        <f aca="false">Paysheet!BX29</f>
        <v>FBC</v>
      </c>
      <c r="J27" s="41" t="str">
        <f aca="false">Paysheet!BY29</f>
        <v>Zvishavane</v>
      </c>
      <c r="K27" s="41" t="str">
        <f aca="false">Paysheet!BZ29</f>
        <v>1430129610059</v>
      </c>
      <c r="L27" s="57" t="n">
        <f aca="false">Paysheet!BL29</f>
        <v>135.482477767211</v>
      </c>
    </row>
    <row r="28" customFormat="false" ht="15.75" hidden="false" customHeight="true" outlineLevel="0" collapsed="false">
      <c r="A28" s="1" t="n">
        <v>29</v>
      </c>
      <c r="B28" s="41" t="str">
        <f aca="false">Paysheet!A30</f>
        <v>AES-E042</v>
      </c>
      <c r="C28" s="71" t="str">
        <f aca="false">Paysheet!B30</f>
        <v>Vimbai</v>
      </c>
      <c r="D28" s="224" t="str">
        <f aca="false">Paysheet!C30</f>
        <v>Mpofu</v>
      </c>
      <c r="E28" s="57" t="str">
        <f aca="false">Paysheet!BU30</f>
        <v>NEDBANK</v>
      </c>
      <c r="F28" s="41" t="str">
        <f aca="false">Paysheet!BV30</f>
        <v>Zvishavane</v>
      </c>
      <c r="G28" s="41" t="n">
        <f aca="false">Paysheet!BW30</f>
        <v>67790572388</v>
      </c>
      <c r="H28" s="57" t="n">
        <f aca="false">Paysheet!BM30</f>
        <v>5766.43946053413</v>
      </c>
      <c r="I28" s="57" t="str">
        <f aca="false">Paysheet!BX30</f>
        <v>FBC</v>
      </c>
      <c r="J28" s="41" t="str">
        <f aca="false">Paysheet!BY30</f>
        <v>Zvishavane</v>
      </c>
      <c r="K28" s="41" t="n">
        <f aca="false">Paysheet!BZ30</f>
        <v>0</v>
      </c>
      <c r="L28" s="57" t="n">
        <v>0</v>
      </c>
    </row>
    <row r="29" customFormat="false" ht="15.75" hidden="false" customHeight="true" outlineLevel="0" collapsed="false">
      <c r="A29" s="1" t="n">
        <v>30</v>
      </c>
      <c r="B29" s="41" t="e">
        <f aca="false">paysheet!#ref!</f>
        <v>#NAME?</v>
      </c>
      <c r="C29" s="71" t="e">
        <f aca="false">paysheet!#ref!</f>
        <v>#NAME?</v>
      </c>
      <c r="D29" s="224" t="e">
        <f aca="false">paysheet!#ref!</f>
        <v>#NAME?</v>
      </c>
      <c r="E29" s="57" t="e">
        <f aca="false">paysheet!#ref!</f>
        <v>#NAME?</v>
      </c>
      <c r="F29" s="41" t="e">
        <f aca="false">paysheet!#ref!</f>
        <v>#NAME?</v>
      </c>
      <c r="G29" s="41" t="e">
        <f aca="false">paysheet!#ref!</f>
        <v>#NAME?</v>
      </c>
      <c r="H29" s="57" t="e">
        <f aca="false">paysheet!#ref!</f>
        <v>#NAME?</v>
      </c>
      <c r="I29" s="57" t="e">
        <f aca="false">paysheet!#ref!</f>
        <v>#NAME?</v>
      </c>
      <c r="J29" s="41" t="e">
        <f aca="false">paysheet!#ref!</f>
        <v>#NAME?</v>
      </c>
      <c r="K29" s="41" t="e">
        <f aca="false">paysheet!#ref!</f>
        <v>#NAME?</v>
      </c>
      <c r="L29" s="57" t="e">
        <f aca="false">paysheet!#ref!</f>
        <v>#NAME?</v>
      </c>
    </row>
    <row r="30" customFormat="false" ht="15.75" hidden="false" customHeight="true" outlineLevel="0" collapsed="false">
      <c r="A30" s="1" t="n">
        <v>31</v>
      </c>
      <c r="B30" s="41" t="str">
        <f aca="false">Paysheet!A31</f>
        <v>AES-E012</v>
      </c>
      <c r="C30" s="71" t="str">
        <f aca="false">Paysheet!B31</f>
        <v>Batsirai</v>
      </c>
      <c r="D30" s="224" t="str">
        <f aca="false">Paysheet!C31</f>
        <v>Gwenzi</v>
      </c>
      <c r="E30" s="57" t="str">
        <f aca="false">Paysheet!BU31</f>
        <v>FBC</v>
      </c>
      <c r="F30" s="41" t="str">
        <f aca="false">Paysheet!BV31</f>
        <v>Zvishavane</v>
      </c>
      <c r="G30" s="41" t="str">
        <f aca="false">Paysheet!BW31</f>
        <v>8028689830037</v>
      </c>
      <c r="H30" s="57" t="n">
        <f aca="false">Paysheet!BM31</f>
        <v>6890.04246103125</v>
      </c>
      <c r="I30" s="57" t="str">
        <f aca="false">Paysheet!BX31</f>
        <v>FBC</v>
      </c>
      <c r="J30" s="41" t="str">
        <f aca="false">Paysheet!BY31</f>
        <v>Zvishavane</v>
      </c>
      <c r="K30" s="41" t="str">
        <f aca="false">Paysheet!BZ31</f>
        <v>3595208151988</v>
      </c>
      <c r="L30" s="57" t="n">
        <f aca="false">Paysheet!BL31</f>
        <v>211.047896553003</v>
      </c>
    </row>
    <row r="31" customFormat="false" ht="15.75" hidden="false" customHeight="true" outlineLevel="0" collapsed="false">
      <c r="A31" s="1" t="n">
        <v>32</v>
      </c>
      <c r="B31" s="41" t="str">
        <f aca="false">Paysheet!A32</f>
        <v>AES-E020</v>
      </c>
      <c r="C31" s="71" t="str">
        <f aca="false">Paysheet!B32</f>
        <v>Tonderayi</v>
      </c>
      <c r="D31" s="224" t="str">
        <f aca="false">Paysheet!C32</f>
        <v>Nyamande</v>
      </c>
      <c r="E31" s="57" t="str">
        <f aca="false">Paysheet!BU32</f>
        <v>FBC</v>
      </c>
      <c r="F31" s="41" t="str">
        <f aca="false">Paysheet!BV32</f>
        <v>Zvishavane</v>
      </c>
      <c r="G31" s="41" t="str">
        <f aca="false">Paysheet!BW32</f>
        <v>4093316368647</v>
      </c>
      <c r="H31" s="57" t="n">
        <f aca="false">Paysheet!BM32</f>
        <v>5152.51915678673</v>
      </c>
      <c r="I31" s="57" t="str">
        <f aca="false">Paysheet!BX32</f>
        <v>FBC</v>
      </c>
      <c r="J31" s="41" t="str">
        <f aca="false">Paysheet!BY32</f>
        <v>Zvishavane</v>
      </c>
      <c r="K31" s="41" t="str">
        <f aca="false">Paysheet!BZ32</f>
        <v>1882463522262</v>
      </c>
      <c r="L31" s="57" t="n">
        <f aca="false">Paysheet!BL32</f>
        <v>150.66762564353</v>
      </c>
    </row>
    <row r="32" customFormat="false" ht="15.75" hidden="false" customHeight="true" outlineLevel="0" collapsed="false">
      <c r="A32" s="1" t="n">
        <v>33</v>
      </c>
      <c r="B32" s="41" t="str">
        <f aca="false">Paysheet!A33</f>
        <v>AES-E021</v>
      </c>
      <c r="C32" s="71" t="str">
        <f aca="false">Paysheet!B33</f>
        <v>Kudzai </v>
      </c>
      <c r="D32" s="224" t="str">
        <f aca="false">Paysheet!C33</f>
        <v>Ziyambi</v>
      </c>
      <c r="E32" s="57" t="str">
        <f aca="false">Paysheet!BU33</f>
        <v>FBC</v>
      </c>
      <c r="F32" s="41" t="str">
        <f aca="false">Paysheet!BV33</f>
        <v>Zvishavane</v>
      </c>
      <c r="G32" s="41" t="str">
        <f aca="false">Paysheet!BW33</f>
        <v>9881528598830</v>
      </c>
      <c r="H32" s="57" t="n">
        <f aca="false">Paysheet!BM33</f>
        <v>6416.43250684147</v>
      </c>
      <c r="I32" s="57" t="str">
        <f aca="false">Paysheet!BX33</f>
        <v>FBC</v>
      </c>
      <c r="J32" s="41" t="str">
        <f aca="false">Paysheet!BY33</f>
        <v>Zvishavane</v>
      </c>
      <c r="K32" s="41" t="str">
        <f aca="false">Paysheet!BZ33</f>
        <v>9353116515888</v>
      </c>
      <c r="L32" s="57" t="n">
        <f aca="false">Paysheet!BL33</f>
        <v>186.568217974379</v>
      </c>
    </row>
    <row r="33" customFormat="false" ht="15.75" hidden="false" customHeight="true" outlineLevel="0" collapsed="false">
      <c r="A33" s="1" t="n">
        <v>34</v>
      </c>
      <c r="B33" s="41" t="str">
        <f aca="false">Paysheet!A34</f>
        <v>AES-E027</v>
      </c>
      <c r="C33" s="71" t="str">
        <f aca="false">Paysheet!B34</f>
        <v>Munashe </v>
      </c>
      <c r="D33" s="224" t="str">
        <f aca="false">Paysheet!C34</f>
        <v>Makoni</v>
      </c>
      <c r="E33" s="57" t="str">
        <f aca="false">Paysheet!BU34</f>
        <v>FBC</v>
      </c>
      <c r="F33" s="41" t="str">
        <f aca="false">Paysheet!BV34</f>
        <v>VIRTUAL</v>
      </c>
      <c r="G33" s="41" t="str">
        <f aca="false">Paysheet!BW34</f>
        <v>9523454080915</v>
      </c>
      <c r="H33" s="57" t="n">
        <f aca="false">Paysheet!BM34</f>
        <v>5146.18998851217</v>
      </c>
      <c r="I33" s="57" t="s">
        <v>99</v>
      </c>
      <c r="J33" s="41" t="s">
        <v>118</v>
      </c>
      <c r="K33" s="41" t="str">
        <f aca="false">Paysheet!BZ34</f>
        <v>5207464846825</v>
      </c>
      <c r="L33" s="57" t="n">
        <f aca="false">Paysheet!BL34</f>
        <v>137.923576655534</v>
      </c>
    </row>
    <row r="34" customFormat="false" ht="15.75" hidden="false" customHeight="true" outlineLevel="0" collapsed="false">
      <c r="A34" s="1" t="n">
        <v>40</v>
      </c>
      <c r="B34" s="41" t="str">
        <f aca="false">Paysheet!A35</f>
        <v>AES-E029</v>
      </c>
      <c r="C34" s="71" t="str">
        <f aca="false">Paysheet!B35</f>
        <v>Kudzai </v>
      </c>
      <c r="D34" s="224" t="str">
        <f aca="false">Paysheet!C35</f>
        <v>Mutsvairo</v>
      </c>
      <c r="E34" s="57" t="str">
        <f aca="false">Paysheet!BU35</f>
        <v>FBC</v>
      </c>
      <c r="F34" s="41" t="str">
        <f aca="false">Paysheet!BV35</f>
        <v>VIRTUAL</v>
      </c>
      <c r="G34" s="41" t="str">
        <f aca="false">Paysheet!BW35</f>
        <v>5777010775412</v>
      </c>
      <c r="H34" s="57" t="n">
        <f aca="false">Paysheet!BM35</f>
        <v>5139.86111165538</v>
      </c>
      <c r="I34" s="57" t="s">
        <v>99</v>
      </c>
      <c r="J34" s="41" t="str">
        <f aca="false">Paysheet!BY35</f>
        <v>Zvishavane</v>
      </c>
      <c r="K34" s="41" t="str">
        <f aca="false">Paysheet!BZ35</f>
        <v>6623554644664</v>
      </c>
      <c r="L34" s="57" t="n">
        <f aca="false">Paysheet!BL35</f>
        <v>137.679516751012</v>
      </c>
    </row>
    <row r="35" customFormat="false" ht="15.75" hidden="false" customHeight="true" outlineLevel="0" collapsed="false">
      <c r="A35" s="1" t="n">
        <v>41</v>
      </c>
      <c r="B35" s="41" t="str">
        <f aca="false">Paysheet!A36</f>
        <v>AES-E028</v>
      </c>
      <c r="C35" s="71" t="str">
        <f aca="false">Paysheet!B36</f>
        <v>Tsitsi</v>
      </c>
      <c r="D35" s="224" t="str">
        <f aca="false">Paysheet!C36</f>
        <v>Chibanda</v>
      </c>
      <c r="E35" s="57" t="str">
        <f aca="false">Paysheet!BU36</f>
        <v>FBC</v>
      </c>
      <c r="F35" s="41" t="str">
        <f aca="false">Paysheet!BV36</f>
        <v>VIRTUAL</v>
      </c>
      <c r="G35" s="41" t="str">
        <f aca="false">Paysheet!BW36</f>
        <v>7735501980632</v>
      </c>
      <c r="H35" s="57" t="n">
        <f aca="false">Paysheet!BM36</f>
        <v>4905.91084256109</v>
      </c>
      <c r="I35" s="57" t="s">
        <v>99</v>
      </c>
      <c r="J35" s="41" t="str">
        <f aca="false">Paysheet!BY36</f>
        <v>VIRTUAL</v>
      </c>
      <c r="K35" s="41" t="str">
        <f aca="false">Paysheet!BZ36</f>
        <v>3687335051761</v>
      </c>
      <c r="L35" s="57" t="n">
        <f aca="false">Paysheet!BL36</f>
        <v>128.641127450215</v>
      </c>
    </row>
    <row r="36" customFormat="false" ht="15.75" hidden="false" customHeight="true" outlineLevel="0" collapsed="false">
      <c r="A36" s="1" t="n">
        <v>42</v>
      </c>
      <c r="B36" s="41" t="str">
        <f aca="false">Paysheet!A37</f>
        <v>AES-E030</v>
      </c>
      <c r="C36" s="71" t="str">
        <f aca="false">Paysheet!B37</f>
        <v>Tichaona</v>
      </c>
      <c r="D36" s="224" t="str">
        <f aca="false">Paysheet!C37</f>
        <v>Bere</v>
      </c>
      <c r="E36" s="57" t="str">
        <f aca="false">Paysheet!BU37</f>
        <v>FBC</v>
      </c>
      <c r="F36" s="41" t="str">
        <f aca="false">Paysheet!BV37</f>
        <v>VIRTUAL</v>
      </c>
      <c r="G36" s="41" t="str">
        <f aca="false">Paysheet!BW37</f>
        <v>4765425398414</v>
      </c>
      <c r="H36" s="57" t="n">
        <f aca="false">Paysheet!BM37</f>
        <v>6422.80067998815</v>
      </c>
      <c r="I36" s="57" t="s">
        <v>99</v>
      </c>
      <c r="J36" s="41" t="str">
        <f aca="false">Paysheet!BY37</f>
        <v>VIRTUAL</v>
      </c>
      <c r="K36" s="41" t="str">
        <f aca="false">Paysheet!BZ37</f>
        <v>8297425296721</v>
      </c>
      <c r="L36" s="57" t="n">
        <f aca="false">Paysheet!BL37</f>
        <v>186.810805837594</v>
      </c>
    </row>
    <row r="37" customFormat="false" ht="15.75" hidden="false" customHeight="true" outlineLevel="0" collapsed="false">
      <c r="A37" s="1" t="n">
        <v>43</v>
      </c>
      <c r="B37" s="41" t="str">
        <f aca="false">Paysheet!A38</f>
        <v>AES-E031</v>
      </c>
      <c r="C37" s="71" t="str">
        <f aca="false">Paysheet!B38</f>
        <v>Nyarai</v>
      </c>
      <c r="D37" s="224" t="str">
        <f aca="false">Paysheet!C38</f>
        <v>Chikomo</v>
      </c>
      <c r="E37" s="57" t="str">
        <f aca="false">Paysheet!BU38</f>
        <v>FBC</v>
      </c>
      <c r="F37" s="41" t="str">
        <f aca="false">Paysheet!BV38</f>
        <v>VIRTUAL</v>
      </c>
      <c r="G37" s="41" t="str">
        <f aca="false">Paysheet!BW38</f>
        <v>6821431312058</v>
      </c>
      <c r="H37" s="57" t="n">
        <f aca="false">Paysheet!BM38</f>
        <v>5152.51915678673</v>
      </c>
      <c r="I37" s="57" t="s">
        <v>99</v>
      </c>
      <c r="J37" s="41" t="str">
        <f aca="false">Paysheet!BY38</f>
        <v>VIRTUAL</v>
      </c>
      <c r="K37" s="41" t="str">
        <f aca="false">Paysheet!BZ38</f>
        <v>9197128097883</v>
      </c>
      <c r="L37" s="57" t="n">
        <f aca="false">Paysheet!BL38</f>
        <v>138.16762564353</v>
      </c>
    </row>
    <row r="38" customFormat="false" ht="15.75" hidden="false" customHeight="true" outlineLevel="0" collapsed="false">
      <c r="A38" s="1" t="n">
        <v>44</v>
      </c>
      <c r="B38" s="41" t="str">
        <f aca="false">Paysheet!A39</f>
        <v>AES-E023</v>
      </c>
      <c r="C38" s="71" t="str">
        <f aca="false">Paysheet!B39</f>
        <v>Tawanda</v>
      </c>
      <c r="D38" s="224" t="str">
        <f aca="false">Paysheet!C39</f>
        <v>Svosve</v>
      </c>
      <c r="E38" s="57" t="str">
        <f aca="false">Paysheet!BU39</f>
        <v>FBC</v>
      </c>
      <c r="F38" s="41" t="str">
        <f aca="false">Paysheet!BV39</f>
        <v>Zvishavane</v>
      </c>
      <c r="G38" s="41" t="str">
        <f aca="false">Paysheet!BW39</f>
        <v>2097002397231</v>
      </c>
      <c r="H38" s="57" t="n">
        <f aca="false">Paysheet!BM39</f>
        <v>5222.15885693374</v>
      </c>
      <c r="I38" s="57" t="s">
        <v>99</v>
      </c>
      <c r="J38" s="41" t="str">
        <f aca="false">Paysheet!BY39</f>
        <v>Zvishavane</v>
      </c>
      <c r="K38" s="41" t="str">
        <f aca="false">Paysheet!BZ39</f>
        <v>7852277339807</v>
      </c>
      <c r="L38" s="57" t="n">
        <f aca="false">Paysheet!BL39</f>
        <v>153.351458422092</v>
      </c>
    </row>
    <row r="39" customFormat="false" ht="15.75" hidden="false" customHeight="true" outlineLevel="0" collapsed="false">
      <c r="A39" s="1" t="n">
        <v>45</v>
      </c>
      <c r="B39" s="41" t="str">
        <f aca="false">Paysheet!A40</f>
        <v>AES-E024</v>
      </c>
      <c r="C39" s="71" t="str">
        <f aca="false">Paysheet!B40</f>
        <v>Gamuchirai</v>
      </c>
      <c r="D39" s="224" t="str">
        <f aca="false">Paysheet!C40</f>
        <v>Mukanya</v>
      </c>
      <c r="E39" s="57" t="str">
        <f aca="false">Paysheet!BU40</f>
        <v>FBC</v>
      </c>
      <c r="F39" s="41" t="str">
        <f aca="false">Paysheet!BV40</f>
        <v>VIRTUAL</v>
      </c>
      <c r="G39" s="41" t="str">
        <f aca="false">Paysheet!BW40</f>
        <v>1346584632174</v>
      </c>
      <c r="H39" s="57" t="n">
        <f aca="false">Paysheet!BM40</f>
        <v>5222.15885693374</v>
      </c>
      <c r="I39" s="57" t="s">
        <v>99</v>
      </c>
      <c r="J39" s="41" t="str">
        <f aca="false">Paysheet!BY40</f>
        <v>VIRTUAL</v>
      </c>
      <c r="K39" s="41" t="str">
        <f aca="false">Paysheet!BZ40</f>
        <v>9389704853172</v>
      </c>
      <c r="L39" s="57" t="n">
        <f aca="false">Paysheet!BL40</f>
        <v>153.351458422092</v>
      </c>
    </row>
    <row r="40" customFormat="false" ht="15.75" hidden="false" customHeight="true" outlineLevel="0" collapsed="false">
      <c r="B40" s="41" t="str">
        <f aca="false">Paysheet!A41</f>
        <v>AES-E025</v>
      </c>
      <c r="C40" s="71" t="str">
        <f aca="false">Paysheet!B41</f>
        <v>Rutendo</v>
      </c>
      <c r="D40" s="224" t="str">
        <f aca="false">Paysheet!C41</f>
        <v>Mhike</v>
      </c>
      <c r="E40" s="57" t="str">
        <f aca="false">Paysheet!BU41</f>
        <v>FBC</v>
      </c>
      <c r="F40" s="41" t="str">
        <f aca="false">Paysheet!BV41</f>
        <v>Zvishavane</v>
      </c>
      <c r="G40" s="41" t="str">
        <f aca="false">Paysheet!BW41</f>
        <v>6254255795580</v>
      </c>
      <c r="H40" s="57" t="n">
        <f aca="false">Paysheet!BM41</f>
        <v>5053.98316433726</v>
      </c>
      <c r="I40" s="57" t="s">
        <v>99</v>
      </c>
      <c r="J40" s="41" t="str">
        <f aca="false">Paysheet!BY41</f>
        <v>Zvishavane</v>
      </c>
      <c r="K40" s="41" t="str">
        <f aca="false">Paysheet!BZ41</f>
        <v>7862298922749</v>
      </c>
      <c r="L40" s="57" t="n">
        <f aca="false">Paysheet!BL41</f>
        <v>136.022561456756</v>
      </c>
    </row>
    <row r="41" customFormat="false" ht="15.75" hidden="false" customHeight="true" outlineLevel="0" collapsed="false">
      <c r="B41" s="41" t="str">
        <f aca="false">Paysheet!A42</f>
        <v>AES-E026</v>
      </c>
      <c r="C41" s="71" t="str">
        <f aca="false">Paysheet!B42</f>
        <v>Brighton </v>
      </c>
      <c r="D41" s="224" t="str">
        <f aca="false">Paysheet!C42</f>
        <v>Chinamasa2Z</v>
      </c>
      <c r="E41" s="57" t="str">
        <f aca="false">Paysheet!BU42</f>
        <v>FBC</v>
      </c>
      <c r="F41" s="41" t="str">
        <f aca="false">Paysheet!BV42</f>
        <v>Zvishavane</v>
      </c>
      <c r="G41" s="41" t="str">
        <f aca="false">Paysheet!BW42</f>
        <v>9586586831180</v>
      </c>
      <c r="H41" s="57" t="n">
        <f aca="false">Paysheet!BM42</f>
        <v>3337.8246787964</v>
      </c>
      <c r="I41" s="57" t="s">
        <v>99</v>
      </c>
      <c r="J41" s="41" t="str">
        <f aca="false">Paysheet!BY42</f>
        <v>Zvishavane</v>
      </c>
      <c r="K41" s="41" t="str">
        <f aca="false">Paysheet!BZ42</f>
        <v>5798420878399</v>
      </c>
      <c r="L41" s="57" t="n">
        <f aca="false">Paysheet!BL42</f>
        <v>99.2859196277308</v>
      </c>
    </row>
    <row r="42" customFormat="false" ht="15.75" hidden="false" customHeight="true" outlineLevel="0" collapsed="false">
      <c r="B42" s="41"/>
      <c r="C42" s="226" t="s">
        <v>419</v>
      </c>
      <c r="D42" s="227" t="s">
        <v>420</v>
      </c>
      <c r="E42" s="57"/>
      <c r="F42" s="41"/>
      <c r="G42" s="41"/>
      <c r="H42" s="57"/>
      <c r="I42" s="57" t="s">
        <v>99</v>
      </c>
      <c r="J42" s="41" t="s">
        <v>100</v>
      </c>
      <c r="K42" s="41" t="s">
        <v>421</v>
      </c>
      <c r="L42" s="57" t="n">
        <f aca="false">Paysheet!BL30</f>
        <v>50.5964957270523</v>
      </c>
    </row>
    <row r="43" customFormat="false" ht="15.75" hidden="false" customHeight="true" outlineLevel="0" collapsed="false">
      <c r="B43" s="41"/>
      <c r="C43" s="226" t="s">
        <v>422</v>
      </c>
      <c r="D43" s="227" t="s">
        <v>423</v>
      </c>
      <c r="E43" s="57"/>
      <c r="F43" s="41"/>
      <c r="G43" s="41"/>
      <c r="H43" s="57"/>
      <c r="I43" s="57" t="s">
        <v>424</v>
      </c>
      <c r="J43" s="41" t="s">
        <v>100</v>
      </c>
      <c r="K43" s="41" t="s">
        <v>425</v>
      </c>
      <c r="L43" s="57" t="n">
        <v>120</v>
      </c>
    </row>
    <row r="44" customFormat="false" ht="15.75" hidden="false" customHeight="true" outlineLevel="0" collapsed="false">
      <c r="B44" s="41"/>
      <c r="C44" s="71" t="s">
        <v>426</v>
      </c>
      <c r="D44" s="224" t="s">
        <v>427</v>
      </c>
      <c r="E44" s="57" t="s">
        <v>428</v>
      </c>
      <c r="F44" s="41" t="s">
        <v>100</v>
      </c>
      <c r="G44" s="41" t="s">
        <v>429</v>
      </c>
      <c r="H44" s="57" t="n">
        <f aca="false">Paysheet!BC18</f>
        <v>533.902</v>
      </c>
      <c r="I44" s="57"/>
      <c r="J44" s="41"/>
      <c r="K44" s="41"/>
      <c r="L44" s="57"/>
      <c r="M44" s="228" t="s">
        <v>209</v>
      </c>
    </row>
    <row r="45" customFormat="false" ht="15.75" hidden="false" customHeight="true" outlineLevel="0" collapsed="false">
      <c r="B45" s="41"/>
      <c r="C45" s="71" t="s">
        <v>430</v>
      </c>
      <c r="D45" s="224" t="s">
        <v>431</v>
      </c>
      <c r="E45" s="57" t="s">
        <v>428</v>
      </c>
      <c r="F45" s="41" t="s">
        <v>100</v>
      </c>
      <c r="G45" s="41" t="s">
        <v>432</v>
      </c>
      <c r="H45" s="57" t="n">
        <f aca="false">Paysheet!BC30</f>
        <v>0</v>
      </c>
      <c r="I45" s="57" t="s">
        <v>428</v>
      </c>
      <c r="J45" s="41" t="s">
        <v>100</v>
      </c>
      <c r="K45" s="41" t="s">
        <v>433</v>
      </c>
      <c r="L45" s="57" t="n">
        <f aca="false">Paysheet!BD30-50</f>
        <v>70</v>
      </c>
      <c r="M45" s="229" t="s">
        <v>434</v>
      </c>
    </row>
    <row r="46" customFormat="false" ht="15.75" hidden="false" customHeight="true" outlineLevel="0" collapsed="false">
      <c r="B46" s="41"/>
      <c r="C46" s="230" t="s">
        <v>435</v>
      </c>
      <c r="D46" s="231" t="s">
        <v>436</v>
      </c>
      <c r="E46" s="57" t="s">
        <v>437</v>
      </c>
      <c r="F46" s="41" t="s">
        <v>100</v>
      </c>
      <c r="G46" s="41" t="s">
        <v>438</v>
      </c>
      <c r="H46" s="57" t="n">
        <v>0</v>
      </c>
      <c r="I46" s="57"/>
      <c r="J46" s="41"/>
      <c r="K46" s="41"/>
      <c r="L46" s="57"/>
      <c r="M46" s="228" t="s">
        <v>439</v>
      </c>
    </row>
    <row r="47" customFormat="false" ht="15.75" hidden="false" customHeight="true" outlineLevel="0" collapsed="false">
      <c r="B47" s="41"/>
      <c r="C47" s="71" t="s">
        <v>440</v>
      </c>
      <c r="D47" s="224" t="s">
        <v>441</v>
      </c>
      <c r="E47" s="57" t="s">
        <v>99</v>
      </c>
      <c r="F47" s="41" t="s">
        <v>442</v>
      </c>
      <c r="G47" s="41" t="s">
        <v>443</v>
      </c>
      <c r="H47" s="57" t="n">
        <f aca="false">Paysheet!BC29</f>
        <v>8.00023584695277</v>
      </c>
      <c r="I47" s="57"/>
      <c r="J47" s="41"/>
      <c r="K47" s="41"/>
      <c r="L47" s="57"/>
      <c r="M47" s="1" t="s">
        <v>444</v>
      </c>
    </row>
    <row r="48" customFormat="false" ht="15.75" hidden="false" customHeight="true" outlineLevel="0" collapsed="false">
      <c r="B48" s="41"/>
      <c r="C48" s="71" t="s">
        <v>445</v>
      </c>
      <c r="D48" s="224" t="s">
        <v>446</v>
      </c>
      <c r="E48" s="57" t="s">
        <v>428</v>
      </c>
      <c r="F48" s="41" t="s">
        <v>100</v>
      </c>
      <c r="G48" s="41" t="s">
        <v>447</v>
      </c>
      <c r="H48" s="57" t="n">
        <v>0</v>
      </c>
      <c r="I48" s="57" t="s">
        <v>428</v>
      </c>
      <c r="J48" s="41" t="s">
        <v>100</v>
      </c>
      <c r="K48" s="41" t="s">
        <v>448</v>
      </c>
      <c r="L48" s="57" t="n">
        <f aca="false">Paysheet!BD30-70</f>
        <v>50</v>
      </c>
      <c r="M48" s="1" t="s">
        <v>434</v>
      </c>
    </row>
    <row r="49" customFormat="false" ht="15.75" hidden="false" customHeight="true" outlineLevel="0" collapsed="false">
      <c r="B49" s="41"/>
      <c r="C49" s="71" t="s">
        <v>449</v>
      </c>
      <c r="D49" s="224"/>
      <c r="E49" s="57" t="s">
        <v>450</v>
      </c>
      <c r="F49" s="41" t="s">
        <v>451</v>
      </c>
      <c r="G49" s="41" t="s">
        <v>452</v>
      </c>
      <c r="H49" s="57" t="n">
        <f aca="false">Nyaradzo!F33</f>
        <v>16906.70475</v>
      </c>
      <c r="I49" s="57"/>
      <c r="J49" s="41"/>
      <c r="K49" s="41"/>
      <c r="L49" s="57"/>
    </row>
    <row r="50" customFormat="false" ht="15.75" hidden="false" customHeight="true" outlineLevel="0" collapsed="false">
      <c r="B50" s="41"/>
      <c r="C50" s="71"/>
      <c r="D50" s="224"/>
      <c r="E50" s="57"/>
      <c r="F50" s="41"/>
      <c r="G50" s="41"/>
      <c r="H50" s="57"/>
      <c r="I50" s="57"/>
      <c r="J50" s="41"/>
      <c r="K50" s="41"/>
      <c r="L50" s="57"/>
    </row>
    <row r="51" customFormat="false" ht="15.75" hidden="false" customHeight="true" outlineLevel="0" collapsed="false">
      <c r="B51" s="41"/>
      <c r="C51" s="71"/>
      <c r="D51" s="224"/>
      <c r="E51" s="57"/>
      <c r="F51" s="41"/>
      <c r="G51" s="41"/>
      <c r="H51" s="57"/>
      <c r="I51" s="57"/>
      <c r="J51" s="41"/>
      <c r="K51" s="41"/>
      <c r="L51" s="57"/>
    </row>
    <row r="52" customFormat="false" ht="15.75" hidden="false" customHeight="true" outlineLevel="0" collapsed="false">
      <c r="H52" s="232" t="e">
        <f aca="false">SUM(H2:H51)</f>
        <v>#NAME?</v>
      </c>
      <c r="I52" s="27"/>
      <c r="J52" s="27"/>
      <c r="K52" s="27"/>
      <c r="L52" s="232" t="e">
        <f aca="false">SUM(L2:L51)</f>
        <v>#NAME?</v>
      </c>
    </row>
    <row r="53" customFormat="false" ht="15.75" hidden="false" customHeight="true" outlineLevel="0" collapsed="false"/>
    <row r="54" customFormat="false" ht="15" hidden="false" customHeight="false" outlineLevel="0" collapsed="false">
      <c r="D54" s="1" t="n">
        <f aca="false">16*7</f>
        <v>112</v>
      </c>
      <c r="H54" s="3"/>
    </row>
    <row r="55" customFormat="false" ht="15" hidden="false" customHeight="false" outlineLevel="0" collapsed="false">
      <c r="H55" s="3"/>
    </row>
    <row r="57" customFormat="false" ht="15" hidden="false" customHeight="false" outlineLevel="0" collapsed="false">
      <c r="J57" s="4"/>
    </row>
    <row r="58" customFormat="false" ht="15" hidden="false" customHeight="false" outlineLevel="0" collapsed="false">
      <c r="H5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54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K15" activeCellId="0" sqref="K1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15.14"/>
    <col collapsed="false" customWidth="true" hidden="false" outlineLevel="0" max="4" min="3" style="1" width="14.86"/>
    <col collapsed="false" customWidth="true" hidden="false" outlineLevel="0" max="5" min="5" style="4" width="13.57"/>
    <col collapsed="false" customWidth="true" hidden="false" outlineLevel="0" max="6" min="6" style="4" width="13.42"/>
    <col collapsed="false" customWidth="true" hidden="false" outlineLevel="0" max="7" min="7" style="1" width="19.29"/>
    <col collapsed="false" customWidth="true" hidden="false" outlineLevel="0" max="8" min="8" style="1" width="17.29"/>
    <col collapsed="false" customWidth="true" hidden="false" outlineLevel="0" max="9" min="9" style="1" width="12.86"/>
  </cols>
  <sheetData>
    <row r="2" customFormat="false" ht="15" hidden="false" customHeight="false" outlineLevel="0" collapsed="false">
      <c r="D2" s="233" t="s">
        <v>26</v>
      </c>
      <c r="E2" s="234" t="s">
        <v>25</v>
      </c>
      <c r="F2" s="234" t="s">
        <v>74</v>
      </c>
      <c r="G2" s="233" t="s">
        <v>25</v>
      </c>
      <c r="H2" s="233" t="s">
        <v>26</v>
      </c>
      <c r="I2" s="233" t="s">
        <v>25</v>
      </c>
    </row>
    <row r="3" customFormat="false" ht="15" hidden="false" customHeight="false" outlineLevel="0" collapsed="false">
      <c r="A3" s="41"/>
      <c r="B3" s="29" t="s">
        <v>29</v>
      </c>
      <c r="C3" s="29" t="s">
        <v>30</v>
      </c>
      <c r="D3" s="234" t="s">
        <v>453</v>
      </c>
      <c r="E3" s="234"/>
      <c r="F3" s="233" t="s">
        <v>454</v>
      </c>
      <c r="G3" s="233"/>
      <c r="H3" s="233" t="s">
        <v>54</v>
      </c>
      <c r="I3" s="233"/>
    </row>
    <row r="4" customFormat="false" ht="15.75" hidden="false" customHeight="true" outlineLevel="0" collapsed="false">
      <c r="A4" s="41" t="str">
        <f aca="false">Paysheet!A4</f>
        <v>AES-E046</v>
      </c>
      <c r="B4" s="71" t="str">
        <f aca="false">Paysheet!B4</f>
        <v>Tarisai</v>
      </c>
      <c r="C4" s="71" t="str">
        <f aca="false">Paysheet!C4</f>
        <v>Zinyama</v>
      </c>
      <c r="D4" s="235" t="n">
        <f aca="false">Paysheet!AJ4</f>
        <v>15.608990975872</v>
      </c>
      <c r="E4" s="48" t="n">
        <f aca="false">Paysheet!AK4</f>
        <v>333.34686</v>
      </c>
      <c r="F4" s="48" t="n">
        <f aca="false">D4</f>
        <v>15.608990975872</v>
      </c>
      <c r="G4" s="57" t="n">
        <f aca="false">E4</f>
        <v>333.34686</v>
      </c>
      <c r="H4" s="57" t="n">
        <f aca="false">D4+F4</f>
        <v>31.217981951744</v>
      </c>
      <c r="I4" s="57" t="n">
        <f aca="false">E4+G4</f>
        <v>666.69372</v>
      </c>
    </row>
    <row r="5" customFormat="false" ht="15.75" hidden="false" customHeight="true" outlineLevel="0" collapsed="false">
      <c r="A5" s="41" t="str">
        <f aca="false">Paysheet!A5</f>
        <v>AES-E049</v>
      </c>
      <c r="B5" s="71" t="str">
        <f aca="false">Paysheet!B5</f>
        <v>Marvellous</v>
      </c>
      <c r="C5" s="71" t="str">
        <f aca="false">Paysheet!C5</f>
        <v>Chakanetsa</v>
      </c>
      <c r="D5" s="235" t="n">
        <f aca="false">Paysheet!AJ5</f>
        <v>15.608990975872</v>
      </c>
      <c r="E5" s="48" t="n">
        <f aca="false">Paysheet!AK5</f>
        <v>333.34686</v>
      </c>
      <c r="F5" s="48" t="n">
        <f aca="false">D5</f>
        <v>15.608990975872</v>
      </c>
      <c r="G5" s="57" t="n">
        <f aca="false">E5</f>
        <v>333.34686</v>
      </c>
      <c r="H5" s="57" t="n">
        <f aca="false">D5+F5</f>
        <v>31.217981951744</v>
      </c>
      <c r="I5" s="57" t="n">
        <f aca="false">E5+G5</f>
        <v>666.69372</v>
      </c>
    </row>
    <row r="6" customFormat="false" ht="15.75" hidden="false" customHeight="true" outlineLevel="0" collapsed="false">
      <c r="A6" s="41" t="str">
        <f aca="false">Paysheet!A6</f>
        <v>AES-E022</v>
      </c>
      <c r="B6" s="71" t="str">
        <f aca="false">Paysheet!B6</f>
        <v>Obvious</v>
      </c>
      <c r="C6" s="71" t="str">
        <f aca="false">Paysheet!C6</f>
        <v>Mpofu</v>
      </c>
      <c r="D6" s="235" t="n">
        <f aca="false">Paysheet!AJ6</f>
        <v>15.608990975872</v>
      </c>
      <c r="E6" s="48" t="n">
        <f aca="false">Paysheet!AK6</f>
        <v>333.34686</v>
      </c>
      <c r="F6" s="48" t="n">
        <f aca="false">D6</f>
        <v>15.608990975872</v>
      </c>
      <c r="G6" s="57" t="n">
        <f aca="false">E6</f>
        <v>333.34686</v>
      </c>
      <c r="H6" s="57" t="n">
        <f aca="false">D6+F6</f>
        <v>31.217981951744</v>
      </c>
      <c r="I6" s="57" t="n">
        <f aca="false">E6+G6</f>
        <v>666.69372</v>
      </c>
    </row>
    <row r="7" customFormat="false" ht="15.75" hidden="false" customHeight="true" outlineLevel="0" collapsed="false">
      <c r="A7" s="41" t="str">
        <f aca="false">Paysheet!A7</f>
        <v>AES-E035</v>
      </c>
      <c r="B7" s="71" t="str">
        <f aca="false">Paysheet!B7</f>
        <v>Polite</v>
      </c>
      <c r="C7" s="71" t="str">
        <f aca="false">Paysheet!C7</f>
        <v>Mudarikwa</v>
      </c>
      <c r="D7" s="235" t="n">
        <f aca="false">Paysheet!AJ7</f>
        <v>15.608990975872</v>
      </c>
      <c r="E7" s="48" t="n">
        <f aca="false">Paysheet!AK7</f>
        <v>333.34686</v>
      </c>
      <c r="F7" s="48" t="n">
        <f aca="false">D7</f>
        <v>15.608990975872</v>
      </c>
      <c r="G7" s="57" t="n">
        <f aca="false">E7</f>
        <v>333.34686</v>
      </c>
      <c r="H7" s="57" t="n">
        <f aca="false">D7+F7</f>
        <v>31.217981951744</v>
      </c>
      <c r="I7" s="57" t="n">
        <f aca="false">E7+G7</f>
        <v>666.69372</v>
      </c>
    </row>
    <row r="8" customFormat="false" ht="15.75" hidden="false" customHeight="true" outlineLevel="0" collapsed="false">
      <c r="A8" s="41" t="str">
        <f aca="false">Paysheet!A8</f>
        <v>AES-E041</v>
      </c>
      <c r="B8" s="71" t="str">
        <f aca="false">Paysheet!B8</f>
        <v>Chenai</v>
      </c>
      <c r="C8" s="71" t="str">
        <f aca="false">Paysheet!C8</f>
        <v>Runesu</v>
      </c>
      <c r="D8" s="235" t="n">
        <f aca="false">Paysheet!AJ8</f>
        <v>15.608990975872</v>
      </c>
      <c r="E8" s="48" t="n">
        <f aca="false">Paysheet!AK8</f>
        <v>333.34686</v>
      </c>
      <c r="F8" s="48" t="n">
        <f aca="false">D8</f>
        <v>15.608990975872</v>
      </c>
      <c r="G8" s="57" t="n">
        <f aca="false">E8</f>
        <v>333.34686</v>
      </c>
      <c r="H8" s="57" t="n">
        <f aca="false">D8+F8</f>
        <v>31.217981951744</v>
      </c>
      <c r="I8" s="57" t="n">
        <f aca="false">E8+G8</f>
        <v>666.69372</v>
      </c>
    </row>
    <row r="9" customFormat="false" ht="15.75" hidden="false" customHeight="true" outlineLevel="0" collapsed="false">
      <c r="A9" s="41" t="str">
        <f aca="false">Paysheet!A9</f>
        <v>AES-E033</v>
      </c>
      <c r="B9" s="71" t="str">
        <f aca="false">Paysheet!B9</f>
        <v>Tafadzwa</v>
      </c>
      <c r="C9" s="71" t="str">
        <f aca="false">Paysheet!C9</f>
        <v>Mafukidze</v>
      </c>
      <c r="D9" s="235" t="n">
        <f aca="false">Paysheet!AJ9</f>
        <v>13.104</v>
      </c>
      <c r="E9" s="48" t="n">
        <f aca="false">Paysheet!AK9</f>
        <v>279.85007232</v>
      </c>
      <c r="F9" s="48" t="n">
        <f aca="false">D9</f>
        <v>13.104</v>
      </c>
      <c r="G9" s="57" t="n">
        <f aca="false">E9</f>
        <v>279.85007232</v>
      </c>
      <c r="H9" s="57" t="n">
        <f aca="false">D9+F9</f>
        <v>26.208</v>
      </c>
      <c r="I9" s="57" t="n">
        <f aca="false">E9+G9</f>
        <v>559.70014464</v>
      </c>
    </row>
    <row r="10" customFormat="false" ht="15.75" hidden="false" customHeight="true" outlineLevel="0" collapsed="false">
      <c r="A10" s="41" t="str">
        <f aca="false">Paysheet!A10</f>
        <v>AES-E034</v>
      </c>
      <c r="B10" s="71" t="str">
        <f aca="false">Paysheet!B10</f>
        <v>Kudzai</v>
      </c>
      <c r="C10" s="71" t="str">
        <f aca="false">Paysheet!C10</f>
        <v>Gwatidzo</v>
      </c>
      <c r="D10" s="235" t="n">
        <f aca="false">Paysheet!AJ10</f>
        <v>13.104</v>
      </c>
      <c r="E10" s="48" t="n">
        <f aca="false">Paysheet!AK10</f>
        <v>279.85007232</v>
      </c>
      <c r="F10" s="48" t="n">
        <f aca="false">D10</f>
        <v>13.104</v>
      </c>
      <c r="G10" s="57" t="n">
        <f aca="false">E10</f>
        <v>279.85007232</v>
      </c>
      <c r="H10" s="57" t="n">
        <f aca="false">D10+F10</f>
        <v>26.208</v>
      </c>
      <c r="I10" s="57" t="n">
        <f aca="false">E10+G10</f>
        <v>559.70014464</v>
      </c>
    </row>
    <row r="11" customFormat="false" ht="15.75" hidden="false" customHeight="true" outlineLevel="0" collapsed="false">
      <c r="A11" s="41" t="str">
        <f aca="false">Paysheet!A11</f>
        <v>AES-E036</v>
      </c>
      <c r="B11" s="71" t="str">
        <f aca="false">Paysheet!B11</f>
        <v>Dadirai</v>
      </c>
      <c r="C11" s="71" t="str">
        <f aca="false">Paysheet!C11</f>
        <v>Nyakudya</v>
      </c>
      <c r="D11" s="235" t="n">
        <f aca="false">Paysheet!AJ11</f>
        <v>7.5816</v>
      </c>
      <c r="E11" s="48" t="n">
        <f aca="false">Paysheet!AK11</f>
        <v>161.913256128</v>
      </c>
      <c r="F11" s="48" t="n">
        <f aca="false">D11</f>
        <v>7.5816</v>
      </c>
      <c r="G11" s="57" t="n">
        <f aca="false">E11</f>
        <v>161.913256128</v>
      </c>
      <c r="H11" s="57" t="n">
        <f aca="false">D11+F11</f>
        <v>15.1632</v>
      </c>
      <c r="I11" s="57" t="n">
        <f aca="false">E11+G11</f>
        <v>323.826512256</v>
      </c>
    </row>
    <row r="12" customFormat="false" ht="15.75" hidden="false" customHeight="true" outlineLevel="0" collapsed="false">
      <c r="A12" s="41" t="str">
        <f aca="false">Paysheet!A12</f>
        <v>AES-E037</v>
      </c>
      <c r="B12" s="71" t="str">
        <f aca="false">Paysheet!B12</f>
        <v>Tarisai</v>
      </c>
      <c r="C12" s="71" t="str">
        <f aca="false">Paysheet!C12</f>
        <v>Chidzambwa</v>
      </c>
      <c r="D12" s="235" t="n">
        <f aca="false">Paysheet!AJ12</f>
        <v>7.5816</v>
      </c>
      <c r="E12" s="48" t="n">
        <f aca="false">Paysheet!AK12</f>
        <v>161.913256128</v>
      </c>
      <c r="F12" s="48" t="n">
        <f aca="false">D12</f>
        <v>7.5816</v>
      </c>
      <c r="G12" s="57" t="n">
        <f aca="false">E12</f>
        <v>161.913256128</v>
      </c>
      <c r="H12" s="57" t="n">
        <f aca="false">D12+F12</f>
        <v>15.1632</v>
      </c>
      <c r="I12" s="57" t="n">
        <f aca="false">E12+G12</f>
        <v>323.826512256</v>
      </c>
    </row>
    <row r="13" customFormat="false" ht="15.75" hidden="false" customHeight="true" outlineLevel="0" collapsed="false">
      <c r="A13" s="41" t="str">
        <f aca="false">Paysheet!A13</f>
        <v>AES-E015</v>
      </c>
      <c r="B13" s="71" t="str">
        <f aca="false">Paysheet!B13</f>
        <v>Believe</v>
      </c>
      <c r="C13" s="71" t="str">
        <f aca="false">Paysheet!C13</f>
        <v>Mhererwa</v>
      </c>
      <c r="D13" s="235" t="n">
        <f aca="false">Paysheet!AJ13</f>
        <v>7.5816</v>
      </c>
      <c r="E13" s="48" t="n">
        <f aca="false">Paysheet!AK13</f>
        <v>161.913256128</v>
      </c>
      <c r="F13" s="48" t="n">
        <f aca="false">D13</f>
        <v>7.5816</v>
      </c>
      <c r="G13" s="57" t="n">
        <f aca="false">E13</f>
        <v>161.913256128</v>
      </c>
      <c r="H13" s="57" t="n">
        <f aca="false">D13+F13</f>
        <v>15.1632</v>
      </c>
      <c r="I13" s="57" t="n">
        <f aca="false">E13+G13</f>
        <v>323.826512256</v>
      </c>
    </row>
    <row r="14" customFormat="false" ht="15.75" hidden="false" customHeight="true" outlineLevel="0" collapsed="false">
      <c r="A14" s="41" t="str">
        <f aca="false">Paysheet!A14</f>
        <v>AES-E016</v>
      </c>
      <c r="B14" s="71" t="str">
        <f aca="false">Paysheet!B14</f>
        <v>Shingai</v>
      </c>
      <c r="C14" s="71" t="str">
        <f aca="false">Paysheet!C14</f>
        <v>Rusike</v>
      </c>
      <c r="D14" s="235" t="n">
        <f aca="false">Paysheet!AJ14</f>
        <v>7.5816</v>
      </c>
      <c r="E14" s="48" t="n">
        <f aca="false">Paysheet!AK14</f>
        <v>161.913256128</v>
      </c>
      <c r="F14" s="48" t="n">
        <f aca="false">D14</f>
        <v>7.5816</v>
      </c>
      <c r="G14" s="57" t="n">
        <f aca="false">E14</f>
        <v>161.913256128</v>
      </c>
      <c r="H14" s="57" t="n">
        <f aca="false">D14+F14</f>
        <v>15.1632</v>
      </c>
      <c r="I14" s="57" t="n">
        <f aca="false">E14+G14</f>
        <v>323.826512256</v>
      </c>
    </row>
    <row r="15" customFormat="false" ht="15.75" hidden="false" customHeight="true" outlineLevel="0" collapsed="false">
      <c r="A15" s="41" t="str">
        <f aca="false">Paysheet!A15</f>
        <v>AES-E018</v>
      </c>
      <c r="B15" s="71" t="str">
        <f aca="false">Paysheet!B15</f>
        <v>Gamuchirai</v>
      </c>
      <c r="C15" s="71" t="str">
        <f aca="false">Paysheet!C15</f>
        <v>Chirenda</v>
      </c>
      <c r="D15" s="235" t="n">
        <f aca="false">Paysheet!AJ15</f>
        <v>7.5816</v>
      </c>
      <c r="E15" s="48" t="n">
        <f aca="false">Paysheet!AK15</f>
        <v>161.913256128</v>
      </c>
      <c r="F15" s="48" t="n">
        <f aca="false">D15</f>
        <v>7.5816</v>
      </c>
      <c r="G15" s="57" t="n">
        <f aca="false">E15</f>
        <v>161.913256128</v>
      </c>
      <c r="H15" s="57" t="n">
        <f aca="false">D15+F15</f>
        <v>15.1632</v>
      </c>
      <c r="I15" s="57" t="n">
        <f aca="false">E15+G15</f>
        <v>323.826512256</v>
      </c>
    </row>
    <row r="16" customFormat="false" ht="15.75" hidden="false" customHeight="true" outlineLevel="0" collapsed="false">
      <c r="A16" s="41" t="str">
        <f aca="false">Paysheet!A16</f>
        <v>AES-E013</v>
      </c>
      <c r="B16" s="71" t="str">
        <f aca="false">Paysheet!B16</f>
        <v>Chido</v>
      </c>
      <c r="C16" s="71" t="str">
        <f aca="false">Paysheet!C16</f>
        <v>Chigumba</v>
      </c>
      <c r="D16" s="235" t="n">
        <f aca="false">Paysheet!AJ16</f>
        <v>7.5816</v>
      </c>
      <c r="E16" s="48" t="n">
        <f aca="false">Paysheet!AK16</f>
        <v>161.913256128</v>
      </c>
      <c r="F16" s="48" t="n">
        <f aca="false">D16</f>
        <v>7.5816</v>
      </c>
      <c r="G16" s="57" t="n">
        <f aca="false">E16</f>
        <v>161.913256128</v>
      </c>
      <c r="H16" s="57" t="n">
        <f aca="false">D16+F16</f>
        <v>15.1632</v>
      </c>
      <c r="I16" s="57" t="n">
        <f aca="false">E16+G16</f>
        <v>323.826512256</v>
      </c>
    </row>
    <row r="17" customFormat="false" ht="15.75" hidden="false" customHeight="true" outlineLevel="0" collapsed="false">
      <c r="A17" s="41" t="str">
        <f aca="false">Paysheet!A17</f>
        <v>AES-E045</v>
      </c>
      <c r="B17" s="71" t="str">
        <f aca="false">Paysheet!B17</f>
        <v>Tinotenda</v>
      </c>
      <c r="C17" s="71" t="str">
        <f aca="false">Paysheet!C17</f>
        <v>Nyagura</v>
      </c>
      <c r="D17" s="235" t="n">
        <f aca="false">Paysheet!AJ17</f>
        <v>8.424</v>
      </c>
      <c r="E17" s="48" t="n">
        <f aca="false">Paysheet!AK17</f>
        <v>179.90361792</v>
      </c>
      <c r="F17" s="48" t="n">
        <f aca="false">D17</f>
        <v>8.424</v>
      </c>
      <c r="G17" s="57" t="n">
        <f aca="false">E17</f>
        <v>179.90361792</v>
      </c>
      <c r="H17" s="57" t="n">
        <f aca="false">D17+F17</f>
        <v>16.848</v>
      </c>
      <c r="I17" s="57" t="n">
        <f aca="false">E17+G17</f>
        <v>359.80723584</v>
      </c>
    </row>
    <row r="18" customFormat="false" ht="15.75" hidden="false" customHeight="true" outlineLevel="0" collapsed="false">
      <c r="A18" s="41" t="str">
        <f aca="false">Paysheet!A18</f>
        <v>AES-E048</v>
      </c>
      <c r="B18" s="71" t="str">
        <f aca="false">Paysheet!B18</f>
        <v>Nomatter</v>
      </c>
      <c r="C18" s="71" t="str">
        <f aca="false">Paysheet!C18</f>
        <v>Nhira</v>
      </c>
      <c r="D18" s="235" t="n">
        <f aca="false">Paysheet!AJ18</f>
        <v>13.104</v>
      </c>
      <c r="E18" s="48" t="n">
        <f aca="false">Paysheet!AK18</f>
        <v>279.85007232</v>
      </c>
      <c r="F18" s="48" t="n">
        <f aca="false">D18</f>
        <v>13.104</v>
      </c>
      <c r="G18" s="57" t="n">
        <f aca="false">E18</f>
        <v>279.85007232</v>
      </c>
      <c r="H18" s="57" t="n">
        <f aca="false">D18+F18</f>
        <v>26.208</v>
      </c>
      <c r="I18" s="57" t="n">
        <f aca="false">E18+G18</f>
        <v>559.70014464</v>
      </c>
    </row>
    <row r="19" customFormat="false" ht="15.75" hidden="false" customHeight="true" outlineLevel="0" collapsed="false">
      <c r="A19" s="41" t="str">
        <f aca="false">Paysheet!A19</f>
        <v>AES-E043</v>
      </c>
      <c r="B19" s="71" t="str">
        <f aca="false">Paysheet!B19</f>
        <v>Zvikomborero</v>
      </c>
      <c r="C19" s="71" t="str">
        <f aca="false">Paysheet!C19</f>
        <v>Mpofu</v>
      </c>
      <c r="D19" s="235" t="n">
        <f aca="false">Paysheet!AJ19</f>
        <v>7.5816</v>
      </c>
      <c r="E19" s="48" t="n">
        <f aca="false">Paysheet!AK19</f>
        <v>161.913256128</v>
      </c>
      <c r="F19" s="48" t="n">
        <f aca="false">D19</f>
        <v>7.5816</v>
      </c>
      <c r="G19" s="57" t="n">
        <f aca="false">E19</f>
        <v>161.913256128</v>
      </c>
      <c r="H19" s="57" t="n">
        <f aca="false">D19+F19</f>
        <v>15.1632</v>
      </c>
      <c r="I19" s="57" t="n">
        <f aca="false">E19+G19</f>
        <v>323.826512256</v>
      </c>
    </row>
    <row r="20" customFormat="false" ht="15.75" hidden="false" customHeight="true" outlineLevel="0" collapsed="false">
      <c r="A20" s="41" t="str">
        <f aca="false">Paysheet!A20</f>
        <v>AES-E044</v>
      </c>
      <c r="B20" s="71" t="str">
        <f aca="false">Paysheet!B20</f>
        <v>Anesu</v>
      </c>
      <c r="C20" s="71" t="str">
        <f aca="false">Paysheet!C20</f>
        <v>Chidzambwa</v>
      </c>
      <c r="D20" s="235" t="n">
        <f aca="false">Paysheet!AJ20</f>
        <v>8.568</v>
      </c>
      <c r="E20" s="48" t="n">
        <f aca="false">Paysheet!AK20</f>
        <v>182.97889344</v>
      </c>
      <c r="F20" s="48" t="n">
        <f aca="false">D20</f>
        <v>8.568</v>
      </c>
      <c r="G20" s="57" t="n">
        <f aca="false">E20</f>
        <v>182.97889344</v>
      </c>
      <c r="H20" s="57" t="n">
        <f aca="false">D20+F20</f>
        <v>17.136</v>
      </c>
      <c r="I20" s="57" t="n">
        <f aca="false">E20+G20</f>
        <v>365.95778688</v>
      </c>
    </row>
    <row r="21" customFormat="false" ht="15.75" hidden="false" customHeight="true" outlineLevel="0" collapsed="false">
      <c r="A21" s="41" t="str">
        <f aca="false">Paysheet!A21</f>
        <v>AES-E047</v>
      </c>
      <c r="B21" s="71" t="str">
        <f aca="false">Paysheet!B21</f>
        <v>Innocent</v>
      </c>
      <c r="C21" s="71" t="str">
        <f aca="false">Paysheet!C21</f>
        <v>Chihota</v>
      </c>
      <c r="D21" s="235" t="n">
        <f aca="false">Paysheet!AJ21</f>
        <v>13.104</v>
      </c>
      <c r="E21" s="48" t="n">
        <f aca="false">Paysheet!AK21</f>
        <v>279.85007232</v>
      </c>
      <c r="F21" s="48" t="n">
        <f aca="false">D21</f>
        <v>13.104</v>
      </c>
      <c r="G21" s="57" t="n">
        <f aca="false">E21</f>
        <v>279.85007232</v>
      </c>
      <c r="H21" s="57" t="n">
        <f aca="false">D21+F21</f>
        <v>26.208</v>
      </c>
      <c r="I21" s="57" t="n">
        <f aca="false">E21+G21</f>
        <v>559.70014464</v>
      </c>
    </row>
    <row r="22" customFormat="false" ht="15.75" hidden="false" customHeight="true" outlineLevel="0" collapsed="false">
      <c r="A22" s="41" t="str">
        <f aca="false">Paysheet!A22</f>
        <v>AES-E038</v>
      </c>
      <c r="B22" s="71" t="str">
        <f aca="false">Paysheet!B22</f>
        <v>Munyaradzi</v>
      </c>
      <c r="C22" s="71" t="str">
        <f aca="false">Paysheet!C22</f>
        <v>Zhou</v>
      </c>
      <c r="D22" s="235" t="n">
        <f aca="false">Paysheet!AJ22</f>
        <v>7.5816</v>
      </c>
      <c r="E22" s="48" t="n">
        <f aca="false">Paysheet!AK22</f>
        <v>161.913256128</v>
      </c>
      <c r="F22" s="48" t="n">
        <f aca="false">D22</f>
        <v>7.5816</v>
      </c>
      <c r="G22" s="57" t="n">
        <f aca="false">E22</f>
        <v>161.913256128</v>
      </c>
      <c r="H22" s="57" t="n">
        <f aca="false">D22+F22</f>
        <v>15.1632</v>
      </c>
      <c r="I22" s="57" t="n">
        <f aca="false">E22+G22</f>
        <v>323.826512256</v>
      </c>
    </row>
    <row r="23" customFormat="false" ht="15.75" hidden="false" customHeight="true" outlineLevel="0" collapsed="false">
      <c r="A23" s="41" t="str">
        <f aca="false">Paysheet!A23</f>
        <v>AES-E040</v>
      </c>
      <c r="B23" s="71" t="str">
        <f aca="false">Paysheet!B23</f>
        <v>Takudzwa</v>
      </c>
      <c r="C23" s="71" t="str">
        <f aca="false">Paysheet!C23</f>
        <v>Nyandoro</v>
      </c>
      <c r="D23" s="235" t="n">
        <f aca="false">Paysheet!AJ23</f>
        <v>7.5816</v>
      </c>
      <c r="E23" s="48" t="n">
        <f aca="false">Paysheet!AK23</f>
        <v>161.913256128</v>
      </c>
      <c r="F23" s="48" t="n">
        <f aca="false">D23</f>
        <v>7.5816</v>
      </c>
      <c r="G23" s="57" t="n">
        <f aca="false">E23</f>
        <v>161.913256128</v>
      </c>
      <c r="H23" s="57" t="n">
        <f aca="false">D23+F23</f>
        <v>15.1632</v>
      </c>
      <c r="I23" s="57" t="n">
        <f aca="false">E23+G23</f>
        <v>323.826512256</v>
      </c>
    </row>
    <row r="24" customFormat="false" ht="15.75" hidden="false" customHeight="true" outlineLevel="0" collapsed="false">
      <c r="A24" s="41" t="str">
        <f aca="false">Paysheet!A24</f>
        <v>AES-E039</v>
      </c>
      <c r="B24" s="71" t="str">
        <f aca="false">Paysheet!B24</f>
        <v>Chiedza</v>
      </c>
      <c r="C24" s="71" t="str">
        <f aca="false">Paysheet!C24</f>
        <v>Mucheki</v>
      </c>
      <c r="D24" s="235" t="n">
        <f aca="false">Paysheet!AJ24</f>
        <v>7.5816</v>
      </c>
      <c r="E24" s="48" t="n">
        <f aca="false">Paysheet!AK24</f>
        <v>161.913256128</v>
      </c>
      <c r="F24" s="48" t="n">
        <f aca="false">D24</f>
        <v>7.5816</v>
      </c>
      <c r="G24" s="57" t="n">
        <f aca="false">E24</f>
        <v>161.913256128</v>
      </c>
      <c r="H24" s="57" t="n">
        <f aca="false">D24+F24</f>
        <v>15.1632</v>
      </c>
      <c r="I24" s="57" t="n">
        <f aca="false">E24+G24</f>
        <v>323.826512256</v>
      </c>
    </row>
    <row r="25" customFormat="false" ht="15.75" hidden="false" customHeight="true" outlineLevel="0" collapsed="false">
      <c r="A25" s="41" t="str">
        <f aca="false">Paysheet!A25</f>
        <v>AES-E010</v>
      </c>
      <c r="B25" s="71" t="str">
        <f aca="false">Paysheet!B25</f>
        <v>Farai</v>
      </c>
      <c r="C25" s="71" t="str">
        <f aca="false">Paysheet!C25</f>
        <v>Dhliwayo</v>
      </c>
      <c r="D25" s="235" t="n">
        <f aca="false">Paysheet!AJ25</f>
        <v>7.5816</v>
      </c>
      <c r="E25" s="48" t="n">
        <f aca="false">Paysheet!AK25</f>
        <v>161.913256128</v>
      </c>
      <c r="F25" s="48" t="n">
        <f aca="false">D25</f>
        <v>7.5816</v>
      </c>
      <c r="G25" s="57" t="n">
        <f aca="false">E25</f>
        <v>161.913256128</v>
      </c>
      <c r="H25" s="57" t="n">
        <f aca="false">D25+F25</f>
        <v>15.1632</v>
      </c>
      <c r="I25" s="57" t="n">
        <f aca="false">E25+G25</f>
        <v>323.826512256</v>
      </c>
    </row>
    <row r="26" customFormat="false" ht="15.75" hidden="false" customHeight="true" outlineLevel="0" collapsed="false">
      <c r="A26" s="41" t="str">
        <f aca="false">Paysheet!A26</f>
        <v>AES-E011</v>
      </c>
      <c r="B26" s="71" t="str">
        <f aca="false">Paysheet!B26</f>
        <v>Kundai</v>
      </c>
      <c r="C26" s="71" t="str">
        <f aca="false">Paysheet!C26</f>
        <v>Chataika</v>
      </c>
      <c r="D26" s="235" t="n">
        <f aca="false">Paysheet!AJ26</f>
        <v>7.5816</v>
      </c>
      <c r="E26" s="48" t="n">
        <f aca="false">Paysheet!AK26</f>
        <v>161.913256128</v>
      </c>
      <c r="F26" s="48" t="n">
        <f aca="false">D26</f>
        <v>7.5816</v>
      </c>
      <c r="G26" s="57" t="n">
        <f aca="false">E26</f>
        <v>161.913256128</v>
      </c>
      <c r="H26" s="57" t="n">
        <f aca="false">D26+F26</f>
        <v>15.1632</v>
      </c>
      <c r="I26" s="57" t="n">
        <f aca="false">E26+G26</f>
        <v>323.826512256</v>
      </c>
    </row>
    <row r="27" customFormat="false" ht="15.75" hidden="false" customHeight="true" outlineLevel="0" collapsed="false">
      <c r="A27" s="41" t="str">
        <f aca="false">Paysheet!A27</f>
        <v>AES-E014</v>
      </c>
      <c r="B27" s="71" t="str">
        <f aca="false">Paysheet!B27</f>
        <v>Mufaro</v>
      </c>
      <c r="C27" s="71" t="str">
        <f aca="false">Paysheet!C27</f>
        <v>Nemukuyu</v>
      </c>
      <c r="D27" s="235" t="n">
        <f aca="false">Paysheet!AJ27</f>
        <v>8.2368</v>
      </c>
      <c r="E27" s="48" t="n">
        <f aca="false">Paysheet!AK27</f>
        <v>175.905759744</v>
      </c>
      <c r="F27" s="48" t="n">
        <f aca="false">D27</f>
        <v>8.2368</v>
      </c>
      <c r="G27" s="57" t="n">
        <f aca="false">E27</f>
        <v>175.905759744</v>
      </c>
      <c r="H27" s="57" t="n">
        <f aca="false">D27+F27</f>
        <v>16.4736</v>
      </c>
      <c r="I27" s="57" t="n">
        <f aca="false">E27+G27</f>
        <v>351.811519488</v>
      </c>
    </row>
    <row r="28" customFormat="false" ht="15.75" hidden="false" customHeight="true" outlineLevel="0" collapsed="false">
      <c r="A28" s="41" t="str">
        <f aca="false">Paysheet!A28</f>
        <v>AES-E019</v>
      </c>
      <c r="B28" s="71" t="str">
        <f aca="false">Paysheet!B28</f>
        <v>Rufaro</v>
      </c>
      <c r="C28" s="71" t="str">
        <f aca="false">Paysheet!C28</f>
        <v>Mashingaidze</v>
      </c>
      <c r="D28" s="235" t="n">
        <f aca="false">Paysheet!AJ28</f>
        <v>7.5816</v>
      </c>
      <c r="E28" s="48" t="n">
        <f aca="false">Paysheet!AK28</f>
        <v>161.913256128</v>
      </c>
      <c r="F28" s="48" t="n">
        <f aca="false">D28</f>
        <v>7.5816</v>
      </c>
      <c r="G28" s="57" t="n">
        <f aca="false">E28</f>
        <v>161.913256128</v>
      </c>
      <c r="H28" s="57" t="n">
        <f aca="false">D28+F28</f>
        <v>15.1632</v>
      </c>
      <c r="I28" s="57" t="n">
        <f aca="false">E28+G28</f>
        <v>323.826512256</v>
      </c>
    </row>
    <row r="29" customFormat="false" ht="15.75" hidden="false" customHeight="true" outlineLevel="0" collapsed="false">
      <c r="A29" s="41" t="str">
        <f aca="false">Paysheet!A29</f>
        <v>AES-E017</v>
      </c>
      <c r="B29" s="71" t="str">
        <f aca="false">Paysheet!B29</f>
        <v>Ropafadzo</v>
      </c>
      <c r="C29" s="71" t="str">
        <f aca="false">Paysheet!C29</f>
        <v>Mangwende</v>
      </c>
      <c r="D29" s="235" t="n">
        <f aca="false">Paysheet!AJ29</f>
        <v>7.5816</v>
      </c>
      <c r="E29" s="48" t="n">
        <f aca="false">Paysheet!AK29</f>
        <v>161.913256128</v>
      </c>
      <c r="F29" s="48" t="n">
        <f aca="false">D29</f>
        <v>7.5816</v>
      </c>
      <c r="G29" s="57" t="n">
        <f aca="false">E29</f>
        <v>161.913256128</v>
      </c>
      <c r="H29" s="57" t="n">
        <f aca="false">D29+F29</f>
        <v>15.1632</v>
      </c>
      <c r="I29" s="57" t="n">
        <f aca="false">E29+G29</f>
        <v>323.826512256</v>
      </c>
    </row>
    <row r="30" customFormat="false" ht="15.75" hidden="false" customHeight="true" outlineLevel="0" collapsed="false">
      <c r="A30" s="41" t="str">
        <f aca="false">Paysheet!A30</f>
        <v>AES-E042</v>
      </c>
      <c r="B30" s="71" t="str">
        <f aca="false">Paysheet!B30</f>
        <v>Vimbai</v>
      </c>
      <c r="C30" s="71" t="str">
        <f aca="false">Paysheet!C30</f>
        <v>Mpofu</v>
      </c>
      <c r="D30" s="235" t="n">
        <f aca="false">Paysheet!AJ30</f>
        <v>8.2368</v>
      </c>
      <c r="E30" s="48" t="n">
        <f aca="false">Paysheet!AK30</f>
        <v>175.905759744</v>
      </c>
      <c r="F30" s="48" t="n">
        <f aca="false">D30</f>
        <v>8.2368</v>
      </c>
      <c r="G30" s="57" t="n">
        <f aca="false">E30</f>
        <v>175.905759744</v>
      </c>
      <c r="H30" s="57" t="n">
        <f aca="false">D30+F30</f>
        <v>16.4736</v>
      </c>
      <c r="I30" s="57" t="n">
        <f aca="false">E30+G30</f>
        <v>351.811519488</v>
      </c>
    </row>
    <row r="31" customFormat="false" ht="15.75" hidden="false" customHeight="true" outlineLevel="0" collapsed="false">
      <c r="A31" s="41" t="e">
        <f aca="false">paysheet!#ref!</f>
        <v>#NAME?</v>
      </c>
      <c r="B31" s="71" t="e">
        <f aca="false">paysheet!#ref!</f>
        <v>#NAME?</v>
      </c>
      <c r="C31" s="71" t="e">
        <f aca="false">paysheet!#ref!</f>
        <v>#NAME?</v>
      </c>
      <c r="D31" s="235" t="e">
        <f aca="false">paysheet!#ref!</f>
        <v>#NAME?</v>
      </c>
      <c r="E31" s="48" t="e">
        <f aca="false">paysheet!#ref!</f>
        <v>#NAME?</v>
      </c>
      <c r="F31" s="48" t="e">
        <f aca="false">D31</f>
        <v>#NAME?</v>
      </c>
      <c r="G31" s="57" t="e">
        <f aca="false">E31</f>
        <v>#NAME?</v>
      </c>
      <c r="H31" s="57" t="e">
        <f aca="false">D31+F31</f>
        <v>#NAME?</v>
      </c>
      <c r="I31" s="57" t="e">
        <f aca="false">E31+G31</f>
        <v>#NAME?</v>
      </c>
    </row>
    <row r="32" customFormat="false" ht="15.75" hidden="false" customHeight="true" outlineLevel="0" collapsed="false">
      <c r="A32" s="41" t="str">
        <f aca="false">Paysheet!A31</f>
        <v>AES-E012</v>
      </c>
      <c r="B32" s="71" t="str">
        <f aca="false">Paysheet!B31</f>
        <v>Batsirai</v>
      </c>
      <c r="C32" s="71" t="str">
        <f aca="false">Paysheet!C31</f>
        <v>Gwenzi</v>
      </c>
      <c r="D32" s="235" t="n">
        <f aca="false">Paysheet!AJ31</f>
        <v>7.5816</v>
      </c>
      <c r="E32" s="48" t="n">
        <f aca="false">Paysheet!AK31</f>
        <v>161.913256128</v>
      </c>
      <c r="F32" s="48" t="n">
        <f aca="false">D32</f>
        <v>7.5816</v>
      </c>
      <c r="G32" s="57" t="n">
        <f aca="false">E32</f>
        <v>161.913256128</v>
      </c>
      <c r="H32" s="57" t="n">
        <f aca="false">D32+F32</f>
        <v>15.1632</v>
      </c>
      <c r="I32" s="57" t="n">
        <f aca="false">E32+G32</f>
        <v>323.826512256</v>
      </c>
    </row>
    <row r="33" customFormat="false" ht="15.75" hidden="false" customHeight="true" outlineLevel="0" collapsed="false">
      <c r="A33" s="41" t="str">
        <f aca="false">Paysheet!A32</f>
        <v>AES-E020</v>
      </c>
      <c r="B33" s="71" t="str">
        <f aca="false">Paysheet!B32</f>
        <v>Tonderayi</v>
      </c>
      <c r="C33" s="71" t="str">
        <f aca="false">Paysheet!C32</f>
        <v>Nyamande</v>
      </c>
      <c r="D33" s="235" t="n">
        <f aca="false">Paysheet!AJ32</f>
        <v>7.5816</v>
      </c>
      <c r="E33" s="48" t="n">
        <f aca="false">Paysheet!AK32</f>
        <v>161.913256128</v>
      </c>
      <c r="F33" s="48" t="n">
        <f aca="false">D33</f>
        <v>7.5816</v>
      </c>
      <c r="G33" s="57" t="n">
        <f aca="false">E33</f>
        <v>161.913256128</v>
      </c>
      <c r="H33" s="57" t="n">
        <f aca="false">D33+F33</f>
        <v>15.1632</v>
      </c>
      <c r="I33" s="57" t="n">
        <f aca="false">E33+G33</f>
        <v>323.826512256</v>
      </c>
    </row>
    <row r="34" customFormat="false" ht="15.75" hidden="false" customHeight="true" outlineLevel="0" collapsed="false">
      <c r="A34" s="41" t="str">
        <f aca="false">Paysheet!A33</f>
        <v>AES-E021</v>
      </c>
      <c r="B34" s="71" t="str">
        <f aca="false">Paysheet!B33</f>
        <v>Kudzai </v>
      </c>
      <c r="C34" s="71" t="str">
        <f aca="false">Paysheet!C33</f>
        <v>Ziyambi</v>
      </c>
      <c r="D34" s="235" t="n">
        <f aca="false">Paysheet!AJ33</f>
        <v>7.5816</v>
      </c>
      <c r="E34" s="48" t="n">
        <f aca="false">Paysheet!AK33</f>
        <v>161.913256128</v>
      </c>
      <c r="F34" s="48" t="n">
        <f aca="false">D34</f>
        <v>7.5816</v>
      </c>
      <c r="G34" s="57" t="n">
        <f aca="false">E34</f>
        <v>161.913256128</v>
      </c>
      <c r="H34" s="57" t="n">
        <f aca="false">D34+F34</f>
        <v>15.1632</v>
      </c>
      <c r="I34" s="57" t="n">
        <f aca="false">E34+G34</f>
        <v>323.826512256</v>
      </c>
    </row>
    <row r="35" customFormat="false" ht="15.75" hidden="false" customHeight="true" outlineLevel="0" collapsed="false">
      <c r="A35" s="41" t="str">
        <f aca="false">Paysheet!A34</f>
        <v>AES-E027</v>
      </c>
      <c r="B35" s="71" t="str">
        <f aca="false">Paysheet!B34</f>
        <v>Munashe </v>
      </c>
      <c r="C35" s="71" t="str">
        <f aca="false">Paysheet!C34</f>
        <v>Makoni</v>
      </c>
      <c r="D35" s="235" t="n">
        <f aca="false">Paysheet!AJ34</f>
        <v>7.5816</v>
      </c>
      <c r="E35" s="48" t="n">
        <f aca="false">Paysheet!AK34</f>
        <v>161.913256128</v>
      </c>
      <c r="F35" s="48" t="n">
        <f aca="false">D35</f>
        <v>7.5816</v>
      </c>
      <c r="G35" s="57" t="n">
        <f aca="false">E35</f>
        <v>161.913256128</v>
      </c>
      <c r="H35" s="57" t="n">
        <f aca="false">D35+F35</f>
        <v>15.1632</v>
      </c>
      <c r="I35" s="57" t="n">
        <f aca="false">E35+G35</f>
        <v>323.826512256</v>
      </c>
    </row>
    <row r="36" customFormat="false" ht="15.75" hidden="false" customHeight="true" outlineLevel="0" collapsed="false">
      <c r="A36" s="41" t="str">
        <f aca="false">Paysheet!A35</f>
        <v>AES-E029</v>
      </c>
      <c r="B36" s="71" t="str">
        <f aca="false">Paysheet!B35</f>
        <v>Kudzai </v>
      </c>
      <c r="C36" s="71" t="str">
        <f aca="false">Paysheet!C35</f>
        <v>Mutsvairo</v>
      </c>
      <c r="D36" s="235" t="n">
        <f aca="false">Paysheet!AJ35</f>
        <v>7.5816</v>
      </c>
      <c r="E36" s="48" t="n">
        <f aca="false">Paysheet!AK35</f>
        <v>161.913256128</v>
      </c>
      <c r="F36" s="48" t="n">
        <f aca="false">D36</f>
        <v>7.5816</v>
      </c>
      <c r="G36" s="57" t="n">
        <f aca="false">E36</f>
        <v>161.913256128</v>
      </c>
      <c r="H36" s="57" t="n">
        <f aca="false">D36+F36</f>
        <v>15.1632</v>
      </c>
      <c r="I36" s="57" t="n">
        <f aca="false">E36+G36</f>
        <v>323.826512256</v>
      </c>
    </row>
    <row r="37" customFormat="false" ht="15.75" hidden="false" customHeight="true" outlineLevel="0" collapsed="false">
      <c r="A37" s="41" t="str">
        <f aca="false">Paysheet!A36</f>
        <v>AES-E028</v>
      </c>
      <c r="B37" s="71" t="str">
        <f aca="false">Paysheet!B36</f>
        <v>Tsitsi</v>
      </c>
      <c r="C37" s="71" t="str">
        <f aca="false">Paysheet!C36</f>
        <v>Chibanda</v>
      </c>
      <c r="D37" s="235" t="n">
        <f aca="false">Paysheet!AJ36</f>
        <v>7.5816</v>
      </c>
      <c r="E37" s="48" t="n">
        <f aca="false">Paysheet!AK36</f>
        <v>161.913256128</v>
      </c>
      <c r="F37" s="48" t="n">
        <f aca="false">D37</f>
        <v>7.5816</v>
      </c>
      <c r="G37" s="57" t="n">
        <f aca="false">E37</f>
        <v>161.913256128</v>
      </c>
      <c r="H37" s="57" t="n">
        <f aca="false">D37+F37</f>
        <v>15.1632</v>
      </c>
      <c r="I37" s="57" t="n">
        <f aca="false">E37+G37</f>
        <v>323.826512256</v>
      </c>
    </row>
    <row r="38" customFormat="false" ht="15.75" hidden="false" customHeight="true" outlineLevel="0" collapsed="false">
      <c r="A38" s="41" t="str">
        <f aca="false">Paysheet!A37</f>
        <v>AES-E030</v>
      </c>
      <c r="B38" s="71" t="str">
        <f aca="false">Paysheet!B37</f>
        <v>Tichaona</v>
      </c>
      <c r="C38" s="71" t="str">
        <f aca="false">Paysheet!C37</f>
        <v>Bere</v>
      </c>
      <c r="D38" s="235" t="n">
        <f aca="false">Paysheet!AJ37</f>
        <v>7.5816</v>
      </c>
      <c r="E38" s="48" t="n">
        <f aca="false">Paysheet!AK37</f>
        <v>161.913256128</v>
      </c>
      <c r="F38" s="48" t="n">
        <f aca="false">D38</f>
        <v>7.5816</v>
      </c>
      <c r="G38" s="57" t="n">
        <f aca="false">E38</f>
        <v>161.913256128</v>
      </c>
      <c r="H38" s="57" t="n">
        <f aca="false">D38+F38</f>
        <v>15.1632</v>
      </c>
      <c r="I38" s="57" t="n">
        <f aca="false">E38+G38</f>
        <v>323.826512256</v>
      </c>
    </row>
    <row r="39" customFormat="false" ht="15.75" hidden="false" customHeight="true" outlineLevel="0" collapsed="false">
      <c r="A39" s="41" t="str">
        <f aca="false">Paysheet!A38</f>
        <v>AES-E031</v>
      </c>
      <c r="B39" s="71" t="str">
        <f aca="false">Paysheet!B38</f>
        <v>Nyarai</v>
      </c>
      <c r="C39" s="71" t="str">
        <f aca="false">Paysheet!C38</f>
        <v>Chikomo</v>
      </c>
      <c r="D39" s="235" t="n">
        <f aca="false">Paysheet!AJ38</f>
        <v>7.5816</v>
      </c>
      <c r="E39" s="48" t="n">
        <f aca="false">Paysheet!AK38</f>
        <v>161.913256128</v>
      </c>
      <c r="F39" s="48" t="n">
        <f aca="false">D39</f>
        <v>7.5816</v>
      </c>
      <c r="G39" s="57" t="n">
        <f aca="false">E39</f>
        <v>161.913256128</v>
      </c>
      <c r="H39" s="57" t="n">
        <f aca="false">D39+F39</f>
        <v>15.1632</v>
      </c>
      <c r="I39" s="57" t="n">
        <f aca="false">E39+G39</f>
        <v>323.826512256</v>
      </c>
    </row>
    <row r="40" customFormat="false" ht="15.75" hidden="false" customHeight="true" outlineLevel="0" collapsed="false">
      <c r="A40" s="41" t="str">
        <f aca="false">Paysheet!A39</f>
        <v>AES-E023</v>
      </c>
      <c r="B40" s="71" t="str">
        <f aca="false">Paysheet!B39</f>
        <v>Tawanda</v>
      </c>
      <c r="C40" s="71" t="str">
        <f aca="false">Paysheet!C39</f>
        <v>Svosve</v>
      </c>
      <c r="D40" s="235" t="n">
        <f aca="false">Paysheet!AJ39</f>
        <v>7.5816</v>
      </c>
      <c r="E40" s="48" t="n">
        <f aca="false">Paysheet!AK39</f>
        <v>161.913256128</v>
      </c>
      <c r="F40" s="48" t="n">
        <f aca="false">D40</f>
        <v>7.5816</v>
      </c>
      <c r="G40" s="57" t="n">
        <f aca="false">E40</f>
        <v>161.913256128</v>
      </c>
      <c r="H40" s="57" t="n">
        <f aca="false">D40+F40</f>
        <v>15.1632</v>
      </c>
      <c r="I40" s="57" t="n">
        <f aca="false">E40+G40</f>
        <v>323.826512256</v>
      </c>
    </row>
    <row r="41" customFormat="false" ht="15.75" hidden="false" customHeight="true" outlineLevel="0" collapsed="false">
      <c r="A41" s="41" t="str">
        <f aca="false">Paysheet!A40</f>
        <v>AES-E024</v>
      </c>
      <c r="B41" s="71" t="str">
        <f aca="false">Paysheet!B40</f>
        <v>Gamuchirai</v>
      </c>
      <c r="C41" s="71" t="str">
        <f aca="false">Paysheet!C40</f>
        <v>Mukanya</v>
      </c>
      <c r="D41" s="235" t="n">
        <f aca="false">Paysheet!AJ40</f>
        <v>7.5816</v>
      </c>
      <c r="E41" s="48" t="n">
        <f aca="false">Paysheet!AK40</f>
        <v>161.913256128</v>
      </c>
      <c r="F41" s="48" t="n">
        <f aca="false">D41</f>
        <v>7.5816</v>
      </c>
      <c r="G41" s="57" t="n">
        <f aca="false">E41</f>
        <v>161.913256128</v>
      </c>
      <c r="H41" s="57" t="n">
        <f aca="false">D41+F41</f>
        <v>15.1632</v>
      </c>
      <c r="I41" s="57" t="n">
        <f aca="false">E41+G41</f>
        <v>323.826512256</v>
      </c>
    </row>
    <row r="42" customFormat="false" ht="15.75" hidden="false" customHeight="true" outlineLevel="0" collapsed="false">
      <c r="A42" s="41" t="str">
        <f aca="false">Paysheet!A41</f>
        <v>AES-E025</v>
      </c>
      <c r="B42" s="71" t="str">
        <f aca="false">Paysheet!B41</f>
        <v>Rutendo</v>
      </c>
      <c r="C42" s="71" t="str">
        <f aca="false">Paysheet!C41</f>
        <v>Mhike</v>
      </c>
      <c r="D42" s="235" t="n">
        <f aca="false">Paysheet!AJ41</f>
        <v>7.29</v>
      </c>
      <c r="E42" s="48" t="n">
        <f aca="false">Paysheet!AK41</f>
        <v>155.6858232</v>
      </c>
      <c r="F42" s="48" t="n">
        <f aca="false">D42</f>
        <v>7.29</v>
      </c>
      <c r="G42" s="57" t="n">
        <f aca="false">E42</f>
        <v>155.6858232</v>
      </c>
      <c r="H42" s="57" t="n">
        <f aca="false">D42+F42</f>
        <v>14.58</v>
      </c>
      <c r="I42" s="57" t="n">
        <f aca="false">E42+G42</f>
        <v>311.3716464</v>
      </c>
    </row>
    <row r="43" customFormat="false" ht="15.75" hidden="false" customHeight="true" outlineLevel="0" collapsed="false">
      <c r="A43" s="41" t="str">
        <f aca="false">Paysheet!A42</f>
        <v>AES-E026</v>
      </c>
      <c r="B43" s="71" t="str">
        <f aca="false">Paysheet!B42</f>
        <v>Brighton </v>
      </c>
      <c r="C43" s="71" t="str">
        <f aca="false">Paysheet!C42</f>
        <v>Chinamasa2Z</v>
      </c>
      <c r="D43" s="235" t="n">
        <f aca="false">Paysheet!AJ42</f>
        <v>4.374</v>
      </c>
      <c r="E43" s="48" t="n">
        <f aca="false">Paysheet!AK42</f>
        <v>93.41149392</v>
      </c>
      <c r="F43" s="48" t="n">
        <f aca="false">D43</f>
        <v>4.374</v>
      </c>
      <c r="G43" s="57" t="n">
        <f aca="false">E43</f>
        <v>93.41149392</v>
      </c>
      <c r="H43" s="57" t="n">
        <f aca="false">D43+F43</f>
        <v>8.748</v>
      </c>
      <c r="I43" s="57" t="n">
        <f aca="false">E43+G43</f>
        <v>186.82298784</v>
      </c>
    </row>
    <row r="44" customFormat="false" ht="15.75" hidden="false" customHeight="true" outlineLevel="0" collapsed="false">
      <c r="A44" s="41" t="str">
        <f aca="false">Paysheet!A43</f>
        <v>AES-E032</v>
      </c>
      <c r="B44" s="71" t="str">
        <f aca="false">Paysheet!B43</f>
        <v>Mazvita</v>
      </c>
      <c r="C44" s="71" t="str">
        <f aca="false">Paysheet!C43</f>
        <v>Mhererwa</v>
      </c>
      <c r="D44" s="235" t="n">
        <f aca="false">Paysheet!AJ43</f>
        <v>7.5816</v>
      </c>
      <c r="E44" s="48" t="n">
        <f aca="false">Paysheet!AK43</f>
        <v>161.913256128</v>
      </c>
      <c r="F44" s="48" t="n">
        <f aca="false">D44</f>
        <v>7.5816</v>
      </c>
      <c r="G44" s="57" t="n">
        <f aca="false">E44</f>
        <v>161.913256128</v>
      </c>
      <c r="H44" s="57" t="n">
        <f aca="false">D44+F44</f>
        <v>15.1632</v>
      </c>
      <c r="I44" s="57" t="n">
        <f aca="false">E44+G44</f>
        <v>323.826512256</v>
      </c>
    </row>
    <row r="45" customFormat="false" ht="15.75" hidden="false" customHeight="true" outlineLevel="0" collapsed="false">
      <c r="A45" s="41" t="n">
        <f aca="false">Paysheet!A44</f>
        <v>0</v>
      </c>
      <c r="B45" s="82"/>
      <c r="C45" s="82"/>
      <c r="D45" s="236"/>
      <c r="G45" s="3"/>
      <c r="H45" s="3"/>
      <c r="I45" s="3"/>
    </row>
    <row r="46" customFormat="false" ht="15" hidden="false" customHeight="false" outlineLevel="0" collapsed="false">
      <c r="D46" s="4" t="e">
        <f aca="false">SUM(D4:D44)</f>
        <v>#NAME?</v>
      </c>
      <c r="E46" s="4" t="e">
        <f aca="false">SUM(E4:E44)</f>
        <v>#NAME?</v>
      </c>
      <c r="F46" s="4" t="e">
        <f aca="false">SUM(F4:F44)</f>
        <v>#NAME?</v>
      </c>
      <c r="G46" s="4" t="e">
        <f aca="false">SUM(G4:G44)</f>
        <v>#NAME?</v>
      </c>
      <c r="H46" s="4" t="e">
        <f aca="false">SUM(H4:H44)</f>
        <v>#NAME?</v>
      </c>
      <c r="I46" s="4" t="e">
        <f aca="false">SUM(I4:I44)</f>
        <v>#NAME?</v>
      </c>
    </row>
    <row r="47" customFormat="false" ht="15" hidden="false" customHeight="false" outlineLevel="0" collapsed="false">
      <c r="G47" s="1" t="s">
        <v>455</v>
      </c>
      <c r="H47" s="3" t="e">
        <f aca="false">H46*0.0177</f>
        <v>#NAME?</v>
      </c>
      <c r="I47" s="3" t="e">
        <f aca="false">I46*0.0177</f>
        <v>#NAME?</v>
      </c>
    </row>
    <row r="48" customFormat="false" ht="15.75" hidden="false" customHeight="true" outlineLevel="0" collapsed="false">
      <c r="D48" s="3"/>
      <c r="G48" s="27" t="s">
        <v>456</v>
      </c>
      <c r="H48" s="232" t="e">
        <f aca="false">H46+H47</f>
        <v>#NAME?</v>
      </c>
      <c r="I48" s="232" t="e">
        <f aca="false">I46+I47</f>
        <v>#NAME?</v>
      </c>
    </row>
    <row r="49" customFormat="false" ht="15.75" hidden="false" customHeight="true" outlineLevel="0" collapsed="false"/>
    <row r="50" customFormat="false" ht="15" hidden="false" customHeight="false" outlineLevel="0" collapsed="false">
      <c r="H50" s="3"/>
      <c r="I50" s="3"/>
    </row>
    <row r="51" customFormat="false" ht="15" hidden="false" customHeight="false" outlineLevel="0" collapsed="false">
      <c r="G51" s="1" t="s">
        <v>457</v>
      </c>
      <c r="H51" s="3" t="e">
        <f aca="false">F46+H47</f>
        <v>#NAME?</v>
      </c>
      <c r="I51" s="3" t="e">
        <f aca="false">E46+I47</f>
        <v>#NAME?</v>
      </c>
    </row>
    <row r="52" customFormat="false" ht="15" hidden="false" customHeight="false" outlineLevel="0" collapsed="false">
      <c r="G52" s="3"/>
      <c r="H52" s="3"/>
    </row>
    <row r="53" customFormat="false" ht="15" hidden="false" customHeight="false" outlineLevel="0" collapsed="false">
      <c r="G53" s="3"/>
      <c r="H53" s="3"/>
    </row>
    <row r="54" customFormat="false" ht="15" hidden="false" customHeight="false" outlineLevel="0" collapsed="false">
      <c r="G54" s="3"/>
      <c r="H54" s="3"/>
    </row>
  </sheetData>
  <mergeCells count="3">
    <mergeCell ref="D3:E3"/>
    <mergeCell ref="F3:G3"/>
    <mergeCell ref="H3:I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D48" activeCellId="0" sqref="D4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12.29"/>
    <col collapsed="false" customWidth="true" hidden="false" outlineLevel="0" max="3" min="3" style="1" width="13.29"/>
    <col collapsed="false" customWidth="true" hidden="false" outlineLevel="0" max="4" min="4" style="1" width="11.43"/>
    <col collapsed="false" customWidth="true" hidden="false" outlineLevel="0" max="6" min="5" style="1" width="11.14"/>
    <col collapsed="false" customWidth="true" hidden="false" outlineLevel="0" max="7" min="7" style="1" width="15"/>
    <col collapsed="false" customWidth="true" hidden="false" outlineLevel="0" max="8" min="8" style="1" width="11.29"/>
    <col collapsed="false" customWidth="true" hidden="false" outlineLevel="0" max="9" min="9" style="1" width="15.14"/>
  </cols>
  <sheetData>
    <row r="1" customFormat="false" ht="15" hidden="false" customHeight="false" outlineLevel="0" collapsed="false">
      <c r="A1" s="237" t="s">
        <v>409</v>
      </c>
      <c r="B1" s="237"/>
      <c r="C1" s="237"/>
      <c r="D1" s="238" t="s">
        <v>26</v>
      </c>
      <c r="E1" s="238"/>
      <c r="F1" s="238"/>
      <c r="G1" s="239" t="s">
        <v>25</v>
      </c>
      <c r="H1" s="239"/>
      <c r="I1" s="239"/>
    </row>
    <row r="2" customFormat="false" ht="15" hidden="false" customHeight="false" outlineLevel="0" collapsed="false">
      <c r="A2" s="41"/>
      <c r="B2" s="29" t="s">
        <v>29</v>
      </c>
      <c r="C2" s="29" t="s">
        <v>30</v>
      </c>
      <c r="D2" s="29" t="s">
        <v>383</v>
      </c>
      <c r="E2" s="29" t="s">
        <v>64</v>
      </c>
      <c r="F2" s="240" t="s">
        <v>54</v>
      </c>
      <c r="G2" s="29" t="s">
        <v>383</v>
      </c>
      <c r="H2" s="29" t="s">
        <v>64</v>
      </c>
      <c r="I2" s="240" t="s">
        <v>54</v>
      </c>
    </row>
    <row r="3" customFormat="false" ht="15.75" hidden="false" customHeight="true" outlineLevel="0" collapsed="false">
      <c r="A3" s="41" t="str">
        <f aca="false">Paysheet!A4</f>
        <v>AES-E046</v>
      </c>
      <c r="B3" s="71" t="str">
        <f aca="false">Paysheet!B4</f>
        <v>Tarisai</v>
      </c>
      <c r="C3" s="71" t="str">
        <f aca="false">Paysheet!C4</f>
        <v>Zinyama</v>
      </c>
      <c r="D3" s="57" t="n">
        <f aca="false">Paysheet!AU4</f>
        <v>431.429285647841</v>
      </c>
      <c r="E3" s="57" t="n">
        <f aca="false">Paysheet!AV4</f>
        <v>12.9428785694352</v>
      </c>
      <c r="F3" s="241" t="n">
        <f aca="false">D3+E3</f>
        <v>444.372164217276</v>
      </c>
      <c r="G3" s="57" t="n">
        <f aca="false">Paysheet!AW4</f>
        <v>13005.1356055119</v>
      </c>
      <c r="H3" s="57" t="n">
        <f aca="false">Paysheet!AX4</f>
        <v>390.154068165358</v>
      </c>
      <c r="I3" s="241" t="n">
        <f aca="false">G3+H3</f>
        <v>13395.2896736773</v>
      </c>
    </row>
    <row r="4" customFormat="false" ht="15.75" hidden="false" customHeight="true" outlineLevel="0" collapsed="false">
      <c r="A4" s="41" t="str">
        <f aca="false">Paysheet!A5</f>
        <v>AES-E049</v>
      </c>
      <c r="B4" s="71" t="str">
        <f aca="false">Paysheet!B5</f>
        <v>Marvellous</v>
      </c>
      <c r="C4" s="71" t="str">
        <f aca="false">Paysheet!C5</f>
        <v>Chakanetsa</v>
      </c>
      <c r="D4" s="57" t="n">
        <f aca="false">Paysheet!AU5</f>
        <v>160.674842181612</v>
      </c>
      <c r="E4" s="57" t="n">
        <f aca="false">Paysheet!AV5</f>
        <v>4.82024526544836</v>
      </c>
      <c r="F4" s="241" t="n">
        <f aca="false">D4+E4</f>
        <v>165.49508744706</v>
      </c>
      <c r="G4" s="57" t="n">
        <f aca="false">Paysheet!AW5</f>
        <v>7099.60409510565</v>
      </c>
      <c r="H4" s="57" t="n">
        <f aca="false">Paysheet!AX5</f>
        <v>212.98812285317</v>
      </c>
      <c r="I4" s="241" t="n">
        <f aca="false">G4+H4</f>
        <v>7312.59221795882</v>
      </c>
    </row>
    <row r="5" customFormat="false" ht="15.75" hidden="false" customHeight="true" outlineLevel="0" collapsed="false">
      <c r="A5" s="41" t="str">
        <f aca="false">Paysheet!A6</f>
        <v>AES-E022</v>
      </c>
      <c r="B5" s="71" t="str">
        <f aca="false">Paysheet!B6</f>
        <v>Obvious</v>
      </c>
      <c r="C5" s="71" t="str">
        <f aca="false">Paysheet!C6</f>
        <v>Mpofu</v>
      </c>
      <c r="D5" s="57" t="n">
        <f aca="false">Paysheet!AU6</f>
        <v>202.581377308161</v>
      </c>
      <c r="E5" s="57" t="n">
        <f aca="false">Paysheet!AV6</f>
        <v>6.07744131924483</v>
      </c>
      <c r="F5" s="241" t="n">
        <f aca="false">D5+E5</f>
        <v>208.658818627406</v>
      </c>
      <c r="G5" s="57" t="n">
        <f aca="false">Paysheet!AW6</f>
        <v>6217.63709604891</v>
      </c>
      <c r="H5" s="57" t="n">
        <f aca="false">Paysheet!AX6</f>
        <v>186.529112881467</v>
      </c>
      <c r="I5" s="241" t="n">
        <f aca="false">G5+H5</f>
        <v>6404.16620893038</v>
      </c>
    </row>
    <row r="6" customFormat="false" ht="15.75" hidden="false" customHeight="true" outlineLevel="0" collapsed="false">
      <c r="A6" s="41" t="str">
        <f aca="false">Paysheet!A7</f>
        <v>AES-E035</v>
      </c>
      <c r="B6" s="71" t="str">
        <f aca="false">Paysheet!B7</f>
        <v>Polite</v>
      </c>
      <c r="C6" s="71" t="str">
        <f aca="false">Paysheet!C7</f>
        <v>Mudarikwa</v>
      </c>
      <c r="D6" s="57" t="n">
        <f aca="false">Paysheet!AU7</f>
        <v>101.13735457166</v>
      </c>
      <c r="E6" s="57" t="n">
        <f aca="false">Paysheet!AV7</f>
        <v>3.03412063714981</v>
      </c>
      <c r="F6" s="241" t="n">
        <f aca="false">D6+E6</f>
        <v>104.17147520881</v>
      </c>
      <c r="G6" s="57" t="n">
        <f aca="false">Paysheet!AW7</f>
        <v>3359.41470208207</v>
      </c>
      <c r="H6" s="57" t="n">
        <f aca="false">Paysheet!AX7</f>
        <v>100.782441062462</v>
      </c>
      <c r="I6" s="241" t="n">
        <f aca="false">G6+H6</f>
        <v>3460.19714314454</v>
      </c>
    </row>
    <row r="7" customFormat="false" ht="15.75" hidden="false" customHeight="true" outlineLevel="0" collapsed="false">
      <c r="A7" s="41" t="str">
        <f aca="false">Paysheet!A8</f>
        <v>AES-E041</v>
      </c>
      <c r="B7" s="71" t="str">
        <f aca="false">Paysheet!B8</f>
        <v>Chenai</v>
      </c>
      <c r="C7" s="71" t="str">
        <f aca="false">Paysheet!C8</f>
        <v>Runesu</v>
      </c>
      <c r="D7" s="57" t="n">
        <f aca="false">Paysheet!AU8</f>
        <v>161.995275851508</v>
      </c>
      <c r="E7" s="57" t="n">
        <f aca="false">Paysheet!AV8</f>
        <v>4.85985827554525</v>
      </c>
      <c r="F7" s="241" t="n">
        <f aca="false">D7+E7</f>
        <v>166.855134127053</v>
      </c>
      <c r="G7" s="57" t="n">
        <f aca="false">Paysheet!AW8</f>
        <v>5753.8404184092</v>
      </c>
      <c r="H7" s="57" t="n">
        <f aca="false">Paysheet!AX8</f>
        <v>172.615212552276</v>
      </c>
      <c r="I7" s="241" t="n">
        <f aca="false">G7+H7</f>
        <v>5926.45563096148</v>
      </c>
    </row>
    <row r="8" customFormat="false" ht="15.75" hidden="false" customHeight="true" outlineLevel="0" collapsed="false">
      <c r="A8" s="41" t="str">
        <f aca="false">Paysheet!A9</f>
        <v>AES-E033</v>
      </c>
      <c r="B8" s="71" t="str">
        <f aca="false">Paysheet!B9</f>
        <v>Tafadzwa</v>
      </c>
      <c r="C8" s="71" t="str">
        <f aca="false">Paysheet!C9</f>
        <v>Mafukidze</v>
      </c>
      <c r="D8" s="57" t="n">
        <f aca="false">Paysheet!AU9</f>
        <v>68.6788600468496</v>
      </c>
      <c r="E8" s="57" t="n">
        <f aca="false">Paysheet!AV9</f>
        <v>2.06036580140549</v>
      </c>
      <c r="F8" s="241" t="n">
        <f aca="false">D8+E8</f>
        <v>70.7392258482551</v>
      </c>
      <c r="G8" s="57" t="n">
        <f aca="false">Paysheet!AW9</f>
        <v>2073.34274580335</v>
      </c>
      <c r="H8" s="57" t="n">
        <f aca="false">Paysheet!AX9</f>
        <v>62.2002823741004</v>
      </c>
      <c r="I8" s="241" t="n">
        <f aca="false">G8+H8</f>
        <v>2135.54302817745</v>
      </c>
    </row>
    <row r="9" customFormat="false" ht="15.75" hidden="false" customHeight="true" outlineLevel="0" collapsed="false">
      <c r="A9" s="41" t="str">
        <f aca="false">Paysheet!A10</f>
        <v>AES-E034</v>
      </c>
      <c r="B9" s="71" t="str">
        <f aca="false">Paysheet!B10</f>
        <v>Kudzai</v>
      </c>
      <c r="C9" s="71" t="str">
        <f aca="false">Paysheet!C10</f>
        <v>Gwatidzo</v>
      </c>
      <c r="D9" s="57" t="n">
        <f aca="false">Paysheet!AU10</f>
        <v>98.332179897374</v>
      </c>
      <c r="E9" s="57" t="n">
        <f aca="false">Paysheet!AV10</f>
        <v>2.94996539692122</v>
      </c>
      <c r="F9" s="241" t="n">
        <f aca="false">D9+E9</f>
        <v>101.282145294295</v>
      </c>
      <c r="G9" s="57" t="n">
        <f aca="false">Paysheet!AW10</f>
        <v>2879.17919106161</v>
      </c>
      <c r="H9" s="57" t="n">
        <f aca="false">Paysheet!AX10</f>
        <v>86.3753757318484</v>
      </c>
      <c r="I9" s="241" t="n">
        <f aca="false">G9+H9</f>
        <v>2965.55456679346</v>
      </c>
    </row>
    <row r="10" customFormat="false" ht="15.75" hidden="false" customHeight="true" outlineLevel="0" collapsed="false">
      <c r="A10" s="41" t="str">
        <f aca="false">Paysheet!A11</f>
        <v>AES-E036</v>
      </c>
      <c r="B10" s="71" t="str">
        <f aca="false">Paysheet!B11</f>
        <v>Dadirai</v>
      </c>
      <c r="C10" s="71" t="str">
        <f aca="false">Paysheet!C11</f>
        <v>Nyakudya</v>
      </c>
      <c r="D10" s="57" t="n">
        <f aca="false">Paysheet!AU11</f>
        <v>25.9896691153942</v>
      </c>
      <c r="E10" s="57" t="n">
        <f aca="false">Paysheet!AV11</f>
        <v>0.779690073461826</v>
      </c>
      <c r="F10" s="241" t="n">
        <f aca="false">D10+E10</f>
        <v>26.769359188856</v>
      </c>
      <c r="G10" s="57" t="n">
        <f aca="false">Paysheet!AW11</f>
        <v>799.62211255364</v>
      </c>
      <c r="H10" s="57" t="n">
        <f aca="false">Paysheet!AX11</f>
        <v>23.9886633766092</v>
      </c>
      <c r="I10" s="241" t="n">
        <f aca="false">G10+H10</f>
        <v>823.61077593025</v>
      </c>
    </row>
    <row r="11" customFormat="false" ht="15.75" hidden="false" customHeight="true" outlineLevel="0" collapsed="false">
      <c r="A11" s="41" t="str">
        <f aca="false">Paysheet!A12</f>
        <v>AES-E037</v>
      </c>
      <c r="B11" s="71" t="str">
        <f aca="false">Paysheet!B12</f>
        <v>Tarisai</v>
      </c>
      <c r="C11" s="71" t="str">
        <f aca="false">Paysheet!C12</f>
        <v>Chidzambwa</v>
      </c>
      <c r="D11" s="57" t="n">
        <f aca="false">Paysheet!AU12</f>
        <v>25.9896691153942</v>
      </c>
      <c r="E11" s="57" t="n">
        <f aca="false">Paysheet!AV12</f>
        <v>0.779690073461826</v>
      </c>
      <c r="F11" s="241" t="n">
        <f aca="false">D11+E11</f>
        <v>26.769359188856</v>
      </c>
      <c r="G11" s="57" t="n">
        <f aca="false">Paysheet!AW12</f>
        <v>799.62211255364</v>
      </c>
      <c r="H11" s="57" t="n">
        <f aca="false">Paysheet!AX12</f>
        <v>23.9886633766092</v>
      </c>
      <c r="I11" s="241" t="n">
        <f aca="false">G11+H11</f>
        <v>823.61077593025</v>
      </c>
    </row>
    <row r="12" customFormat="false" ht="15.75" hidden="false" customHeight="true" outlineLevel="0" collapsed="false">
      <c r="A12" s="41" t="str">
        <f aca="false">Paysheet!A13</f>
        <v>AES-E015</v>
      </c>
      <c r="B12" s="71" t="str">
        <f aca="false">Paysheet!B13</f>
        <v>Believe</v>
      </c>
      <c r="C12" s="71" t="str">
        <f aca="false">Paysheet!C13</f>
        <v>Mhererwa</v>
      </c>
      <c r="D12" s="57" t="n">
        <f aca="false">Paysheet!AU13</f>
        <v>29.9872071305492</v>
      </c>
      <c r="E12" s="57" t="n">
        <f aca="false">Paysheet!AV13</f>
        <v>0.899616213916476</v>
      </c>
      <c r="F12" s="241" t="n">
        <f aca="false">D12+E12</f>
        <v>30.8868233444657</v>
      </c>
      <c r="G12" s="57" t="n">
        <f aca="false">Paysheet!AW13</f>
        <v>1025.90211288528</v>
      </c>
      <c r="H12" s="57" t="n">
        <f aca="false">Paysheet!AX13</f>
        <v>30.7770633865583</v>
      </c>
      <c r="I12" s="241" t="n">
        <f aca="false">G12+H12</f>
        <v>1056.67917627183</v>
      </c>
    </row>
    <row r="13" customFormat="false" ht="15.75" hidden="false" customHeight="true" outlineLevel="0" collapsed="false">
      <c r="A13" s="41" t="str">
        <f aca="false">Paysheet!A14</f>
        <v>AES-E016</v>
      </c>
      <c r="B13" s="71" t="str">
        <f aca="false">Paysheet!B14</f>
        <v>Shingai</v>
      </c>
      <c r="C13" s="71" t="str">
        <f aca="false">Paysheet!C14</f>
        <v>Rusike</v>
      </c>
      <c r="D13" s="57" t="n">
        <f aca="false">Paysheet!AU14</f>
        <v>30.0648294723013</v>
      </c>
      <c r="E13" s="57" t="n">
        <f aca="false">Paysheet!AV14</f>
        <v>0.901944884169039</v>
      </c>
      <c r="F13" s="241" t="n">
        <f aca="false">D13+E13</f>
        <v>30.9667743564703</v>
      </c>
      <c r="G13" s="57" t="n">
        <f aca="false">Paysheet!AW14</f>
        <v>1028.15458290997</v>
      </c>
      <c r="H13" s="57" t="n">
        <f aca="false">Paysheet!AX14</f>
        <v>30.8446374872991</v>
      </c>
      <c r="I13" s="241" t="n">
        <f aca="false">G13+H13</f>
        <v>1058.99922039727</v>
      </c>
    </row>
    <row r="14" customFormat="false" ht="15.75" hidden="false" customHeight="true" outlineLevel="0" collapsed="false">
      <c r="A14" s="41" t="str">
        <f aca="false">Paysheet!A15</f>
        <v>AES-E018</v>
      </c>
      <c r="B14" s="71" t="str">
        <f aca="false">Paysheet!B15</f>
        <v>Gamuchirai</v>
      </c>
      <c r="C14" s="71" t="str">
        <f aca="false">Paysheet!C15</f>
        <v>Chirenda</v>
      </c>
      <c r="D14" s="57" t="n">
        <f aca="false">Paysheet!AU15</f>
        <v>30.0648294723013</v>
      </c>
      <c r="E14" s="57" t="n">
        <f aca="false">Paysheet!AV15</f>
        <v>0.901944884169039</v>
      </c>
      <c r="F14" s="241" t="n">
        <f aca="false">D14+E14</f>
        <v>30.9667743564703</v>
      </c>
      <c r="G14" s="57" t="n">
        <f aca="false">Paysheet!AW15</f>
        <v>1028.15458290997</v>
      </c>
      <c r="H14" s="57" t="n">
        <f aca="false">Paysheet!AX15</f>
        <v>30.8446374872991</v>
      </c>
      <c r="I14" s="241" t="n">
        <f aca="false">G14+H14</f>
        <v>1058.99922039727</v>
      </c>
    </row>
    <row r="15" customFormat="false" ht="15.75" hidden="false" customHeight="true" outlineLevel="0" collapsed="false">
      <c r="A15" s="41" t="str">
        <f aca="false">Paysheet!A16</f>
        <v>AES-E013</v>
      </c>
      <c r="B15" s="71" t="str">
        <f aca="false">Paysheet!B16</f>
        <v>Chido</v>
      </c>
      <c r="C15" s="71" t="str">
        <f aca="false">Paysheet!C16</f>
        <v>Chigumba</v>
      </c>
      <c r="D15" s="57" t="n">
        <f aca="false">Paysheet!AU16</f>
        <v>29.9872071305492</v>
      </c>
      <c r="E15" s="57" t="n">
        <f aca="false">Paysheet!AV16</f>
        <v>0.899616213916476</v>
      </c>
      <c r="F15" s="241" t="n">
        <f aca="false">D15+E15</f>
        <v>30.8868233444657</v>
      </c>
      <c r="G15" s="57" t="n">
        <f aca="false">Paysheet!AW16</f>
        <v>1025.90211288528</v>
      </c>
      <c r="H15" s="57" t="n">
        <f aca="false">Paysheet!AX16</f>
        <v>30.7770633865583</v>
      </c>
      <c r="I15" s="241" t="n">
        <f aca="false">G15+H15</f>
        <v>1056.67917627183</v>
      </c>
    </row>
    <row r="16" customFormat="false" ht="15.75" hidden="false" customHeight="true" outlineLevel="0" collapsed="false">
      <c r="A16" s="41" t="str">
        <f aca="false">Paysheet!A17</f>
        <v>AES-E045</v>
      </c>
      <c r="B16" s="71" t="str">
        <f aca="false">Paysheet!B17</f>
        <v>Tinotenda</v>
      </c>
      <c r="C16" s="71" t="str">
        <f aca="false">Paysheet!C17</f>
        <v>Nyagura</v>
      </c>
      <c r="D16" s="57" t="n">
        <f aca="false">Paysheet!AU17</f>
        <v>52.7872335699347</v>
      </c>
      <c r="E16" s="57" t="n">
        <f aca="false">Paysheet!AV17</f>
        <v>1.58361700709804</v>
      </c>
      <c r="F16" s="241" t="n">
        <f aca="false">D16+E16</f>
        <v>54.3708505770328</v>
      </c>
      <c r="G16" s="57" t="n">
        <f aca="false">Paysheet!AW17</f>
        <v>1700.24205696724</v>
      </c>
      <c r="H16" s="57" t="n">
        <f aca="false">Paysheet!AX17</f>
        <v>51.0072617090171</v>
      </c>
      <c r="I16" s="241" t="n">
        <f aca="false">G16+H16</f>
        <v>1751.24931867625</v>
      </c>
    </row>
    <row r="17" customFormat="false" ht="15.75" hidden="false" customHeight="true" outlineLevel="0" collapsed="false">
      <c r="A17" s="41" t="str">
        <f aca="false">Paysheet!A18</f>
        <v>AES-E048</v>
      </c>
      <c r="B17" s="71" t="str">
        <f aca="false">Paysheet!B18</f>
        <v>Nomatter</v>
      </c>
      <c r="C17" s="71" t="str">
        <f aca="false">Paysheet!C18</f>
        <v>Nhira</v>
      </c>
      <c r="D17" s="57" t="n">
        <f aca="false">Paysheet!AU18</f>
        <v>56.9953722627182</v>
      </c>
      <c r="E17" s="57" t="n">
        <f aca="false">Paysheet!AV18</f>
        <v>1.70986116788154</v>
      </c>
      <c r="F17" s="241" t="n">
        <f aca="false">D17+E17</f>
        <v>58.7052334305997</v>
      </c>
      <c r="G17" s="57" t="n">
        <f aca="false">Paysheet!AW18</f>
        <v>1752.82770154951</v>
      </c>
      <c r="H17" s="57" t="n">
        <f aca="false">Paysheet!AX18</f>
        <v>52.5848310464854</v>
      </c>
      <c r="I17" s="241" t="n">
        <f aca="false">G17+H17</f>
        <v>1805.412532596</v>
      </c>
    </row>
    <row r="18" customFormat="false" ht="15.75" hidden="false" customHeight="true" outlineLevel="0" collapsed="false">
      <c r="A18" s="41" t="str">
        <f aca="false">Paysheet!A19</f>
        <v>AES-E043</v>
      </c>
      <c r="B18" s="71" t="str">
        <f aca="false">Paysheet!B19</f>
        <v>Zvikomborero</v>
      </c>
      <c r="C18" s="71" t="str">
        <f aca="false">Paysheet!C19</f>
        <v>Mpofu</v>
      </c>
      <c r="D18" s="57" t="n">
        <f aca="false">Paysheet!AU19</f>
        <v>41.8639266174578</v>
      </c>
      <c r="E18" s="57" t="n">
        <f aca="false">Paysheet!AV19</f>
        <v>1.25591779852373</v>
      </c>
      <c r="F18" s="241" t="n">
        <f aca="false">D18+E18</f>
        <v>43.1198444159815</v>
      </c>
      <c r="G18" s="57" t="n">
        <f aca="false">Paysheet!AW19</f>
        <v>1240.7784611103</v>
      </c>
      <c r="H18" s="57" t="n">
        <f aca="false">Paysheet!AX19</f>
        <v>37.2233538333091</v>
      </c>
      <c r="I18" s="241" t="n">
        <f aca="false">G18+H18</f>
        <v>1278.00181494361</v>
      </c>
    </row>
    <row r="19" customFormat="false" ht="15.75" hidden="false" customHeight="true" outlineLevel="0" collapsed="false">
      <c r="A19" s="41" t="str">
        <f aca="false">Paysheet!A20</f>
        <v>AES-E044</v>
      </c>
      <c r="B19" s="71" t="str">
        <f aca="false">Paysheet!B20</f>
        <v>Anesu</v>
      </c>
      <c r="C19" s="71" t="str">
        <f aca="false">Paysheet!C20</f>
        <v>Chidzambwa</v>
      </c>
      <c r="D19" s="57" t="n">
        <f aca="false">Paysheet!AU20</f>
        <v>77.6354057724958</v>
      </c>
      <c r="E19" s="57" t="n">
        <f aca="false">Paysheet!AV20</f>
        <v>2.32906217317487</v>
      </c>
      <c r="F19" s="241" t="n">
        <f aca="false">D19+E19</f>
        <v>79.9644679456706</v>
      </c>
      <c r="G19" s="57" t="n">
        <f aca="false">Paysheet!AW20</f>
        <v>2232.22809084265</v>
      </c>
      <c r="H19" s="57" t="n">
        <f aca="false">Paysheet!AX20</f>
        <v>66.9668427252795</v>
      </c>
      <c r="I19" s="241" t="n">
        <f aca="false">G19+H19</f>
        <v>2299.19493356793</v>
      </c>
    </row>
    <row r="20" customFormat="false" ht="15.75" hidden="false" customHeight="true" outlineLevel="0" collapsed="false">
      <c r="A20" s="41" t="str">
        <f aca="false">Paysheet!A21</f>
        <v>AES-E047</v>
      </c>
      <c r="B20" s="71" t="str">
        <f aca="false">Paysheet!B21</f>
        <v>Innocent</v>
      </c>
      <c r="C20" s="71" t="str">
        <f aca="false">Paysheet!C21</f>
        <v>Chihota</v>
      </c>
      <c r="D20" s="57" t="n">
        <f aca="false">Paysheet!AU21</f>
        <v>127.850621718364</v>
      </c>
      <c r="E20" s="57" t="n">
        <f aca="false">Paysheet!AV21</f>
        <v>3.83551865155093</v>
      </c>
      <c r="F20" s="241" t="n">
        <f aca="false">D20+E20</f>
        <v>131.686140369915</v>
      </c>
      <c r="G20" s="57" t="n">
        <f aca="false">Paysheet!AW21</f>
        <v>3953.19882953409</v>
      </c>
      <c r="H20" s="57" t="n">
        <f aca="false">Paysheet!AX21</f>
        <v>118.595964886023</v>
      </c>
      <c r="I20" s="241" t="n">
        <f aca="false">G20+H20</f>
        <v>4071.79479442012</v>
      </c>
    </row>
    <row r="21" customFormat="false" ht="15.75" hidden="false" customHeight="true" outlineLevel="0" collapsed="false">
      <c r="A21" s="41" t="str">
        <f aca="false">Paysheet!A22</f>
        <v>AES-E038</v>
      </c>
      <c r="B21" s="71" t="str">
        <f aca="false">Paysheet!B22</f>
        <v>Munyaradzi</v>
      </c>
      <c r="C21" s="71" t="str">
        <f aca="false">Paysheet!C22</f>
        <v>Zhou</v>
      </c>
      <c r="D21" s="57" t="n">
        <f aca="false">Paysheet!AU22</f>
        <v>30.0648294723013</v>
      </c>
      <c r="E21" s="57" t="n">
        <f aca="false">Paysheet!AV22</f>
        <v>0.901944884169039</v>
      </c>
      <c r="F21" s="241" t="n">
        <f aca="false">D21+E21</f>
        <v>30.9667743564703</v>
      </c>
      <c r="G21" s="57" t="n">
        <f aca="false">Paysheet!AW22</f>
        <v>1028.15458290997</v>
      </c>
      <c r="H21" s="57" t="n">
        <f aca="false">Paysheet!AX22</f>
        <v>30.8446374872991</v>
      </c>
      <c r="I21" s="241" t="n">
        <f aca="false">G21+H21</f>
        <v>1058.99922039727</v>
      </c>
    </row>
    <row r="22" customFormat="false" ht="15.75" hidden="false" customHeight="true" outlineLevel="0" collapsed="false">
      <c r="A22" s="41" t="str">
        <f aca="false">Paysheet!A23</f>
        <v>AES-E040</v>
      </c>
      <c r="B22" s="71" t="str">
        <f aca="false">Paysheet!B23</f>
        <v>Takudzwa</v>
      </c>
      <c r="C22" s="71" t="str">
        <f aca="false">Paysheet!C23</f>
        <v>Nyandoro</v>
      </c>
      <c r="D22" s="57" t="n">
        <f aca="false">Paysheet!AU23</f>
        <v>30.0648294723013</v>
      </c>
      <c r="E22" s="57" t="n">
        <f aca="false">Paysheet!AV23</f>
        <v>0.901944884169039</v>
      </c>
      <c r="F22" s="241" t="n">
        <f aca="false">D22+E22</f>
        <v>30.9667743564703</v>
      </c>
      <c r="G22" s="57" t="n">
        <f aca="false">Paysheet!AW23</f>
        <v>1028.15458290997</v>
      </c>
      <c r="H22" s="57" t="n">
        <f aca="false">Paysheet!AX23</f>
        <v>30.8446374872991</v>
      </c>
      <c r="I22" s="241" t="n">
        <f aca="false">G22+H22</f>
        <v>1058.99922039727</v>
      </c>
    </row>
    <row r="23" customFormat="false" ht="15.75" hidden="false" customHeight="true" outlineLevel="0" collapsed="false">
      <c r="A23" s="41" t="str">
        <f aca="false">Paysheet!A24</f>
        <v>AES-E039</v>
      </c>
      <c r="B23" s="71" t="str">
        <f aca="false">Paysheet!B24</f>
        <v>Chiedza</v>
      </c>
      <c r="C23" s="71" t="str">
        <f aca="false">Paysheet!C24</f>
        <v>Mucheki</v>
      </c>
      <c r="D23" s="57" t="n">
        <f aca="false">Paysheet!AU24</f>
        <v>33.255894129751</v>
      </c>
      <c r="E23" s="57" t="n">
        <f aca="false">Paysheet!AV24</f>
        <v>0.997676823892531</v>
      </c>
      <c r="F23" s="241" t="n">
        <f aca="false">D23+E23</f>
        <v>34.2535709536436</v>
      </c>
      <c r="G23" s="57" t="n">
        <f aca="false">Paysheet!AW24</f>
        <v>1120.27764697288</v>
      </c>
      <c r="H23" s="57" t="n">
        <f aca="false">Paysheet!AX24</f>
        <v>33.6083294091865</v>
      </c>
      <c r="I23" s="241" t="n">
        <f aca="false">G23+H23</f>
        <v>1153.88597638207</v>
      </c>
    </row>
    <row r="24" customFormat="false" ht="15.75" hidden="false" customHeight="true" outlineLevel="0" collapsed="false">
      <c r="A24" s="41" t="str">
        <f aca="false">Paysheet!A25</f>
        <v>AES-E010</v>
      </c>
      <c r="B24" s="71" t="str">
        <f aca="false">Paysheet!B25</f>
        <v>Farai</v>
      </c>
      <c r="C24" s="71" t="str">
        <f aca="false">Paysheet!C25</f>
        <v>Dhliwayo</v>
      </c>
      <c r="D24" s="57" t="n">
        <f aca="false">Paysheet!AU25</f>
        <v>33.0998680503553</v>
      </c>
      <c r="E24" s="57" t="n">
        <f aca="false">Paysheet!AV25</f>
        <v>0.992996041510658</v>
      </c>
      <c r="F24" s="241" t="n">
        <f aca="false">D24+E24</f>
        <v>34.0928640918659</v>
      </c>
      <c r="G24" s="57" t="n">
        <f aca="false">Paysheet!AW25</f>
        <v>1115.79356636496</v>
      </c>
      <c r="H24" s="57" t="n">
        <f aca="false">Paysheet!AX25</f>
        <v>33.4738069909488</v>
      </c>
      <c r="I24" s="241" t="n">
        <f aca="false">G24+H24</f>
        <v>1149.26737335591</v>
      </c>
    </row>
    <row r="25" customFormat="false" ht="15.75" hidden="false" customHeight="true" outlineLevel="0" collapsed="false">
      <c r="A25" s="41" t="str">
        <f aca="false">Paysheet!A26</f>
        <v>AES-E011</v>
      </c>
      <c r="B25" s="71" t="str">
        <f aca="false">Paysheet!B26</f>
        <v>Kundai</v>
      </c>
      <c r="C25" s="71" t="str">
        <f aca="false">Paysheet!C26</f>
        <v>Chataika</v>
      </c>
      <c r="D25" s="57" t="n">
        <f aca="false">Paysheet!AU26</f>
        <v>56.3789533255255</v>
      </c>
      <c r="E25" s="57" t="n">
        <f aca="false">Paysheet!AV26</f>
        <v>1.69136859976576</v>
      </c>
      <c r="F25" s="241" t="n">
        <f aca="false">D25+E25</f>
        <v>58.0703219252913</v>
      </c>
      <c r="G25" s="57" t="n">
        <f aca="false">Paysheet!AW26</f>
        <v>1770.11488603577</v>
      </c>
      <c r="H25" s="57" t="n">
        <f aca="false">Paysheet!AX26</f>
        <v>53.103446581073</v>
      </c>
      <c r="I25" s="241" t="n">
        <f aca="false">G25+H25</f>
        <v>1823.21833261684</v>
      </c>
    </row>
    <row r="26" customFormat="false" ht="15.75" hidden="false" customHeight="true" outlineLevel="0" collapsed="false">
      <c r="A26" s="41" t="str">
        <f aca="false">Paysheet!A27</f>
        <v>AES-E014</v>
      </c>
      <c r="B26" s="71" t="str">
        <f aca="false">Paysheet!B27</f>
        <v>Mufaro</v>
      </c>
      <c r="C26" s="71" t="str">
        <f aca="false">Paysheet!C27</f>
        <v>Nemukuyu</v>
      </c>
      <c r="D26" s="57" t="n">
        <f aca="false">Paysheet!AU27</f>
        <v>33.9044071305492</v>
      </c>
      <c r="E26" s="57" t="n">
        <f aca="false">Paysheet!AV27</f>
        <v>1.01713221391648</v>
      </c>
      <c r="F26" s="241" t="n">
        <f aca="false">D26+E26</f>
        <v>34.9215393444657</v>
      </c>
      <c r="G26" s="57" t="n">
        <f aca="false">Paysheet!AW27</f>
        <v>1159.91471829728</v>
      </c>
      <c r="H26" s="57" t="n">
        <f aca="false">Paysheet!AX27</f>
        <v>34.7974415489183</v>
      </c>
      <c r="I26" s="241" t="n">
        <f aca="false">G26+H26</f>
        <v>1194.71215984619</v>
      </c>
    </row>
    <row r="27" customFormat="false" ht="15.75" hidden="false" customHeight="true" outlineLevel="0" collapsed="false">
      <c r="A27" s="41" t="str">
        <f aca="false">Paysheet!A28</f>
        <v>AES-E019</v>
      </c>
      <c r="B27" s="71" t="str">
        <f aca="false">Paysheet!B28</f>
        <v>Rufaro</v>
      </c>
      <c r="C27" s="71" t="str">
        <f aca="false">Paysheet!C28</f>
        <v>Mashingaidze</v>
      </c>
      <c r="D27" s="57" t="n">
        <f aca="false">Paysheet!AU28</f>
        <v>48.4411225216973</v>
      </c>
      <c r="E27" s="57" t="n">
        <f aca="false">Paysheet!AV28</f>
        <v>1.45323367565092</v>
      </c>
      <c r="F27" s="241" t="n">
        <f aca="false">D27+E27</f>
        <v>49.8943561973483</v>
      </c>
      <c r="G27" s="57" t="n">
        <f aca="false">Paysheet!AW28</f>
        <v>1549.55545312704</v>
      </c>
      <c r="H27" s="57" t="n">
        <f aca="false">Paysheet!AX28</f>
        <v>46.4866635938112</v>
      </c>
      <c r="I27" s="241" t="n">
        <f aca="false">G27+H27</f>
        <v>1596.04211672085</v>
      </c>
    </row>
    <row r="28" customFormat="false" ht="15.75" hidden="false" customHeight="true" outlineLevel="0" collapsed="false">
      <c r="A28" s="41" t="str">
        <f aca="false">Paysheet!A29</f>
        <v>AES-E017</v>
      </c>
      <c r="B28" s="71" t="str">
        <f aca="false">Paysheet!B29</f>
        <v>Ropafadzo</v>
      </c>
      <c r="C28" s="71" t="str">
        <f aca="false">Paysheet!C29</f>
        <v>Mangwende</v>
      </c>
      <c r="D28" s="57" t="n">
        <f aca="false">Paysheet!AU29</f>
        <v>29.2115749832904</v>
      </c>
      <c r="E28" s="57" t="n">
        <f aca="false">Paysheet!AV29</f>
        <v>0.876347249498711</v>
      </c>
      <c r="F28" s="241" t="n">
        <f aca="false">D28+E28</f>
        <v>30.0879222327891</v>
      </c>
      <c r="G28" s="57" t="n">
        <f aca="false">Paysheet!AW29</f>
        <v>1003.36162861957</v>
      </c>
      <c r="H28" s="57" t="n">
        <f aca="false">Paysheet!AX29</f>
        <v>30.100848858587</v>
      </c>
      <c r="I28" s="241" t="n">
        <f aca="false">G28+H28</f>
        <v>1033.46247747815</v>
      </c>
    </row>
    <row r="29" customFormat="false" ht="15.75" hidden="false" customHeight="true" outlineLevel="0" collapsed="false">
      <c r="A29" s="41" t="str">
        <f aca="false">Paysheet!A30</f>
        <v>AES-E042</v>
      </c>
      <c r="B29" s="71" t="str">
        <f aca="false">Paysheet!B30</f>
        <v>Vimbai</v>
      </c>
      <c r="C29" s="71" t="str">
        <f aca="false">Paysheet!C30</f>
        <v>Mpofu</v>
      </c>
      <c r="D29" s="57" t="n">
        <f aca="false">Paysheet!AU30</f>
        <v>36.6395187115997</v>
      </c>
      <c r="E29" s="57" t="n">
        <f aca="false">Paysheet!AV30</f>
        <v>1.09918556134799</v>
      </c>
      <c r="F29" s="241" t="n">
        <f aca="false">D29+E29</f>
        <v>37.7387042729477</v>
      </c>
      <c r="G29" s="57" t="n">
        <f aca="false">Paysheet!AW30</f>
        <v>1238.47541892998</v>
      </c>
      <c r="H29" s="57" t="n">
        <f aca="false">Paysheet!AX30</f>
        <v>37.1542625678993</v>
      </c>
      <c r="I29" s="241" t="n">
        <f aca="false">G29+H29</f>
        <v>1275.62968149787</v>
      </c>
    </row>
    <row r="30" customFormat="false" ht="15.75" hidden="false" customHeight="true" outlineLevel="0" collapsed="false">
      <c r="A30" s="41" t="e">
        <f aca="false">paysheet!#ref!</f>
        <v>#NAME?</v>
      </c>
      <c r="B30" s="71" t="e">
        <f aca="false">paysheet!#ref!</f>
        <v>#NAME?</v>
      </c>
      <c r="C30" s="71" t="e">
        <f aca="false">paysheet!#ref!</f>
        <v>#NAME?</v>
      </c>
      <c r="D30" s="57" t="e">
        <f aca="false">paysheet!#ref!</f>
        <v>#NAME?</v>
      </c>
      <c r="E30" s="57" t="e">
        <f aca="false">paysheet!#ref!</f>
        <v>#NAME?</v>
      </c>
      <c r="F30" s="241" t="e">
        <f aca="false">D30+E30</f>
        <v>#NAME?</v>
      </c>
      <c r="G30" s="57" t="e">
        <f aca="false">paysheet!#ref!</f>
        <v>#NAME?</v>
      </c>
      <c r="H30" s="57" t="e">
        <f aca="false">paysheet!#ref!</f>
        <v>#NAME?</v>
      </c>
      <c r="I30" s="241" t="e">
        <f aca="false">G30+H30</f>
        <v>#NAME?</v>
      </c>
    </row>
    <row r="31" customFormat="false" ht="15.75" hidden="false" customHeight="true" outlineLevel="0" collapsed="false">
      <c r="A31" s="41" t="str">
        <f aca="false">Paysheet!A31</f>
        <v>AES-E012</v>
      </c>
      <c r="B31" s="71" t="str">
        <f aca="false">Paysheet!B31</f>
        <v>Batsirai</v>
      </c>
      <c r="C31" s="71" t="str">
        <f aca="false">Paysheet!C31</f>
        <v>Gwenzi</v>
      </c>
      <c r="D31" s="57" t="n">
        <f aca="false">Paysheet!AU31</f>
        <v>53.676216938832</v>
      </c>
      <c r="E31" s="57" t="n">
        <f aca="false">Paysheet!AV31</f>
        <v>1.61028650816496</v>
      </c>
      <c r="F31" s="241" t="n">
        <f aca="false">D31+E31</f>
        <v>55.286503446997</v>
      </c>
      <c r="G31" s="57" t="n">
        <f aca="false">Paysheet!AW31</f>
        <v>1695.22809335219</v>
      </c>
      <c r="H31" s="57" t="n">
        <f aca="false">Paysheet!AX31</f>
        <v>50.8568428005656</v>
      </c>
      <c r="I31" s="241" t="n">
        <f aca="false">G31+H31</f>
        <v>1746.08493615275</v>
      </c>
    </row>
    <row r="32" customFormat="false" ht="15.75" hidden="false" customHeight="true" outlineLevel="0" collapsed="false">
      <c r="A32" s="41" t="str">
        <f aca="false">Paysheet!A32</f>
        <v>AES-E020</v>
      </c>
      <c r="B32" s="71" t="str">
        <f aca="false">Paysheet!B32</f>
        <v>Tonderayi</v>
      </c>
      <c r="C32" s="71" t="str">
        <f aca="false">Paysheet!C32</f>
        <v>Nyamande</v>
      </c>
      <c r="D32" s="57" t="n">
        <f aca="false">Paysheet!AU32</f>
        <v>30.0648294723013</v>
      </c>
      <c r="E32" s="57" t="n">
        <f aca="false">Paysheet!AV32</f>
        <v>0.901944884169039</v>
      </c>
      <c r="F32" s="241" t="n">
        <f aca="false">D32+E32</f>
        <v>30.9667743564703</v>
      </c>
      <c r="G32" s="57" t="n">
        <f aca="false">Paysheet!AW32</f>
        <v>1028.15458290997</v>
      </c>
      <c r="H32" s="57" t="n">
        <f aca="false">Paysheet!AX32</f>
        <v>30.8446374872991</v>
      </c>
      <c r="I32" s="241" t="n">
        <f aca="false">G32+H32</f>
        <v>1058.99922039727</v>
      </c>
    </row>
    <row r="33" customFormat="false" ht="15.75" hidden="false" customHeight="true" outlineLevel="0" collapsed="false">
      <c r="A33" s="41" t="str">
        <f aca="false">Paysheet!A33</f>
        <v>AES-E021</v>
      </c>
      <c r="B33" s="71" t="str">
        <f aca="false">Paysheet!B33</f>
        <v>Kudzai </v>
      </c>
      <c r="C33" s="71" t="str">
        <f aca="false">Paysheet!C33</f>
        <v>Ziyambi</v>
      </c>
      <c r="D33" s="57" t="n">
        <f aca="false">Paysheet!AU33</f>
        <v>45.6720213840979</v>
      </c>
      <c r="E33" s="57" t="n">
        <f aca="false">Paysheet!AV33</f>
        <v>1.37016064152294</v>
      </c>
      <c r="F33" s="241" t="n">
        <f aca="false">D33+E33</f>
        <v>47.0421820256208</v>
      </c>
      <c r="G33" s="57" t="n">
        <f aca="false">Paysheet!AW33</f>
        <v>1472.11566790537</v>
      </c>
      <c r="H33" s="57" t="n">
        <f aca="false">Paysheet!AX33</f>
        <v>44.1634700371611</v>
      </c>
      <c r="I33" s="241" t="n">
        <f aca="false">G33+H33</f>
        <v>1516.27913794253</v>
      </c>
    </row>
    <row r="34" customFormat="false" ht="15.75" hidden="false" customHeight="true" outlineLevel="0" collapsed="false">
      <c r="A34" s="41" t="str">
        <f aca="false">Paysheet!A34</f>
        <v>AES-E027</v>
      </c>
      <c r="B34" s="71" t="str">
        <f aca="false">Paysheet!B34</f>
        <v>Munashe </v>
      </c>
      <c r="C34" s="71" t="str">
        <f aca="false">Paysheet!C34</f>
        <v>Makoni</v>
      </c>
      <c r="D34" s="57" t="n">
        <f aca="false">Paysheet!AU34</f>
        <v>29.9872071305492</v>
      </c>
      <c r="E34" s="57" t="n">
        <f aca="false">Paysheet!AV34</f>
        <v>0.899616213916476</v>
      </c>
      <c r="F34" s="241" t="n">
        <f aca="false">D34+E34</f>
        <v>30.8868233444657</v>
      </c>
      <c r="G34" s="57" t="n">
        <f aca="false">Paysheet!AW34</f>
        <v>1025.90211288528</v>
      </c>
      <c r="H34" s="57" t="n">
        <f aca="false">Paysheet!AX34</f>
        <v>30.7770633865583</v>
      </c>
      <c r="I34" s="241" t="n">
        <f aca="false">G34+H34</f>
        <v>1056.67917627183</v>
      </c>
    </row>
    <row r="35" customFormat="false" ht="15.75" hidden="false" customHeight="true" outlineLevel="0" collapsed="false">
      <c r="A35" s="41" t="str">
        <f aca="false">Paysheet!A35</f>
        <v>AES-E029</v>
      </c>
      <c r="B35" s="71" t="str">
        <f aca="false">Paysheet!B35</f>
        <v>Kudzai </v>
      </c>
      <c r="C35" s="71" t="str">
        <f aca="false">Paysheet!C35</f>
        <v>Mutsvairo</v>
      </c>
      <c r="D35" s="57" t="n">
        <f aca="false">Paysheet!AU35</f>
        <v>29.909595387367</v>
      </c>
      <c r="E35" s="57" t="n">
        <f aca="false">Paysheet!AV35</f>
        <v>0.897287861621011</v>
      </c>
      <c r="F35" s="241" t="n">
        <f aca="false">D35+E35</f>
        <v>30.806883248988</v>
      </c>
      <c r="G35" s="57" t="n">
        <f aca="false">Paysheet!AW35</f>
        <v>1023.6493599307</v>
      </c>
      <c r="H35" s="57" t="n">
        <f aca="false">Paysheet!AX35</f>
        <v>30.709480797921</v>
      </c>
      <c r="I35" s="241" t="n">
        <f aca="false">G35+H35</f>
        <v>1054.35884072862</v>
      </c>
    </row>
    <row r="36" customFormat="false" ht="15.75" hidden="false" customHeight="true" outlineLevel="0" collapsed="false">
      <c r="A36" s="41" t="str">
        <f aca="false">Paysheet!A36</f>
        <v>AES-E028</v>
      </c>
      <c r="B36" s="71" t="str">
        <f aca="false">Paysheet!B36</f>
        <v>Tsitsi</v>
      </c>
      <c r="C36" s="71" t="str">
        <f aca="false">Paysheet!C36</f>
        <v>Chibanda</v>
      </c>
      <c r="D36" s="57" t="n">
        <f aca="false">Paysheet!AU36</f>
        <v>27.045895679403</v>
      </c>
      <c r="E36" s="57" t="n">
        <f aca="false">Paysheet!AV36</f>
        <v>0.811376870382091</v>
      </c>
      <c r="F36" s="241" t="n">
        <f aca="false">D36+E36</f>
        <v>27.8572725497851</v>
      </c>
      <c r="G36" s="57" t="n">
        <f aca="false">Paysheet!AW36</f>
        <v>940.085680604768</v>
      </c>
      <c r="H36" s="57" t="n">
        <f aca="false">Paysheet!AX36</f>
        <v>28.202570418143</v>
      </c>
      <c r="I36" s="241" t="n">
        <f aca="false">G36+H36</f>
        <v>968.288251022911</v>
      </c>
    </row>
    <row r="37" customFormat="false" ht="15.75" hidden="false" customHeight="true" outlineLevel="0" collapsed="false">
      <c r="A37" s="41" t="str">
        <f aca="false">Paysheet!A37</f>
        <v>AES-E030</v>
      </c>
      <c r="B37" s="71" t="str">
        <f aca="false">Paysheet!B37</f>
        <v>Tichaona</v>
      </c>
      <c r="C37" s="71" t="str">
        <f aca="false">Paysheet!C37</f>
        <v>Bere</v>
      </c>
      <c r="D37" s="57" t="n">
        <f aca="false">Paysheet!AU37</f>
        <v>45.7510622935977</v>
      </c>
      <c r="E37" s="57" t="n">
        <f aca="false">Paysheet!AV37</f>
        <v>1.37253186880793</v>
      </c>
      <c r="F37" s="241" t="n">
        <f aca="false">D37+E37</f>
        <v>47.1235941624056</v>
      </c>
      <c r="G37" s="57" t="n">
        <f aca="false">Paysheet!AW37</f>
        <v>1474.33026912218</v>
      </c>
      <c r="H37" s="57" t="n">
        <f aca="false">Paysheet!AX37</f>
        <v>44.2299080736654</v>
      </c>
      <c r="I37" s="241" t="n">
        <f aca="false">G37+H37</f>
        <v>1518.56017719585</v>
      </c>
    </row>
    <row r="38" customFormat="false" ht="15.75" hidden="false" customHeight="true" outlineLevel="0" collapsed="false">
      <c r="A38" s="41" t="str">
        <f aca="false">Paysheet!A38</f>
        <v>AES-E031</v>
      </c>
      <c r="B38" s="71" t="str">
        <f aca="false">Paysheet!B38</f>
        <v>Nyarai</v>
      </c>
      <c r="C38" s="71" t="str">
        <f aca="false">Paysheet!C38</f>
        <v>Chikomo</v>
      </c>
      <c r="D38" s="57" t="n">
        <f aca="false">Paysheet!AU38</f>
        <v>30.0648294723013</v>
      </c>
      <c r="E38" s="57" t="n">
        <f aca="false">Paysheet!AV38</f>
        <v>0.901944884169039</v>
      </c>
      <c r="F38" s="241" t="n">
        <f aca="false">D38+E38</f>
        <v>30.9667743564703</v>
      </c>
      <c r="G38" s="57" t="n">
        <f aca="false">Paysheet!AW38</f>
        <v>1028.15458290997</v>
      </c>
      <c r="H38" s="57" t="n">
        <f aca="false">Paysheet!AX38</f>
        <v>30.8446374872991</v>
      </c>
      <c r="I38" s="241" t="n">
        <f aca="false">G38+H38</f>
        <v>1058.99922039727</v>
      </c>
    </row>
    <row r="39" customFormat="false" ht="15.75" hidden="false" customHeight="true" outlineLevel="0" collapsed="false">
      <c r="A39" s="41" t="str">
        <f aca="false">Paysheet!A39</f>
        <v>AES-E023</v>
      </c>
      <c r="B39" s="71" t="str">
        <f aca="false">Paysheet!B39</f>
        <v>Tawanda</v>
      </c>
      <c r="C39" s="71" t="str">
        <f aca="false">Paysheet!C39</f>
        <v>Svosve</v>
      </c>
      <c r="D39" s="57" t="n">
        <f aca="false">Paysheet!AU39</f>
        <v>30.9193607552508</v>
      </c>
      <c r="E39" s="57" t="n">
        <f aca="false">Paysheet!AV39</f>
        <v>0.927580822657523</v>
      </c>
      <c r="F39" s="241" t="n">
        <f aca="false">D39+E39</f>
        <v>31.8469415779083</v>
      </c>
      <c r="G39" s="57" t="n">
        <f aca="false">Paysheet!AW39</f>
        <v>1052.91345305851</v>
      </c>
      <c r="H39" s="57" t="n">
        <f aca="false">Paysheet!AX39</f>
        <v>31.5874035917551</v>
      </c>
      <c r="I39" s="241" t="n">
        <f aca="false">G39+H39</f>
        <v>1084.50085665026</v>
      </c>
    </row>
    <row r="40" customFormat="false" ht="15.75" hidden="false" customHeight="true" outlineLevel="0" collapsed="false">
      <c r="A40" s="41" t="str">
        <f aca="false">Paysheet!A40</f>
        <v>AES-E024</v>
      </c>
      <c r="B40" s="71" t="str">
        <f aca="false">Paysheet!B40</f>
        <v>Gamuchirai</v>
      </c>
      <c r="C40" s="71" t="str">
        <f aca="false">Paysheet!C40</f>
        <v>Mukanya</v>
      </c>
      <c r="D40" s="57" t="n">
        <f aca="false">Paysheet!AU40</f>
        <v>30.9193607552508</v>
      </c>
      <c r="E40" s="57" t="n">
        <f aca="false">Paysheet!AV40</f>
        <v>0.927580822657523</v>
      </c>
      <c r="F40" s="241" t="n">
        <f aca="false">D40+E40</f>
        <v>31.8469415779083</v>
      </c>
      <c r="G40" s="57" t="n">
        <f aca="false">Paysheet!AW40</f>
        <v>1052.91345305851</v>
      </c>
      <c r="H40" s="57" t="n">
        <f aca="false">Paysheet!AX40</f>
        <v>31.5874035917551</v>
      </c>
      <c r="I40" s="241" t="n">
        <f aca="false">G40+H40</f>
        <v>1084.50085665026</v>
      </c>
    </row>
    <row r="41" customFormat="false" ht="15.75" hidden="false" customHeight="true" outlineLevel="0" collapsed="false">
      <c r="A41" s="41" t="str">
        <f aca="false">Paysheet!A41</f>
        <v>AES-E025</v>
      </c>
      <c r="B41" s="71" t="str">
        <f aca="false">Paysheet!B41</f>
        <v>Rutendo</v>
      </c>
      <c r="C41" s="71" t="str">
        <f aca="false">Paysheet!C41</f>
        <v>Mhike</v>
      </c>
      <c r="D41" s="57" t="n">
        <f aca="false">Paysheet!AU41</f>
        <v>29.2848917895576</v>
      </c>
      <c r="E41" s="57" t="n">
        <f aca="false">Paysheet!AV41</f>
        <v>0.878546753686728</v>
      </c>
      <c r="F41" s="241" t="n">
        <f aca="false">D41+E41</f>
        <v>30.1634385432443</v>
      </c>
      <c r="G41" s="57" t="n">
        <f aca="false">Paysheet!AW41</f>
        <v>996.517624138581</v>
      </c>
      <c r="H41" s="57" t="n">
        <f aca="false">Paysheet!AX41</f>
        <v>29.8955287241574</v>
      </c>
      <c r="I41" s="241" t="n">
        <f aca="false">G41+H41</f>
        <v>1026.41315286274</v>
      </c>
    </row>
    <row r="42" customFormat="false" ht="15.75" hidden="false" customHeight="true" outlineLevel="0" collapsed="false">
      <c r="A42" s="41" t="str">
        <f aca="false">Paysheet!A42</f>
        <v>AES-E026</v>
      </c>
      <c r="B42" s="71" t="str">
        <f aca="false">Paysheet!B42</f>
        <v>Brighton </v>
      </c>
      <c r="C42" s="71" t="str">
        <f aca="false">Paysheet!C42</f>
        <v>Chinamasa2Z</v>
      </c>
      <c r="D42" s="57" t="n">
        <f aca="false">Paysheet!AU42</f>
        <v>13.8602722060866</v>
      </c>
      <c r="E42" s="57" t="n">
        <f aca="false">Paysheet!AV42</f>
        <v>0.415808166182599</v>
      </c>
      <c r="F42" s="241" t="n">
        <f aca="false">D42+E42</f>
        <v>14.2760803722692</v>
      </c>
      <c r="G42" s="57" t="n">
        <f aca="false">Paysheet!AW42</f>
        <v>465.958907343297</v>
      </c>
      <c r="H42" s="57" t="n">
        <f aca="false">Paysheet!AX42</f>
        <v>13.9787672202989</v>
      </c>
      <c r="I42" s="241" t="n">
        <f aca="false">G42+H42</f>
        <v>479.937674563596</v>
      </c>
    </row>
    <row r="43" customFormat="false" ht="15.75" hidden="false" customHeight="true" outlineLevel="0" collapsed="false">
      <c r="A43" s="41" t="str">
        <f aca="false">Paysheet!A43</f>
        <v>AES-E032</v>
      </c>
      <c r="B43" s="71" t="str">
        <f aca="false">Paysheet!B43</f>
        <v>Mazvita</v>
      </c>
      <c r="C43" s="71" t="str">
        <f aca="false">Paysheet!C43</f>
        <v>Mhererwa</v>
      </c>
      <c r="D43" s="57" t="n">
        <f aca="false">Paysheet!AU43</f>
        <v>30.9193607552508</v>
      </c>
      <c r="E43" s="57" t="n">
        <f aca="false">Paysheet!AV43</f>
        <v>0.927580822657523</v>
      </c>
      <c r="F43" s="241" t="n">
        <f aca="false">D43+E43</f>
        <v>31.8469415779083</v>
      </c>
      <c r="G43" s="57" t="n">
        <f aca="false">Paysheet!AW43</f>
        <v>1052.91345305851</v>
      </c>
      <c r="H43" s="57" t="n">
        <f aca="false">Paysheet!AX43</f>
        <v>31.5874035917551</v>
      </c>
      <c r="I43" s="241" t="n">
        <f aca="false">G43+H43</f>
        <v>1084.50085665026</v>
      </c>
    </row>
    <row r="44" customFormat="false" ht="15.75" hidden="false" customHeight="true" outlineLevel="0" collapsed="false">
      <c r="A44" s="41" t="n">
        <f aca="false">Paysheet!A44</f>
        <v>0</v>
      </c>
      <c r="B44" s="82"/>
      <c r="C44" s="82"/>
      <c r="D44" s="242"/>
      <c r="E44" s="242"/>
      <c r="F44" s="243"/>
      <c r="G44" s="242"/>
      <c r="H44" s="242"/>
      <c r="I44" s="243"/>
    </row>
    <row r="45" customFormat="false" ht="15.75" hidden="false" customHeight="true" outlineLevel="0" collapsed="false">
      <c r="A45" s="41" t="n">
        <f aca="false">Paysheet!A45</f>
        <v>0</v>
      </c>
      <c r="B45" s="82"/>
      <c r="C45" s="82"/>
      <c r="D45" s="242"/>
      <c r="E45" s="242"/>
      <c r="F45" s="243"/>
      <c r="G45" s="242"/>
      <c r="H45" s="242"/>
      <c r="I45" s="243"/>
    </row>
    <row r="46" customFormat="false" ht="15.75" hidden="false" customHeight="true" outlineLevel="0" collapsed="false">
      <c r="B46" s="82"/>
      <c r="C46" s="82"/>
      <c r="D46" s="242"/>
      <c r="E46" s="242"/>
      <c r="F46" s="243"/>
      <c r="G46" s="242"/>
      <c r="H46" s="242"/>
      <c r="I46" s="243"/>
    </row>
    <row r="47" customFormat="false" ht="15.75" hidden="false" customHeight="true" outlineLevel="0" collapsed="false">
      <c r="B47" s="82"/>
      <c r="C47" s="82"/>
      <c r="D47" s="242"/>
      <c r="E47" s="242"/>
      <c r="F47" s="243"/>
      <c r="G47" s="242"/>
      <c r="H47" s="242"/>
      <c r="I47" s="243"/>
    </row>
    <row r="48" customFormat="false" ht="15.75" hidden="false" customHeight="true" outlineLevel="0" collapsed="false">
      <c r="C48" s="27" t="s">
        <v>54</v>
      </c>
      <c r="D48" s="232" t="e">
        <f aca="false">SUM(D3:D47)</f>
        <v>#NAME?</v>
      </c>
      <c r="E48" s="232" t="e">
        <f aca="false">SUM(E3:E47)</f>
        <v>#NAME?</v>
      </c>
      <c r="F48" s="232" t="e">
        <f aca="false">SUM(F3:F47)</f>
        <v>#NAME?</v>
      </c>
      <c r="G48" s="232" t="e">
        <f aca="false">SUM(G3:G47)</f>
        <v>#NAME?</v>
      </c>
      <c r="H48" s="232" t="e">
        <f aca="false">SUM(H3:H47)</f>
        <v>#NAME?</v>
      </c>
      <c r="I48" s="232" t="e">
        <f aca="false">SUM(I3:I47)</f>
        <v>#NAME?</v>
      </c>
    </row>
    <row r="49" customFormat="false" ht="15.75" hidden="false" customHeight="true" outlineLevel="0" collapsed="false"/>
  </sheetData>
  <mergeCells count="3">
    <mergeCell ref="A1:C1"/>
    <mergeCell ref="D1:F1"/>
    <mergeCell ref="G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7"/>
  <sheetViews>
    <sheetView showFormulas="false" showGridLines="true" showRowColHeaders="true" showZeros="true" rightToLeft="false" tabSelected="false" showOutlineSymbols="true" defaultGridColor="true" view="normal" topLeftCell="A28" colorId="64" zoomScale="100" zoomScaleNormal="100" zoomScalePageLayoutView="100" workbookViewId="0">
      <selection pane="topLeft" activeCell="B42" activeCellId="0" sqref="B4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13"/>
    <col collapsed="false" customWidth="true" hidden="false" outlineLevel="0" max="3" min="3" style="1" width="15.57"/>
    <col collapsed="false" customWidth="true" hidden="false" outlineLevel="0" max="4" min="4" style="1" width="13.29"/>
    <col collapsed="false" customWidth="true" hidden="false" outlineLevel="0" max="5" min="5" style="1" width="15"/>
    <col collapsed="false" customWidth="true" hidden="false" outlineLevel="0" max="6" min="6" style="1" width="14.14"/>
  </cols>
  <sheetData>
    <row r="1" customFormat="false" ht="20.25" hidden="false" customHeight="true" outlineLevel="0" collapsed="false">
      <c r="B1" s="244" t="s">
        <v>458</v>
      </c>
    </row>
    <row r="2" customFormat="false" ht="15" hidden="false" customHeight="false" outlineLevel="0" collapsed="false">
      <c r="B2" s="245" t="s">
        <v>459</v>
      </c>
      <c r="C2" s="27"/>
      <c r="D2" s="27"/>
      <c r="E2" s="27"/>
      <c r="F2" s="27"/>
    </row>
    <row r="3" customFormat="false" ht="15" hidden="false" customHeight="false" outlineLevel="0" collapsed="false">
      <c r="B3" s="245" t="s">
        <v>460</v>
      </c>
      <c r="C3" s="27"/>
      <c r="D3" s="27"/>
      <c r="E3" s="27"/>
      <c r="F3" s="27"/>
    </row>
    <row r="4" customFormat="false" ht="15" hidden="false" customHeight="false" outlineLevel="0" collapsed="false">
      <c r="B4" s="246"/>
    </row>
    <row r="5" customFormat="false" ht="15.75" hidden="false" customHeight="true" outlineLevel="0" collapsed="false">
      <c r="B5" s="246"/>
    </row>
    <row r="6" customFormat="false" ht="15.75" hidden="false" customHeight="true" outlineLevel="0" collapsed="false">
      <c r="B6" s="247" t="s">
        <v>29</v>
      </c>
      <c r="C6" s="248" t="s">
        <v>30</v>
      </c>
      <c r="D6" s="248" t="s">
        <v>461</v>
      </c>
      <c r="E6" s="248" t="s">
        <v>462</v>
      </c>
      <c r="F6" s="249" t="s">
        <v>418</v>
      </c>
    </row>
    <row r="7" customFormat="false" ht="15" hidden="false" customHeight="false" outlineLevel="0" collapsed="false">
      <c r="A7" s="1" t="n">
        <v>1</v>
      </c>
      <c r="B7" s="250" t="s">
        <v>91</v>
      </c>
      <c r="C7" s="250" t="s">
        <v>92</v>
      </c>
      <c r="D7" s="250" t="s">
        <v>463</v>
      </c>
      <c r="E7" s="250" t="s">
        <v>464</v>
      </c>
      <c r="F7" s="251" t="n">
        <f aca="false">'Nyaradzo Workings'!F8</f>
        <v>1390.9</v>
      </c>
    </row>
    <row r="8" customFormat="false" ht="15" hidden="false" customHeight="false" outlineLevel="0" collapsed="false">
      <c r="A8" s="1" t="n">
        <v>2</v>
      </c>
      <c r="B8" s="252" t="s">
        <v>104</v>
      </c>
      <c r="C8" s="252" t="s">
        <v>105</v>
      </c>
      <c r="D8" s="252" t="s">
        <v>103</v>
      </c>
      <c r="E8" s="250" t="s">
        <v>465</v>
      </c>
      <c r="F8" s="251" t="n">
        <f aca="false">'Nyaradzo Workings'!F9</f>
        <v>924.79</v>
      </c>
    </row>
    <row r="9" customFormat="false" ht="15" hidden="false" customHeight="false" outlineLevel="0" collapsed="false">
      <c r="A9" s="1" t="n">
        <v>3</v>
      </c>
      <c r="B9" s="252" t="s">
        <v>113</v>
      </c>
      <c r="C9" s="252" t="s">
        <v>114</v>
      </c>
      <c r="D9" s="252" t="s">
        <v>112</v>
      </c>
      <c r="E9" s="250" t="s">
        <v>466</v>
      </c>
      <c r="F9" s="251" t="n">
        <f aca="false">'Nyaradzo Workings'!F10</f>
        <v>1473.77</v>
      </c>
    </row>
    <row r="10" customFormat="false" ht="15" hidden="false" customHeight="false" outlineLevel="0" collapsed="false">
      <c r="A10" s="1" t="n">
        <v>4</v>
      </c>
      <c r="B10" s="252" t="s">
        <v>122</v>
      </c>
      <c r="C10" s="252" t="s">
        <v>123</v>
      </c>
      <c r="D10" s="252" t="s">
        <v>121</v>
      </c>
      <c r="E10" s="250" t="s">
        <v>467</v>
      </c>
      <c r="F10" s="251" t="n">
        <f aca="false">'Nyaradzo Workings'!F11</f>
        <v>1410.01</v>
      </c>
    </row>
    <row r="11" customFormat="false" ht="15" hidden="false" customHeight="false" outlineLevel="0" collapsed="false">
      <c r="A11" s="1" t="n">
        <v>5</v>
      </c>
      <c r="B11" s="252" t="s">
        <v>131</v>
      </c>
      <c r="C11" s="252" t="s">
        <v>132</v>
      </c>
      <c r="D11" s="252" t="s">
        <v>130</v>
      </c>
      <c r="E11" s="250" t="s">
        <v>468</v>
      </c>
      <c r="F11" s="251" t="n">
        <f aca="false">'Nyaradzo Workings'!F12</f>
        <v>1173.11</v>
      </c>
    </row>
    <row r="12" customFormat="false" ht="15" hidden="false" customHeight="false" outlineLevel="0" collapsed="false">
      <c r="A12" s="1" t="n">
        <v>6</v>
      </c>
      <c r="B12" s="252" t="s">
        <v>140</v>
      </c>
      <c r="C12" s="252" t="s">
        <v>141</v>
      </c>
      <c r="D12" s="252" t="s">
        <v>139</v>
      </c>
      <c r="E12" s="250" t="s">
        <v>469</v>
      </c>
      <c r="F12" s="251" t="n">
        <f aca="false">'Nyaradzo Workings'!F13</f>
        <v>912.56</v>
      </c>
    </row>
    <row r="13" customFormat="false" ht="15" hidden="false" customHeight="false" outlineLevel="0" collapsed="false">
      <c r="A13" s="1" t="n">
        <v>7</v>
      </c>
      <c r="B13" s="252" t="s">
        <v>149</v>
      </c>
      <c r="C13" s="252" t="s">
        <v>150</v>
      </c>
      <c r="D13" s="252" t="s">
        <v>148</v>
      </c>
      <c r="E13" s="250" t="s">
        <v>470</v>
      </c>
      <c r="F13" s="251" t="n">
        <f aca="false">'Nyaradzo Workings'!F14</f>
        <v>981.11</v>
      </c>
    </row>
    <row r="14" customFormat="false" ht="15" hidden="false" customHeight="false" outlineLevel="0" collapsed="false">
      <c r="A14" s="1" t="n">
        <v>8</v>
      </c>
      <c r="B14" s="252" t="s">
        <v>156</v>
      </c>
      <c r="C14" s="252" t="s">
        <v>157</v>
      </c>
      <c r="D14" s="252" t="s">
        <v>155</v>
      </c>
      <c r="E14" s="250" t="s">
        <v>471</v>
      </c>
      <c r="F14" s="251" t="n">
        <f aca="false">'Nyaradzo Workings'!F15</f>
        <v>865.47</v>
      </c>
    </row>
    <row r="15" customFormat="false" ht="15" hidden="false" customHeight="false" outlineLevel="0" collapsed="false">
      <c r="A15" s="1" t="n">
        <v>10</v>
      </c>
      <c r="B15" s="252" t="s">
        <v>178</v>
      </c>
      <c r="C15" s="252" t="s">
        <v>179</v>
      </c>
      <c r="D15" s="252" t="s">
        <v>177</v>
      </c>
      <c r="E15" s="250" t="s">
        <v>472</v>
      </c>
      <c r="F15" s="251" t="n">
        <f aca="false">'Nyaradzo Workings'!F16</f>
        <v>484.6</v>
      </c>
    </row>
    <row r="16" customFormat="false" ht="15" hidden="false" customHeight="false" outlineLevel="0" collapsed="false">
      <c r="A16" s="1" t="n">
        <v>12</v>
      </c>
      <c r="B16" s="252" t="s">
        <v>473</v>
      </c>
      <c r="C16" s="252" t="s">
        <v>474</v>
      </c>
      <c r="D16" s="252" t="s">
        <v>270</v>
      </c>
      <c r="E16" s="250" t="s">
        <v>475</v>
      </c>
      <c r="F16" s="251" t="n">
        <f aca="false">'Nyaradzo Workings'!F17</f>
        <v>552.85</v>
      </c>
    </row>
    <row r="17" customFormat="false" ht="15" hidden="false" customHeight="false" outlineLevel="0" collapsed="false">
      <c r="A17" s="1" t="n">
        <v>13</v>
      </c>
      <c r="B17" s="252" t="s">
        <v>185</v>
      </c>
      <c r="C17" s="252" t="s">
        <v>186</v>
      </c>
      <c r="D17" s="252" t="s">
        <v>184</v>
      </c>
      <c r="E17" s="250" t="s">
        <v>476</v>
      </c>
      <c r="F17" s="251" t="n">
        <f aca="false">'Nyaradzo Workings'!F18</f>
        <v>552.85</v>
      </c>
    </row>
    <row r="18" customFormat="false" ht="15" hidden="false" customHeight="false" outlineLevel="0" collapsed="false">
      <c r="A18" s="1" t="n">
        <v>14</v>
      </c>
      <c r="B18" s="252" t="s">
        <v>192</v>
      </c>
      <c r="C18" s="252" t="s">
        <v>193</v>
      </c>
      <c r="D18" s="252" t="s">
        <v>191</v>
      </c>
      <c r="E18" s="250" t="s">
        <v>477</v>
      </c>
      <c r="F18" s="251" t="n">
        <f aca="false">'Nyaradzo Workings'!F19</f>
        <v>396.54</v>
      </c>
    </row>
    <row r="19" customFormat="false" ht="15" hidden="false" customHeight="false" outlineLevel="0" collapsed="false">
      <c r="A19" s="1" t="n">
        <v>15</v>
      </c>
      <c r="B19" s="252" t="s">
        <v>216</v>
      </c>
      <c r="C19" s="252" t="s">
        <v>114</v>
      </c>
      <c r="D19" s="252" t="s">
        <v>215</v>
      </c>
      <c r="E19" s="250" t="s">
        <v>478</v>
      </c>
      <c r="F19" s="251" t="n">
        <f aca="false">'Nyaradzo Workings'!F20</f>
        <v>552.85</v>
      </c>
    </row>
    <row r="20" customFormat="false" ht="15" hidden="false" customHeight="false" outlineLevel="0" collapsed="false">
      <c r="A20" s="1" t="n">
        <v>16</v>
      </c>
      <c r="B20" s="252" t="s">
        <v>222</v>
      </c>
      <c r="C20" s="252" t="s">
        <v>165</v>
      </c>
      <c r="D20" s="252" t="s">
        <v>221</v>
      </c>
      <c r="E20" s="250" t="s">
        <v>479</v>
      </c>
      <c r="F20" s="251" t="n">
        <f aca="false">'Nyaradzo Workings'!F21</f>
        <v>633.67</v>
      </c>
    </row>
    <row r="21" customFormat="false" ht="15" hidden="false" customHeight="false" outlineLevel="0" collapsed="false">
      <c r="A21" s="1" t="n">
        <v>17</v>
      </c>
      <c r="B21" s="252" t="s">
        <v>229</v>
      </c>
      <c r="C21" s="252" t="s">
        <v>230</v>
      </c>
      <c r="D21" s="252" t="s">
        <v>228</v>
      </c>
      <c r="E21" s="250" t="s">
        <v>480</v>
      </c>
      <c r="F21" s="251" t="n">
        <f aca="false">'Nyaradzo Workings'!F22</f>
        <v>396.54</v>
      </c>
    </row>
    <row r="22" customFormat="false" ht="15" hidden="false" customHeight="false" outlineLevel="0" collapsed="false">
      <c r="A22" s="1" t="n">
        <v>18</v>
      </c>
      <c r="B22" s="252" t="s">
        <v>236</v>
      </c>
      <c r="C22" s="252" t="s">
        <v>237</v>
      </c>
      <c r="D22" s="252" t="s">
        <v>235</v>
      </c>
      <c r="E22" s="250" t="s">
        <v>481</v>
      </c>
      <c r="F22" s="251" t="n">
        <f aca="false">'Nyaradzo Workings'!F23</f>
        <v>657.85</v>
      </c>
    </row>
    <row r="23" customFormat="false" ht="15" hidden="false" customHeight="false" outlineLevel="0" collapsed="false">
      <c r="A23" s="1" t="n">
        <v>19</v>
      </c>
      <c r="B23" s="252" t="s">
        <v>250</v>
      </c>
      <c r="C23" s="252" t="s">
        <v>251</v>
      </c>
      <c r="D23" s="252" t="s">
        <v>249</v>
      </c>
      <c r="E23" s="250" t="s">
        <v>482</v>
      </c>
      <c r="F23" s="251" t="n">
        <f aca="false">'Nyaradzo Workings'!F24</f>
        <v>814.16</v>
      </c>
    </row>
    <row r="24" customFormat="false" ht="15" hidden="false" customHeight="false" outlineLevel="0" collapsed="false">
      <c r="A24" s="1" t="n">
        <v>20</v>
      </c>
      <c r="B24" s="252" t="s">
        <v>257</v>
      </c>
      <c r="C24" s="252" t="s">
        <v>258</v>
      </c>
      <c r="D24" s="252" t="s">
        <v>256</v>
      </c>
      <c r="E24" s="250" t="s">
        <v>483</v>
      </c>
      <c r="F24" s="251" t="n">
        <f aca="false">'Nyaradzo Workings'!F25</f>
        <v>396.54</v>
      </c>
    </row>
    <row r="25" customFormat="false" ht="15" hidden="false" customHeight="false" outlineLevel="0" collapsed="false">
      <c r="A25" s="1" t="n">
        <v>21</v>
      </c>
      <c r="B25" s="252" t="s">
        <v>264</v>
      </c>
      <c r="C25" s="252" t="s">
        <v>265</v>
      </c>
      <c r="D25" s="252" t="s">
        <v>263</v>
      </c>
      <c r="E25" s="250" t="s">
        <v>484</v>
      </c>
      <c r="F25" s="251" t="n">
        <f aca="false">'Nyaradzo Workings'!F26</f>
        <v>396.54</v>
      </c>
    </row>
    <row r="26" customFormat="false" ht="15" hidden="false" customHeight="false" outlineLevel="0" collapsed="false">
      <c r="A26" s="1" t="n">
        <v>22</v>
      </c>
      <c r="B26" s="252" t="s">
        <v>280</v>
      </c>
      <c r="C26" s="252" t="s">
        <v>281</v>
      </c>
      <c r="D26" s="252" t="s">
        <v>279</v>
      </c>
      <c r="E26" s="250" t="s">
        <v>485</v>
      </c>
      <c r="F26" s="251" t="n">
        <f aca="false">'Nyaradzo Workings'!F27</f>
        <v>396.54</v>
      </c>
    </row>
    <row r="27" customFormat="false" ht="15" hidden="false" customHeight="false" outlineLevel="0" collapsed="false">
      <c r="A27" s="1" t="n">
        <v>23</v>
      </c>
      <c r="B27" s="252" t="s">
        <v>486</v>
      </c>
      <c r="C27" s="252" t="s">
        <v>487</v>
      </c>
      <c r="D27" s="252" t="s">
        <v>488</v>
      </c>
      <c r="E27" s="250" t="s">
        <v>489</v>
      </c>
      <c r="F27" s="251" t="n">
        <f aca="false">'Nyaradzo Workings'!F28</f>
        <v>709.16</v>
      </c>
    </row>
    <row r="28" customFormat="false" ht="15" hidden="false" customHeight="false" outlineLevel="0" collapsed="false">
      <c r="A28" s="1" t="n">
        <v>24</v>
      </c>
      <c r="B28" s="252" t="s">
        <v>490</v>
      </c>
      <c r="C28" s="252" t="s">
        <v>301</v>
      </c>
      <c r="D28" s="252" t="s">
        <v>299</v>
      </c>
      <c r="E28" s="250" t="s">
        <v>491</v>
      </c>
      <c r="F28" s="251" t="n">
        <f aca="false">'Nyaradzo Workings'!F29</f>
        <v>250.24</v>
      </c>
    </row>
    <row r="29" customFormat="false" ht="15" hidden="false" customHeight="false" outlineLevel="0" collapsed="false">
      <c r="A29" s="1" t="n">
        <v>25</v>
      </c>
      <c r="B29" s="253" t="s">
        <v>492</v>
      </c>
      <c r="C29" s="253" t="s">
        <v>493</v>
      </c>
      <c r="D29" s="253" t="s">
        <v>494</v>
      </c>
      <c r="E29" s="250" t="s">
        <v>495</v>
      </c>
      <c r="F29" s="251" t="n">
        <f aca="false">'Nyaradzo Workings'!F30</f>
        <v>1017.56</v>
      </c>
    </row>
    <row r="31" customFormat="false" ht="15" hidden="false" customHeight="false" outlineLevel="0" collapsed="false">
      <c r="B31" s="245" t="s">
        <v>496</v>
      </c>
      <c r="C31" s="245"/>
      <c r="D31" s="245"/>
      <c r="E31" s="245"/>
      <c r="F31" s="254" t="n">
        <f aca="false">SUM(F7:F30)</f>
        <v>17340.21</v>
      </c>
    </row>
    <row r="32" customFormat="false" ht="15" hidden="false" customHeight="false" outlineLevel="0" collapsed="false">
      <c r="B32" s="245" t="s">
        <v>497</v>
      </c>
      <c r="C32" s="245"/>
      <c r="D32" s="245"/>
      <c r="E32" s="245"/>
      <c r="F32" s="255" t="n">
        <f aca="false">-F31*(2.5/100)</f>
        <v>-433.50525</v>
      </c>
    </row>
    <row r="33" customFormat="false" ht="15.75" hidden="false" customHeight="true" outlineLevel="0" collapsed="false">
      <c r="B33" s="245" t="s">
        <v>498</v>
      </c>
      <c r="C33" s="245"/>
      <c r="D33" s="245"/>
      <c r="E33" s="245"/>
      <c r="F33" s="256" t="n">
        <f aca="false">F31+F32</f>
        <v>16906.70475</v>
      </c>
    </row>
    <row r="34" customFormat="false" ht="15.75" hidden="false" customHeight="true" outlineLevel="0" collapsed="false"/>
    <row r="35" customFormat="false" ht="15" hidden="false" customHeight="false" outlineLevel="0" collapsed="false">
      <c r="B35" s="245" t="s">
        <v>499</v>
      </c>
    </row>
    <row r="36" customFormat="false" ht="15" hidden="false" customHeight="false" outlineLevel="0" collapsed="false">
      <c r="B36" s="246" t="s">
        <v>500</v>
      </c>
      <c r="C36" s="246" t="s">
        <v>501</v>
      </c>
      <c r="E36" s="1" t="s">
        <v>502</v>
      </c>
      <c r="F36" s="3"/>
    </row>
    <row r="38" customFormat="false" ht="15" hidden="false" customHeight="false" outlineLevel="0" collapsed="false">
      <c r="B38" s="245" t="s">
        <v>503</v>
      </c>
    </row>
    <row r="39" customFormat="false" ht="15" hidden="false" customHeight="false" outlineLevel="0" collapsed="false">
      <c r="B39" s="246" t="s">
        <v>504</v>
      </c>
      <c r="C39" s="246" t="s">
        <v>505</v>
      </c>
      <c r="E39" s="1" t="s">
        <v>506</v>
      </c>
    </row>
    <row r="42" customFormat="false" ht="15" hidden="false" customHeight="false" outlineLevel="0" collapsed="false">
      <c r="B42" s="27" t="s">
        <v>507</v>
      </c>
      <c r="C42" s="27"/>
      <c r="D42" s="27"/>
    </row>
    <row r="44" customFormat="false" ht="15" hidden="false" customHeight="false" outlineLevel="0" collapsed="false">
      <c r="A44" s="1" t="n">
        <v>1</v>
      </c>
      <c r="B44" s="252" t="s">
        <v>508</v>
      </c>
      <c r="C44" s="252" t="s">
        <v>272</v>
      </c>
      <c r="D44" s="252" t="s">
        <v>509</v>
      </c>
      <c r="E44" s="252" t="s">
        <v>510</v>
      </c>
    </row>
    <row r="45" customFormat="false" ht="15" hidden="false" customHeight="false" outlineLevel="0" collapsed="false">
      <c r="A45" s="1" t="n">
        <v>2</v>
      </c>
      <c r="B45" s="252" t="s">
        <v>511</v>
      </c>
      <c r="C45" s="252" t="s">
        <v>512</v>
      </c>
      <c r="D45" s="252" t="s">
        <v>513</v>
      </c>
      <c r="E45" s="252" t="s">
        <v>514</v>
      </c>
      <c r="F45" s="257"/>
    </row>
    <row r="46" customFormat="false" ht="15" hidden="false" customHeight="false" outlineLevel="0" collapsed="false">
      <c r="A46" s="1" t="n">
        <v>3</v>
      </c>
      <c r="B46" s="252" t="s">
        <v>271</v>
      </c>
      <c r="C46" s="252" t="s">
        <v>272</v>
      </c>
      <c r="D46" s="252" t="s">
        <v>170</v>
      </c>
      <c r="E46" s="252" t="s">
        <v>515</v>
      </c>
    </row>
    <row r="47" customFormat="false" ht="15" hidden="false" customHeight="false" outlineLevel="0" collapsed="false">
      <c r="A47" s="1" t="n">
        <v>4</v>
      </c>
      <c r="B47" s="252" t="s">
        <v>171</v>
      </c>
      <c r="C47" s="252" t="s">
        <v>516</v>
      </c>
      <c r="D47" s="252" t="s">
        <v>517</v>
      </c>
      <c r="E47" s="252" t="s">
        <v>518</v>
      </c>
      <c r="F47" s="25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K40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E41" activeCellId="0" sqref="E4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86"/>
    <col collapsed="false" customWidth="true" hidden="false" outlineLevel="0" max="2" min="2" style="1" width="13"/>
    <col collapsed="false" customWidth="true" hidden="false" outlineLevel="0" max="3" min="3" style="1" width="15.57"/>
    <col collapsed="false" customWidth="true" hidden="false" outlineLevel="0" max="4" min="4" style="1" width="13.29"/>
    <col collapsed="false" customWidth="true" hidden="false" outlineLevel="0" max="5" min="5" style="1" width="15"/>
    <col collapsed="false" customWidth="true" hidden="false" outlineLevel="0" max="6" min="6" style="1" width="14.14"/>
    <col collapsed="false" customWidth="true" hidden="false" outlineLevel="0" max="7" min="7" style="1" width="2"/>
    <col collapsed="false" customWidth="true" hidden="false" outlineLevel="0" max="8" min="8" style="1" width="10.71"/>
    <col collapsed="false" customWidth="true" hidden="false" outlineLevel="0" max="9" min="9" style="1" width="12.86"/>
    <col collapsed="false" customWidth="true" hidden="false" outlineLevel="0" max="10" min="10" style="1" width="10.29"/>
    <col collapsed="false" customWidth="true" hidden="false" outlineLevel="0" max="11" min="11" style="1" width="13"/>
  </cols>
  <sheetData>
    <row r="2" customFormat="false" ht="20.25" hidden="false" customHeight="true" outlineLevel="0" collapsed="false">
      <c r="B2" s="244" t="s">
        <v>458</v>
      </c>
    </row>
    <row r="3" customFormat="false" ht="15" hidden="false" customHeight="false" outlineLevel="0" collapsed="false">
      <c r="B3" s="245" t="s">
        <v>459</v>
      </c>
      <c r="C3" s="27"/>
      <c r="D3" s="27"/>
      <c r="E3" s="27"/>
      <c r="F3" s="27"/>
      <c r="G3" s="27"/>
      <c r="H3" s="27"/>
    </row>
    <row r="4" customFormat="false" ht="15" hidden="false" customHeight="false" outlineLevel="0" collapsed="false">
      <c r="B4" s="245" t="s">
        <v>460</v>
      </c>
      <c r="C4" s="27"/>
      <c r="D4" s="27"/>
      <c r="E4" s="27"/>
      <c r="F4" s="27"/>
      <c r="G4" s="27"/>
      <c r="H4" s="27" t="s">
        <v>2</v>
      </c>
      <c r="I4" s="258" t="n">
        <f aca="false">Paysheet!AQ1</f>
        <v>26.6951</v>
      </c>
    </row>
    <row r="5" customFormat="false" ht="15" hidden="false" customHeight="false" outlineLevel="0" collapsed="false">
      <c r="B5" s="246"/>
    </row>
    <row r="6" customFormat="false" ht="15.75" hidden="false" customHeight="true" outlineLevel="0" collapsed="false">
      <c r="B6" s="246"/>
      <c r="H6" s="259" t="s">
        <v>519</v>
      </c>
      <c r="I6" s="259"/>
      <c r="J6" s="260" t="s">
        <v>453</v>
      </c>
      <c r="K6" s="260"/>
    </row>
    <row r="7" customFormat="false" ht="15.75" hidden="false" customHeight="true" outlineLevel="0" collapsed="false">
      <c r="B7" s="247" t="s">
        <v>29</v>
      </c>
      <c r="C7" s="248" t="s">
        <v>30</v>
      </c>
      <c r="D7" s="248" t="s">
        <v>461</v>
      </c>
      <c r="E7" s="248" t="s">
        <v>462</v>
      </c>
      <c r="F7" s="249" t="s">
        <v>418</v>
      </c>
      <c r="H7" s="261" t="s">
        <v>26</v>
      </c>
      <c r="I7" s="262" t="s">
        <v>25</v>
      </c>
      <c r="J7" s="263" t="s">
        <v>26</v>
      </c>
      <c r="K7" s="263" t="s">
        <v>62</v>
      </c>
    </row>
    <row r="8" customFormat="false" ht="15" hidden="false" customHeight="false" outlineLevel="0" collapsed="false">
      <c r="A8" s="1" t="n">
        <v>1</v>
      </c>
      <c r="B8" s="250" t="s">
        <v>91</v>
      </c>
      <c r="C8" s="250" t="s">
        <v>92</v>
      </c>
      <c r="D8" s="250" t="s">
        <v>463</v>
      </c>
      <c r="E8" s="250" t="s">
        <v>464</v>
      </c>
      <c r="F8" s="264" t="n">
        <v>1390.9</v>
      </c>
      <c r="H8" s="265" t="n">
        <v>8</v>
      </c>
      <c r="I8" s="266" t="n">
        <f aca="false">H8*$I$4</f>
        <v>213.5608</v>
      </c>
      <c r="J8" s="267" t="n">
        <v>0</v>
      </c>
      <c r="K8" s="268" t="n">
        <f aca="false">F8-I8</f>
        <v>1177.3392</v>
      </c>
    </row>
    <row r="9" customFormat="false" ht="15" hidden="false" customHeight="false" outlineLevel="0" collapsed="false">
      <c r="A9" s="1" t="n">
        <v>2</v>
      </c>
      <c r="B9" s="252" t="s">
        <v>104</v>
      </c>
      <c r="C9" s="252" t="s">
        <v>105</v>
      </c>
      <c r="D9" s="252" t="s">
        <v>103</v>
      </c>
      <c r="E9" s="250" t="s">
        <v>465</v>
      </c>
      <c r="F9" s="264" t="n">
        <v>924.79</v>
      </c>
      <c r="H9" s="265" t="n">
        <v>8</v>
      </c>
      <c r="I9" s="266" t="n">
        <f aca="false">H9*$I$4</f>
        <v>213.5608</v>
      </c>
      <c r="J9" s="267" t="n">
        <v>0</v>
      </c>
      <c r="K9" s="268" t="n">
        <f aca="false">F9-I9</f>
        <v>711.2292</v>
      </c>
    </row>
    <row r="10" customFormat="false" ht="15" hidden="false" customHeight="false" outlineLevel="0" collapsed="false">
      <c r="A10" s="1" t="n">
        <v>3</v>
      </c>
      <c r="B10" s="252" t="s">
        <v>113</v>
      </c>
      <c r="C10" s="252" t="s">
        <v>114</v>
      </c>
      <c r="D10" s="252" t="s">
        <v>112</v>
      </c>
      <c r="E10" s="250" t="s">
        <v>466</v>
      </c>
      <c r="F10" s="264" t="n">
        <v>1473.77</v>
      </c>
      <c r="H10" s="265" t="n">
        <v>8</v>
      </c>
      <c r="I10" s="266" t="n">
        <f aca="false">H10*$I$4</f>
        <v>213.5608</v>
      </c>
      <c r="J10" s="267" t="n">
        <v>0</v>
      </c>
      <c r="K10" s="268" t="n">
        <f aca="false">F10-I10</f>
        <v>1260.2092</v>
      </c>
    </row>
    <row r="11" customFormat="false" ht="15" hidden="false" customHeight="false" outlineLevel="0" collapsed="false">
      <c r="A11" s="1" t="n">
        <v>4</v>
      </c>
      <c r="B11" s="252" t="s">
        <v>122</v>
      </c>
      <c r="C11" s="252" t="s">
        <v>123</v>
      </c>
      <c r="D11" s="252" t="s">
        <v>121</v>
      </c>
      <c r="E11" s="250" t="s">
        <v>467</v>
      </c>
      <c r="F11" s="264" t="n">
        <v>1410.01</v>
      </c>
      <c r="H11" s="265" t="n">
        <v>8</v>
      </c>
      <c r="I11" s="266" t="n">
        <f aca="false">H11*$I$4</f>
        <v>213.5608</v>
      </c>
      <c r="J11" s="267" t="n">
        <v>0</v>
      </c>
      <c r="K11" s="268" t="n">
        <f aca="false">F11-I11</f>
        <v>1196.4492</v>
      </c>
    </row>
    <row r="12" customFormat="false" ht="15" hidden="false" customHeight="false" outlineLevel="0" collapsed="false">
      <c r="A12" s="1" t="n">
        <v>5</v>
      </c>
      <c r="B12" s="252" t="s">
        <v>131</v>
      </c>
      <c r="C12" s="252" t="s">
        <v>132</v>
      </c>
      <c r="D12" s="252" t="s">
        <v>130</v>
      </c>
      <c r="E12" s="250" t="s">
        <v>468</v>
      </c>
      <c r="F12" s="264" t="n">
        <v>1173.11</v>
      </c>
      <c r="H12" s="265" t="n">
        <v>8</v>
      </c>
      <c r="I12" s="266" t="n">
        <f aca="false">H12*$I$4</f>
        <v>213.5608</v>
      </c>
      <c r="J12" s="267" t="n">
        <v>0</v>
      </c>
      <c r="K12" s="268" t="n">
        <f aca="false">F12-I12</f>
        <v>959.5492</v>
      </c>
    </row>
    <row r="13" customFormat="false" ht="15" hidden="false" customHeight="false" outlineLevel="0" collapsed="false">
      <c r="A13" s="1" t="n">
        <v>6</v>
      </c>
      <c r="B13" s="252" t="s">
        <v>140</v>
      </c>
      <c r="C13" s="252" t="s">
        <v>141</v>
      </c>
      <c r="D13" s="252" t="s">
        <v>139</v>
      </c>
      <c r="E13" s="250" t="s">
        <v>469</v>
      </c>
      <c r="F13" s="264" t="n">
        <v>912.56</v>
      </c>
      <c r="H13" s="265" t="n">
        <v>8</v>
      </c>
      <c r="I13" s="266" t="n">
        <f aca="false">H13*$I$4</f>
        <v>213.5608</v>
      </c>
      <c r="J13" s="267" t="n">
        <v>0</v>
      </c>
      <c r="K13" s="268" t="n">
        <f aca="false">F13-I13</f>
        <v>698.9992</v>
      </c>
    </row>
    <row r="14" customFormat="false" ht="15" hidden="false" customHeight="false" outlineLevel="0" collapsed="false">
      <c r="A14" s="1" t="n">
        <v>7</v>
      </c>
      <c r="B14" s="252" t="s">
        <v>149</v>
      </c>
      <c r="C14" s="252" t="s">
        <v>150</v>
      </c>
      <c r="D14" s="252" t="s">
        <v>148</v>
      </c>
      <c r="E14" s="250" t="s">
        <v>470</v>
      </c>
      <c r="F14" s="264" t="n">
        <v>981.11</v>
      </c>
      <c r="H14" s="265" t="n">
        <v>3</v>
      </c>
      <c r="I14" s="266" t="n">
        <f aca="false">H14*$I$4</f>
        <v>80.0853</v>
      </c>
      <c r="J14" s="267" t="n">
        <v>0</v>
      </c>
      <c r="K14" s="268" t="n">
        <f aca="false">F14-I14</f>
        <v>901.0247</v>
      </c>
    </row>
    <row r="15" customFormat="false" ht="15" hidden="false" customHeight="false" outlineLevel="0" collapsed="false">
      <c r="A15" s="1" t="n">
        <v>8</v>
      </c>
      <c r="B15" s="252" t="s">
        <v>156</v>
      </c>
      <c r="C15" s="252" t="s">
        <v>157</v>
      </c>
      <c r="D15" s="252" t="s">
        <v>155</v>
      </c>
      <c r="E15" s="250" t="s">
        <v>471</v>
      </c>
      <c r="F15" s="264" t="n">
        <v>865.47</v>
      </c>
      <c r="H15" s="265" t="n">
        <v>3</v>
      </c>
      <c r="I15" s="266" t="n">
        <f aca="false">H15*$I$4</f>
        <v>80.0853</v>
      </c>
      <c r="J15" s="267" t="n">
        <v>0</v>
      </c>
      <c r="K15" s="268" t="n">
        <f aca="false">F15-I15</f>
        <v>785.3847</v>
      </c>
    </row>
    <row r="16" customFormat="false" ht="15" hidden="false" customHeight="false" outlineLevel="0" collapsed="false">
      <c r="A16" s="1" t="n">
        <v>10</v>
      </c>
      <c r="B16" s="252" t="s">
        <v>178</v>
      </c>
      <c r="C16" s="252" t="s">
        <v>179</v>
      </c>
      <c r="D16" s="252" t="s">
        <v>177</v>
      </c>
      <c r="E16" s="250" t="s">
        <v>472</v>
      </c>
      <c r="F16" s="264" t="n">
        <v>484.6</v>
      </c>
      <c r="H16" s="265" t="n">
        <v>3</v>
      </c>
      <c r="I16" s="266" t="n">
        <f aca="false">H16*$I$4</f>
        <v>80.0853</v>
      </c>
      <c r="J16" s="267" t="n">
        <v>0</v>
      </c>
      <c r="K16" s="268" t="n">
        <f aca="false">F16-I16</f>
        <v>404.5147</v>
      </c>
    </row>
    <row r="17" customFormat="false" ht="15" hidden="false" customHeight="false" outlineLevel="0" collapsed="false">
      <c r="A17" s="1" t="n">
        <v>12</v>
      </c>
      <c r="B17" s="252" t="s">
        <v>473</v>
      </c>
      <c r="C17" s="252" t="s">
        <v>474</v>
      </c>
      <c r="D17" s="252" t="s">
        <v>270</v>
      </c>
      <c r="E17" s="250" t="s">
        <v>475</v>
      </c>
      <c r="F17" s="264" t="n">
        <v>552.85</v>
      </c>
      <c r="H17" s="265" t="n">
        <v>3</v>
      </c>
      <c r="I17" s="266" t="n">
        <f aca="false">H17*$I$4</f>
        <v>80.0853</v>
      </c>
      <c r="J17" s="267" t="n">
        <v>0</v>
      </c>
      <c r="K17" s="268" t="n">
        <f aca="false">F17-I17</f>
        <v>472.7647</v>
      </c>
    </row>
    <row r="18" customFormat="false" ht="15" hidden="false" customHeight="false" outlineLevel="0" collapsed="false">
      <c r="A18" s="1" t="n">
        <v>13</v>
      </c>
      <c r="B18" s="252" t="s">
        <v>185</v>
      </c>
      <c r="C18" s="252" t="s">
        <v>186</v>
      </c>
      <c r="D18" s="252" t="s">
        <v>184</v>
      </c>
      <c r="E18" s="250" t="s">
        <v>476</v>
      </c>
      <c r="F18" s="264" t="n">
        <v>552.85</v>
      </c>
      <c r="H18" s="265" t="n">
        <v>3</v>
      </c>
      <c r="I18" s="266" t="n">
        <f aca="false">H18*$I$4</f>
        <v>80.0853</v>
      </c>
      <c r="J18" s="267" t="n">
        <v>0</v>
      </c>
      <c r="K18" s="268" t="n">
        <f aca="false">F18-I18</f>
        <v>472.7647</v>
      </c>
    </row>
    <row r="19" customFormat="false" ht="15" hidden="false" customHeight="false" outlineLevel="0" collapsed="false">
      <c r="A19" s="1" t="n">
        <v>14</v>
      </c>
      <c r="B19" s="252" t="s">
        <v>192</v>
      </c>
      <c r="C19" s="252" t="s">
        <v>193</v>
      </c>
      <c r="D19" s="252" t="s">
        <v>191</v>
      </c>
      <c r="E19" s="250" t="s">
        <v>477</v>
      </c>
      <c r="F19" s="264" t="n">
        <v>396.54</v>
      </c>
      <c r="H19" s="265" t="n">
        <v>3</v>
      </c>
      <c r="I19" s="266" t="n">
        <f aca="false">H19*$I$4</f>
        <v>80.0853</v>
      </c>
      <c r="J19" s="267" t="n">
        <v>0</v>
      </c>
      <c r="K19" s="268" t="n">
        <f aca="false">F19-I19</f>
        <v>316.4547</v>
      </c>
    </row>
    <row r="20" customFormat="false" ht="15" hidden="false" customHeight="false" outlineLevel="0" collapsed="false">
      <c r="A20" s="1" t="n">
        <v>15</v>
      </c>
      <c r="B20" s="252" t="s">
        <v>216</v>
      </c>
      <c r="C20" s="252" t="s">
        <v>114</v>
      </c>
      <c r="D20" s="252" t="s">
        <v>215</v>
      </c>
      <c r="E20" s="250" t="s">
        <v>478</v>
      </c>
      <c r="F20" s="264" t="n">
        <v>552.85</v>
      </c>
      <c r="H20" s="265" t="n">
        <v>3</v>
      </c>
      <c r="I20" s="266" t="n">
        <f aca="false">H20*$I$4</f>
        <v>80.0853</v>
      </c>
      <c r="J20" s="267" t="n">
        <v>0</v>
      </c>
      <c r="K20" s="268" t="n">
        <f aca="false">F20-I20</f>
        <v>472.7647</v>
      </c>
    </row>
    <row r="21" customFormat="false" ht="15" hidden="false" customHeight="false" outlineLevel="0" collapsed="false">
      <c r="A21" s="1" t="n">
        <v>16</v>
      </c>
      <c r="B21" s="252" t="s">
        <v>222</v>
      </c>
      <c r="C21" s="252" t="s">
        <v>165</v>
      </c>
      <c r="D21" s="252" t="s">
        <v>221</v>
      </c>
      <c r="E21" s="250" t="s">
        <v>479</v>
      </c>
      <c r="F21" s="264" t="n">
        <v>633.67</v>
      </c>
      <c r="H21" s="265" t="n">
        <v>3</v>
      </c>
      <c r="I21" s="266" t="n">
        <f aca="false">H21*$I$4</f>
        <v>80.0853</v>
      </c>
      <c r="J21" s="267" t="n">
        <v>0</v>
      </c>
      <c r="K21" s="268" t="n">
        <f aca="false">F21-I21</f>
        <v>553.5847</v>
      </c>
    </row>
    <row r="22" customFormat="false" ht="15" hidden="false" customHeight="false" outlineLevel="0" collapsed="false">
      <c r="A22" s="1" t="n">
        <v>17</v>
      </c>
      <c r="B22" s="252" t="s">
        <v>229</v>
      </c>
      <c r="C22" s="252" t="s">
        <v>230</v>
      </c>
      <c r="D22" s="252" t="s">
        <v>228</v>
      </c>
      <c r="E22" s="250" t="s">
        <v>480</v>
      </c>
      <c r="F22" s="264" t="n">
        <v>396.54</v>
      </c>
      <c r="H22" s="265" t="n">
        <v>3</v>
      </c>
      <c r="I22" s="266" t="n">
        <f aca="false">H22*$I$4</f>
        <v>80.0853</v>
      </c>
      <c r="J22" s="267" t="n">
        <v>0</v>
      </c>
      <c r="K22" s="268" t="n">
        <f aca="false">F22-I22</f>
        <v>316.4547</v>
      </c>
    </row>
    <row r="23" customFormat="false" ht="15" hidden="false" customHeight="false" outlineLevel="0" collapsed="false">
      <c r="A23" s="1" t="n">
        <v>18</v>
      </c>
      <c r="B23" s="252" t="s">
        <v>236</v>
      </c>
      <c r="C23" s="252" t="s">
        <v>237</v>
      </c>
      <c r="D23" s="252" t="s">
        <v>235</v>
      </c>
      <c r="E23" s="250" t="s">
        <v>481</v>
      </c>
      <c r="F23" s="264" t="n">
        <v>657.85</v>
      </c>
      <c r="H23" s="265" t="n">
        <v>3</v>
      </c>
      <c r="I23" s="266" t="n">
        <f aca="false">H23*$I$4</f>
        <v>80.0853</v>
      </c>
      <c r="J23" s="267" t="n">
        <v>0</v>
      </c>
      <c r="K23" s="268" t="n">
        <f aca="false">F23-I23</f>
        <v>577.7647</v>
      </c>
    </row>
    <row r="24" customFormat="false" ht="15" hidden="false" customHeight="false" outlineLevel="0" collapsed="false">
      <c r="A24" s="1" t="n">
        <v>19</v>
      </c>
      <c r="B24" s="252" t="s">
        <v>250</v>
      </c>
      <c r="C24" s="252" t="s">
        <v>251</v>
      </c>
      <c r="D24" s="252" t="s">
        <v>249</v>
      </c>
      <c r="E24" s="250" t="s">
        <v>482</v>
      </c>
      <c r="F24" s="264" t="n">
        <v>814.16</v>
      </c>
      <c r="H24" s="265" t="n">
        <v>3</v>
      </c>
      <c r="I24" s="266" t="n">
        <f aca="false">H24*$I$4</f>
        <v>80.0853</v>
      </c>
      <c r="J24" s="267" t="n">
        <v>0</v>
      </c>
      <c r="K24" s="268" t="n">
        <f aca="false">F24-I24</f>
        <v>734.0747</v>
      </c>
    </row>
    <row r="25" customFormat="false" ht="15" hidden="false" customHeight="false" outlineLevel="0" collapsed="false">
      <c r="A25" s="1" t="n">
        <v>20</v>
      </c>
      <c r="B25" s="252" t="s">
        <v>257</v>
      </c>
      <c r="C25" s="252" t="s">
        <v>258</v>
      </c>
      <c r="D25" s="252" t="s">
        <v>256</v>
      </c>
      <c r="E25" s="250" t="s">
        <v>483</v>
      </c>
      <c r="F25" s="264" t="n">
        <v>396.54</v>
      </c>
      <c r="H25" s="265" t="n">
        <v>3</v>
      </c>
      <c r="I25" s="266" t="n">
        <f aca="false">H25*$I$4</f>
        <v>80.0853</v>
      </c>
      <c r="J25" s="267" t="n">
        <v>0</v>
      </c>
      <c r="K25" s="268" t="n">
        <f aca="false">F25-I25</f>
        <v>316.4547</v>
      </c>
    </row>
    <row r="26" customFormat="false" ht="15" hidden="false" customHeight="false" outlineLevel="0" collapsed="false">
      <c r="A26" s="1" t="n">
        <v>21</v>
      </c>
      <c r="B26" s="252" t="s">
        <v>264</v>
      </c>
      <c r="C26" s="252" t="s">
        <v>265</v>
      </c>
      <c r="D26" s="252" t="s">
        <v>263</v>
      </c>
      <c r="E26" s="250" t="s">
        <v>484</v>
      </c>
      <c r="F26" s="264" t="n">
        <v>396.54</v>
      </c>
      <c r="H26" s="265" t="n">
        <v>3</v>
      </c>
      <c r="I26" s="266" t="n">
        <f aca="false">H26*$I$4</f>
        <v>80.0853</v>
      </c>
      <c r="J26" s="267" t="n">
        <v>0</v>
      </c>
      <c r="K26" s="268" t="n">
        <f aca="false">F26-I26</f>
        <v>316.4547</v>
      </c>
    </row>
    <row r="27" customFormat="false" ht="15" hidden="false" customHeight="false" outlineLevel="0" collapsed="false">
      <c r="A27" s="1" t="n">
        <v>22</v>
      </c>
      <c r="B27" s="252" t="s">
        <v>280</v>
      </c>
      <c r="C27" s="252" t="s">
        <v>281</v>
      </c>
      <c r="D27" s="252" t="s">
        <v>279</v>
      </c>
      <c r="E27" s="250" t="s">
        <v>485</v>
      </c>
      <c r="F27" s="264" t="n">
        <v>396.54</v>
      </c>
      <c r="H27" s="265" t="n">
        <v>3</v>
      </c>
      <c r="I27" s="266" t="n">
        <f aca="false">H27*$I$4</f>
        <v>80.0853</v>
      </c>
      <c r="J27" s="267" t="n">
        <v>0</v>
      </c>
      <c r="K27" s="268" t="n">
        <f aca="false">F27-I27</f>
        <v>316.4547</v>
      </c>
    </row>
    <row r="28" customFormat="false" ht="15" hidden="false" customHeight="false" outlineLevel="0" collapsed="false">
      <c r="A28" s="1" t="n">
        <v>23</v>
      </c>
      <c r="B28" s="252" t="s">
        <v>486</v>
      </c>
      <c r="C28" s="252" t="s">
        <v>487</v>
      </c>
      <c r="D28" s="252" t="s">
        <v>488</v>
      </c>
      <c r="E28" s="250" t="s">
        <v>489</v>
      </c>
      <c r="F28" s="264" t="n">
        <v>709.16</v>
      </c>
      <c r="H28" s="265" t="n">
        <v>3</v>
      </c>
      <c r="I28" s="266" t="n">
        <f aca="false">H28*$I$4</f>
        <v>80.0853</v>
      </c>
      <c r="J28" s="267" t="n">
        <v>0</v>
      </c>
      <c r="K28" s="268" t="n">
        <f aca="false">F28-I28</f>
        <v>629.0747</v>
      </c>
    </row>
    <row r="29" customFormat="false" ht="15" hidden="false" customHeight="false" outlineLevel="0" collapsed="false">
      <c r="A29" s="1" t="n">
        <v>24</v>
      </c>
      <c r="B29" s="252" t="s">
        <v>490</v>
      </c>
      <c r="C29" s="252" t="s">
        <v>301</v>
      </c>
      <c r="D29" s="252" t="s">
        <v>299</v>
      </c>
      <c r="E29" s="250" t="s">
        <v>491</v>
      </c>
      <c r="F29" s="264" t="n">
        <v>250.24</v>
      </c>
      <c r="H29" s="265" t="n">
        <v>3</v>
      </c>
      <c r="I29" s="266" t="n">
        <f aca="false">H29*$I$4</f>
        <v>80.0853</v>
      </c>
      <c r="J29" s="267" t="n">
        <v>0</v>
      </c>
      <c r="K29" s="268" t="n">
        <f aca="false">F29-I29</f>
        <v>170.1547</v>
      </c>
    </row>
    <row r="30" customFormat="false" ht="15" hidden="false" customHeight="false" outlineLevel="0" collapsed="false">
      <c r="A30" s="1" t="n">
        <v>25</v>
      </c>
      <c r="B30" s="253" t="s">
        <v>492</v>
      </c>
      <c r="C30" s="253" t="s">
        <v>493</v>
      </c>
      <c r="D30" s="253" t="s">
        <v>494</v>
      </c>
      <c r="E30" s="250" t="s">
        <v>495</v>
      </c>
      <c r="F30" s="264" t="n">
        <v>1017.56</v>
      </c>
      <c r="H30" s="265" t="n">
        <v>3</v>
      </c>
      <c r="I30" s="266" t="n">
        <f aca="false">H30*$I$4</f>
        <v>80.0853</v>
      </c>
      <c r="J30" s="267" t="n">
        <v>0</v>
      </c>
      <c r="K30" s="268" t="n">
        <f aca="false">F30-I30</f>
        <v>937.4747</v>
      </c>
    </row>
    <row r="31" customFormat="false" ht="15.75" hidden="false" customHeight="true" outlineLevel="0" collapsed="false">
      <c r="H31" s="94" t="n">
        <f aca="false">SUM(H8:H30)</f>
        <v>99</v>
      </c>
      <c r="I31" s="269" t="n">
        <f aca="false">SUM(I8:I30)</f>
        <v>2642.8149</v>
      </c>
      <c r="J31" s="269" t="n">
        <f aca="false">SUM(J8:J30)</f>
        <v>0</v>
      </c>
      <c r="K31" s="269" t="n">
        <f aca="false">SUM(K8:K30)</f>
        <v>14697.3951</v>
      </c>
    </row>
    <row r="32" customFormat="false" ht="15.75" hidden="false" customHeight="true" outlineLevel="0" collapsed="false">
      <c r="B32" s="245" t="s">
        <v>496</v>
      </c>
      <c r="C32" s="245"/>
      <c r="D32" s="245"/>
      <c r="E32" s="245"/>
      <c r="F32" s="255" t="n">
        <f aca="false">SUM(F8:F31)</f>
        <v>17340.21</v>
      </c>
    </row>
    <row r="33" customFormat="false" ht="15" hidden="false" customHeight="false" outlineLevel="0" collapsed="false">
      <c r="B33" s="245" t="s">
        <v>497</v>
      </c>
      <c r="C33" s="245"/>
      <c r="D33" s="245"/>
      <c r="E33" s="245"/>
      <c r="F33" s="255" t="n">
        <f aca="false">-F32*(2.5/100)</f>
        <v>-433.50525</v>
      </c>
      <c r="K33" s="3"/>
    </row>
    <row r="34" customFormat="false" ht="15" hidden="false" customHeight="false" outlineLevel="0" collapsed="false">
      <c r="B34" s="245" t="s">
        <v>498</v>
      </c>
      <c r="C34" s="245"/>
      <c r="D34" s="245"/>
      <c r="E34" s="245"/>
      <c r="F34" s="255" t="n">
        <f aca="false">F32+F33</f>
        <v>16906.70475</v>
      </c>
      <c r="I34" s="3"/>
      <c r="K34" s="3"/>
    </row>
    <row r="35" customFormat="false" ht="15" hidden="false" customHeight="false" outlineLevel="0" collapsed="false">
      <c r="I35" s="4"/>
    </row>
    <row r="36" customFormat="false" ht="15" hidden="false" customHeight="false" outlineLevel="0" collapsed="false">
      <c r="B36" s="245" t="s">
        <v>499</v>
      </c>
      <c r="I36" s="3"/>
    </row>
    <row r="37" customFormat="false" ht="15" hidden="false" customHeight="false" outlineLevel="0" collapsed="false">
      <c r="B37" s="246" t="s">
        <v>520</v>
      </c>
      <c r="C37" s="246" t="s">
        <v>501</v>
      </c>
      <c r="F37" s="3"/>
    </row>
    <row r="39" customFormat="false" ht="15" hidden="false" customHeight="false" outlineLevel="0" collapsed="false">
      <c r="B39" s="245" t="s">
        <v>521</v>
      </c>
    </row>
    <row r="40" customFormat="false" ht="15" hidden="false" customHeight="false" outlineLevel="0" collapsed="false">
      <c r="B40" s="246" t="s">
        <v>522</v>
      </c>
      <c r="C40" s="246" t="s">
        <v>523</v>
      </c>
    </row>
  </sheetData>
  <mergeCells count="1">
    <mergeCell ref="H6:I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9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N46" activeCellId="0" sqref="N46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4.86"/>
    <col collapsed="false" customWidth="true" hidden="false" outlineLevel="0" max="3" min="3" style="1" width="23.14"/>
    <col collapsed="false" customWidth="true" hidden="false" outlineLevel="0" max="4" min="4" style="4" width="10.85"/>
    <col collapsed="false" customWidth="true" hidden="false" outlineLevel="0" max="5" min="5" style="4" width="13.86"/>
    <col collapsed="false" customWidth="true" hidden="false" outlineLevel="0" max="9" min="6" style="4" width="15.71"/>
    <col collapsed="false" customWidth="true" hidden="false" outlineLevel="0" max="10" min="10" style="1" width="16.29"/>
    <col collapsed="false" customWidth="true" hidden="false" outlineLevel="0" max="11" min="11" style="1" width="14"/>
    <col collapsed="false" customWidth="true" hidden="false" outlineLevel="0" max="12" min="12" style="1" width="11.43"/>
  </cols>
  <sheetData>
    <row r="1" customFormat="false" ht="15" hidden="false" customHeight="false" outlineLevel="0" collapsed="false">
      <c r="B1" s="27" t="s">
        <v>524</v>
      </c>
      <c r="C1" s="27"/>
      <c r="F1" s="270" t="s">
        <v>56</v>
      </c>
      <c r="G1" s="270"/>
      <c r="H1" s="271" t="s">
        <v>525</v>
      </c>
      <c r="I1" s="272" t="s">
        <v>54</v>
      </c>
      <c r="J1" s="272"/>
      <c r="K1" s="11" t="s">
        <v>526</v>
      </c>
      <c r="L1" s="11"/>
    </row>
    <row r="2" customFormat="false" ht="15" hidden="false" customHeight="false" outlineLevel="0" collapsed="false">
      <c r="A2" s="29" t="s">
        <v>28</v>
      </c>
      <c r="B2" s="273" t="s">
        <v>29</v>
      </c>
      <c r="C2" s="29" t="s">
        <v>30</v>
      </c>
      <c r="D2" s="274" t="s">
        <v>527</v>
      </c>
      <c r="E2" s="274" t="s">
        <v>528</v>
      </c>
      <c r="F2" s="274" t="s">
        <v>26</v>
      </c>
      <c r="G2" s="274" t="s">
        <v>62</v>
      </c>
      <c r="H2" s="274" t="s">
        <v>62</v>
      </c>
      <c r="I2" s="275" t="s">
        <v>26</v>
      </c>
      <c r="J2" s="275" t="s">
        <v>62</v>
      </c>
      <c r="K2" s="276" t="s">
        <v>26</v>
      </c>
      <c r="L2" s="276" t="s">
        <v>62</v>
      </c>
    </row>
    <row r="3" customFormat="false" ht="15.75" hidden="false" customHeight="true" outlineLevel="0" collapsed="false">
      <c r="A3" s="41" t="str">
        <f aca="false">Paysheet!A4</f>
        <v>AES-E046</v>
      </c>
      <c r="B3" s="42" t="str">
        <f aca="false">Paysheet!B4</f>
        <v>Tarisai</v>
      </c>
      <c r="C3" s="43" t="str">
        <f aca="false">Paysheet!C4</f>
        <v>Zinyama</v>
      </c>
      <c r="D3" s="48" t="n">
        <f aca="false">Paysheet!AG4</f>
        <v>1575.582</v>
      </c>
      <c r="E3" s="48" t="n">
        <f aca="false">Paysheet!AH4</f>
        <v>47465.756457</v>
      </c>
      <c r="F3" s="48" t="n">
        <f aca="false">Paysheet!AJ4</f>
        <v>15.608990975872</v>
      </c>
      <c r="G3" s="48" t="n">
        <f aca="false">Paysheet!AK4</f>
        <v>333.34686</v>
      </c>
      <c r="H3" s="48" t="n">
        <f aca="false">Paysheet!AL4</f>
        <v>0</v>
      </c>
      <c r="I3" s="48" t="n">
        <f aca="false">D3+F3</f>
        <v>1591.19099097587</v>
      </c>
      <c r="J3" s="57" t="n">
        <f aca="false">E3+G3+H3</f>
        <v>47799.103317</v>
      </c>
      <c r="K3" s="57" t="n">
        <f aca="false">I3*0.01</f>
        <v>15.9119099097587</v>
      </c>
      <c r="L3" s="57" t="n">
        <f aca="false">J3*0.01</f>
        <v>477.99103317</v>
      </c>
    </row>
    <row r="4" customFormat="false" ht="15.75" hidden="false" customHeight="true" outlineLevel="0" collapsed="false">
      <c r="A4" s="41" t="str">
        <f aca="false">Paysheet!A5</f>
        <v>AES-E049</v>
      </c>
      <c r="B4" s="42" t="str">
        <f aca="false">Paysheet!B5</f>
        <v>Marvellous</v>
      </c>
      <c r="C4" s="43" t="str">
        <f aca="false">Paysheet!C5</f>
        <v>Chakanetsa</v>
      </c>
      <c r="D4" s="48" t="n">
        <f aca="false">Paysheet!AG5</f>
        <v>657.9</v>
      </c>
      <c r="E4" s="48" t="n">
        <f aca="false">Paysheet!AH5</f>
        <v>28777.851702</v>
      </c>
      <c r="F4" s="48" t="n">
        <f aca="false">Paysheet!AJ5</f>
        <v>15.608990975872</v>
      </c>
      <c r="G4" s="48" t="n">
        <f aca="false">Paysheet!AK5</f>
        <v>333.34686</v>
      </c>
      <c r="H4" s="48" t="n">
        <f aca="false">Paysheet!AL5</f>
        <v>0</v>
      </c>
      <c r="I4" s="48" t="n">
        <f aca="false">D4+F4</f>
        <v>673.508990975872</v>
      </c>
      <c r="J4" s="57" t="n">
        <f aca="false">E4+G4+H4</f>
        <v>29111.198562</v>
      </c>
      <c r="K4" s="57" t="n">
        <f aca="false">I4*0.01</f>
        <v>6.73508990975872</v>
      </c>
      <c r="L4" s="57" t="n">
        <f aca="false">J4*0.01</f>
        <v>291.11198562</v>
      </c>
    </row>
    <row r="5" customFormat="false" ht="15.75" hidden="false" customHeight="true" outlineLevel="0" collapsed="false">
      <c r="A5" s="41" t="str">
        <f aca="false">Paysheet!A6</f>
        <v>AES-E022</v>
      </c>
      <c r="B5" s="42" t="str">
        <f aca="false">Paysheet!B6</f>
        <v>Obvious</v>
      </c>
      <c r="C5" s="43" t="str">
        <f aca="false">Paysheet!C6</f>
        <v>Mpofu</v>
      </c>
      <c r="D5" s="48" t="n">
        <f aca="false">Paysheet!AG6</f>
        <v>822.68</v>
      </c>
      <c r="E5" s="48" t="n">
        <f aca="false">Paysheet!AH6</f>
        <v>25168.14028</v>
      </c>
      <c r="F5" s="48" t="n">
        <f aca="false">Paysheet!AJ6</f>
        <v>15.608990975872</v>
      </c>
      <c r="G5" s="48" t="n">
        <f aca="false">Paysheet!AK6</f>
        <v>333.34686</v>
      </c>
      <c r="H5" s="48" t="n">
        <f aca="false">Paysheet!AL6</f>
        <v>0</v>
      </c>
      <c r="I5" s="48" t="n">
        <f aca="false">D5+F5</f>
        <v>838.288990975872</v>
      </c>
      <c r="J5" s="57" t="n">
        <f aca="false">E5+G5+H5</f>
        <v>25501.48714</v>
      </c>
      <c r="K5" s="57" t="n">
        <f aca="false">I5*0.01</f>
        <v>8.38288990975872</v>
      </c>
      <c r="L5" s="57" t="n">
        <f aca="false">J5*0.01</f>
        <v>255.0148714</v>
      </c>
    </row>
    <row r="6" customFormat="false" ht="15.75" hidden="false" customHeight="true" outlineLevel="0" collapsed="false">
      <c r="A6" s="41" t="str">
        <f aca="false">Paysheet!A7</f>
        <v>AES-E035</v>
      </c>
      <c r="B6" s="42" t="str">
        <f aca="false">Paysheet!B7</f>
        <v>Polite</v>
      </c>
      <c r="C6" s="43" t="str">
        <f aca="false">Paysheet!C7</f>
        <v>Mudarikwa</v>
      </c>
      <c r="D6" s="48" t="n">
        <f aca="false">Paysheet!AG7</f>
        <v>478.98</v>
      </c>
      <c r="E6" s="48" t="n">
        <f aca="false">Paysheet!AH7</f>
        <v>15784.81263</v>
      </c>
      <c r="F6" s="48" t="n">
        <f aca="false">Paysheet!AJ7</f>
        <v>15.608990975872</v>
      </c>
      <c r="G6" s="48" t="n">
        <f aca="false">Paysheet!AK7</f>
        <v>333.34686</v>
      </c>
      <c r="H6" s="48" t="n">
        <f aca="false">Paysheet!AL7</f>
        <v>0</v>
      </c>
      <c r="I6" s="48" t="n">
        <f aca="false">D6+F6</f>
        <v>494.588990975872</v>
      </c>
      <c r="J6" s="57" t="n">
        <f aca="false">E6+G6+H6</f>
        <v>16118.15949</v>
      </c>
      <c r="K6" s="57" t="n">
        <f aca="false">I6*0.01</f>
        <v>4.94588990975872</v>
      </c>
      <c r="L6" s="57" t="n">
        <f aca="false">J6*0.01</f>
        <v>161.1815949</v>
      </c>
    </row>
    <row r="7" customFormat="false" ht="15.75" hidden="false" customHeight="true" outlineLevel="0" collapsed="false">
      <c r="A7" s="41" t="str">
        <f aca="false">Paysheet!A8</f>
        <v>AES-E041</v>
      </c>
      <c r="B7" s="42" t="str">
        <f aca="false">Paysheet!B8</f>
        <v>Chenai</v>
      </c>
      <c r="C7" s="43" t="str">
        <f aca="false">Paysheet!C8</f>
        <v>Runesu</v>
      </c>
      <c r="D7" s="48" t="n">
        <f aca="false">Paysheet!AG8</f>
        <v>677.168</v>
      </c>
      <c r="E7" s="48" t="n">
        <f aca="false">Paysheet!AH8</f>
        <v>23910.267168</v>
      </c>
      <c r="F7" s="48" t="n">
        <f aca="false">Paysheet!AJ8</f>
        <v>15.608990975872</v>
      </c>
      <c r="G7" s="48" t="n">
        <f aca="false">Paysheet!AK8</f>
        <v>333.34686</v>
      </c>
      <c r="H7" s="48" t="n">
        <f aca="false">Paysheet!AL8</f>
        <v>0</v>
      </c>
      <c r="I7" s="48" t="n">
        <f aca="false">D7+F7</f>
        <v>692.776990975872</v>
      </c>
      <c r="J7" s="57" t="n">
        <f aca="false">E7+G7+H7</f>
        <v>24243.614028</v>
      </c>
      <c r="K7" s="57" t="n">
        <f aca="false">I7*0.01</f>
        <v>6.92776990975872</v>
      </c>
      <c r="L7" s="57" t="n">
        <f aca="false">J7*0.01</f>
        <v>242.43614028</v>
      </c>
    </row>
    <row r="8" customFormat="false" ht="15.75" hidden="false" customHeight="true" outlineLevel="0" collapsed="false">
      <c r="A8" s="41" t="str">
        <f aca="false">Paysheet!A9</f>
        <v>AES-E033</v>
      </c>
      <c r="B8" s="42" t="str">
        <f aca="false">Paysheet!B9</f>
        <v>Tafadzwa</v>
      </c>
      <c r="C8" s="43" t="str">
        <f aca="false">Paysheet!C9</f>
        <v>Mafukidze</v>
      </c>
      <c r="D8" s="48" t="n">
        <f aca="false">Paysheet!AG9</f>
        <v>353.52</v>
      </c>
      <c r="E8" s="48" t="n">
        <f aca="false">Paysheet!AH9</f>
        <v>11769.335688</v>
      </c>
      <c r="F8" s="48" t="n">
        <f aca="false">Paysheet!AJ9</f>
        <v>13.104</v>
      </c>
      <c r="G8" s="48" t="n">
        <f aca="false">Paysheet!AK9</f>
        <v>279.85007232</v>
      </c>
      <c r="H8" s="48" t="n">
        <f aca="false">Paysheet!AL9</f>
        <v>1166.041968</v>
      </c>
      <c r="I8" s="48" t="n">
        <f aca="false">D8+F8</f>
        <v>366.624</v>
      </c>
      <c r="J8" s="57" t="n">
        <f aca="false">E8+G8+H8</f>
        <v>13215.22772832</v>
      </c>
      <c r="K8" s="57" t="n">
        <f aca="false">I8*0.01</f>
        <v>3.66624</v>
      </c>
      <c r="L8" s="57" t="n">
        <f aca="false">J8*0.01</f>
        <v>132.1522772832</v>
      </c>
    </row>
    <row r="9" customFormat="false" ht="15.75" hidden="false" customHeight="true" outlineLevel="0" collapsed="false">
      <c r="A9" s="41" t="str">
        <f aca="false">Paysheet!A10</f>
        <v>AES-E034</v>
      </c>
      <c r="B9" s="42" t="str">
        <f aca="false">Paysheet!B10</f>
        <v>Kudzai</v>
      </c>
      <c r="C9" s="43" t="str">
        <f aca="false">Paysheet!C10</f>
        <v>Gwatidzo</v>
      </c>
      <c r="D9" s="48" t="n">
        <f aca="false">Paysheet!AG10</f>
        <v>473.2</v>
      </c>
      <c r="E9" s="48" t="n">
        <f aca="false">Paysheet!AH10</f>
        <v>14964.205256</v>
      </c>
      <c r="F9" s="48" t="n">
        <f aca="false">Paysheet!AJ10</f>
        <v>13.104</v>
      </c>
      <c r="G9" s="48" t="n">
        <f aca="false">Paysheet!AK10</f>
        <v>279.85007232</v>
      </c>
      <c r="H9" s="48" t="n">
        <f aca="false">Paysheet!AL10</f>
        <v>1166.041968</v>
      </c>
      <c r="I9" s="48" t="n">
        <f aca="false">D9+F9</f>
        <v>486.304</v>
      </c>
      <c r="J9" s="57" t="n">
        <f aca="false">E9+G9+H9</f>
        <v>16410.09729632</v>
      </c>
      <c r="K9" s="57" t="n">
        <f aca="false">I9*0.01</f>
        <v>4.86304</v>
      </c>
      <c r="L9" s="57" t="n">
        <f aca="false">J9*0.01</f>
        <v>164.1009729632</v>
      </c>
    </row>
    <row r="10" customFormat="false" ht="15.75" hidden="false" customHeight="true" outlineLevel="0" collapsed="false">
      <c r="A10" s="41" t="str">
        <f aca="false">Paysheet!A11</f>
        <v>AES-E036</v>
      </c>
      <c r="B10" s="42" t="str">
        <f aca="false">Paysheet!B11</f>
        <v>Dadirai</v>
      </c>
      <c r="C10" s="43" t="str">
        <f aca="false">Paysheet!C11</f>
        <v>Nyakudya</v>
      </c>
      <c r="D10" s="48" t="n">
        <f aca="false">Paysheet!AG11</f>
        <v>176.58</v>
      </c>
      <c r="E10" s="48" t="n">
        <f aca="false">Paysheet!AH11</f>
        <v>6063.0978924</v>
      </c>
      <c r="F10" s="48" t="n">
        <f aca="false">Paysheet!AJ11</f>
        <v>7.5816</v>
      </c>
      <c r="G10" s="48" t="n">
        <f aca="false">Paysheet!AK11</f>
        <v>161.913256128</v>
      </c>
      <c r="H10" s="48" t="n">
        <f aca="false">Paysheet!AL11</f>
        <v>674.6385672</v>
      </c>
      <c r="I10" s="48" t="n">
        <f aca="false">D10+F10</f>
        <v>184.1616</v>
      </c>
      <c r="J10" s="57" t="n">
        <f aca="false">E10+G10+H10</f>
        <v>6899.649715728</v>
      </c>
      <c r="K10" s="57" t="n">
        <f aca="false">I10*0.01</f>
        <v>1.841616</v>
      </c>
      <c r="L10" s="57" t="n">
        <f aca="false">J10*0.01</f>
        <v>68.99649715728</v>
      </c>
    </row>
    <row r="11" customFormat="false" ht="15.75" hidden="false" customHeight="true" outlineLevel="0" collapsed="false">
      <c r="A11" s="41" t="str">
        <f aca="false">Paysheet!A12</f>
        <v>AES-E037</v>
      </c>
      <c r="B11" s="42" t="str">
        <f aca="false">Paysheet!B12</f>
        <v>Tarisai</v>
      </c>
      <c r="C11" s="43" t="str">
        <f aca="false">Paysheet!C12</f>
        <v>Chidzambwa</v>
      </c>
      <c r="D11" s="48" t="n">
        <f aca="false">Paysheet!AG12</f>
        <v>176.58</v>
      </c>
      <c r="E11" s="48" t="n">
        <f aca="false">Paysheet!AH12</f>
        <v>6063.0978924</v>
      </c>
      <c r="F11" s="48" t="n">
        <f aca="false">Paysheet!AJ12</f>
        <v>7.5816</v>
      </c>
      <c r="G11" s="48" t="n">
        <f aca="false">Paysheet!AK12</f>
        <v>161.913256128</v>
      </c>
      <c r="H11" s="48" t="n">
        <f aca="false">Paysheet!AL12</f>
        <v>674.6385672</v>
      </c>
      <c r="I11" s="48" t="n">
        <f aca="false">D11+F11</f>
        <v>184.1616</v>
      </c>
      <c r="J11" s="57" t="n">
        <f aca="false">E11+G11+H11</f>
        <v>6899.649715728</v>
      </c>
      <c r="K11" s="57" t="n">
        <f aca="false">I11*0.01</f>
        <v>1.841616</v>
      </c>
      <c r="L11" s="57" t="n">
        <f aca="false">J11*0.01</f>
        <v>68.99649715728</v>
      </c>
    </row>
    <row r="12" customFormat="false" ht="15.75" hidden="false" customHeight="true" outlineLevel="0" collapsed="false">
      <c r="A12" s="41" t="str">
        <f aca="false">Paysheet!A13</f>
        <v>AES-E015</v>
      </c>
      <c r="B12" s="42" t="str">
        <f aca="false">Paysheet!B13</f>
        <v>Believe</v>
      </c>
      <c r="C12" s="43" t="str">
        <f aca="false">Paysheet!C13</f>
        <v>Mhererwa</v>
      </c>
      <c r="D12" s="48" t="n">
        <f aca="false">Paysheet!AG13</f>
        <v>188.892</v>
      </c>
      <c r="E12" s="48" t="n">
        <f aca="false">Paysheet!AH13</f>
        <v>6391.7679636</v>
      </c>
      <c r="F12" s="48" t="n">
        <f aca="false">Paysheet!AJ13</f>
        <v>7.5816</v>
      </c>
      <c r="G12" s="48" t="n">
        <f aca="false">Paysheet!AK13</f>
        <v>161.913256128</v>
      </c>
      <c r="H12" s="48" t="n">
        <f aca="false">Paysheet!AL13</f>
        <v>0</v>
      </c>
      <c r="I12" s="48" t="n">
        <f aca="false">D12+F12</f>
        <v>196.4736</v>
      </c>
      <c r="J12" s="57" t="n">
        <f aca="false">E12+G12+H12</f>
        <v>6553.681219728</v>
      </c>
      <c r="K12" s="57" t="n">
        <f aca="false">I12*0.01</f>
        <v>1.964736</v>
      </c>
      <c r="L12" s="57" t="n">
        <f aca="false">J12*0.01</f>
        <v>65.53681219728</v>
      </c>
    </row>
    <row r="13" customFormat="false" ht="15.75" hidden="false" customHeight="true" outlineLevel="0" collapsed="false">
      <c r="A13" s="41" t="str">
        <f aca="false">Paysheet!A14</f>
        <v>AES-E016</v>
      </c>
      <c r="B13" s="42" t="str">
        <f aca="false">Paysheet!B14</f>
        <v>Shingai</v>
      </c>
      <c r="C13" s="43" t="str">
        <f aca="false">Paysheet!C14</f>
        <v>Rusike</v>
      </c>
      <c r="D13" s="48" t="n">
        <f aca="false">Paysheet!AG14</f>
        <v>189.216</v>
      </c>
      <c r="E13" s="48" t="n">
        <f aca="false">Paysheet!AH14</f>
        <v>6400.417176</v>
      </c>
      <c r="F13" s="48" t="n">
        <f aca="false">Paysheet!AJ14</f>
        <v>7.5816</v>
      </c>
      <c r="G13" s="48" t="n">
        <f aca="false">Paysheet!AK14</f>
        <v>161.913256128</v>
      </c>
      <c r="H13" s="48" t="n">
        <f aca="false">Paysheet!AL14</f>
        <v>0</v>
      </c>
      <c r="I13" s="48" t="n">
        <f aca="false">D13+F13</f>
        <v>196.7976</v>
      </c>
      <c r="J13" s="57" t="n">
        <f aca="false">E13+G13+H13</f>
        <v>6562.330432128</v>
      </c>
      <c r="K13" s="57" t="n">
        <f aca="false">I13*0.01</f>
        <v>1.967976</v>
      </c>
      <c r="L13" s="57" t="n">
        <f aca="false">J13*0.01</f>
        <v>65.62330432128</v>
      </c>
    </row>
    <row r="14" customFormat="false" ht="15.75" hidden="false" customHeight="true" outlineLevel="0" collapsed="false">
      <c r="A14" s="41" t="str">
        <f aca="false">Paysheet!A15</f>
        <v>AES-E018</v>
      </c>
      <c r="B14" s="42" t="str">
        <f aca="false">Paysheet!B15</f>
        <v>Gamuchirai</v>
      </c>
      <c r="C14" s="43" t="str">
        <f aca="false">Paysheet!C15</f>
        <v>Chirenda</v>
      </c>
      <c r="D14" s="48" t="n">
        <f aca="false">Paysheet!AG15</f>
        <v>189.216</v>
      </c>
      <c r="E14" s="48" t="n">
        <f aca="false">Paysheet!AH15</f>
        <v>6400.417176</v>
      </c>
      <c r="F14" s="48" t="n">
        <f aca="false">Paysheet!AJ15</f>
        <v>7.5816</v>
      </c>
      <c r="G14" s="48" t="n">
        <f aca="false">Paysheet!AK15</f>
        <v>161.913256128</v>
      </c>
      <c r="H14" s="48" t="n">
        <f aca="false">Paysheet!AL15</f>
        <v>0</v>
      </c>
      <c r="I14" s="48" t="n">
        <f aca="false">D14+F14</f>
        <v>196.7976</v>
      </c>
      <c r="J14" s="57" t="n">
        <f aca="false">E14+G14+H14</f>
        <v>6562.330432128</v>
      </c>
      <c r="K14" s="57" t="n">
        <f aca="false">I14*0.01</f>
        <v>1.967976</v>
      </c>
      <c r="L14" s="57" t="n">
        <f aca="false">J14*0.01</f>
        <v>65.62330432128</v>
      </c>
    </row>
    <row r="15" customFormat="false" ht="15.75" hidden="false" customHeight="true" outlineLevel="0" collapsed="false">
      <c r="A15" s="41" t="str">
        <f aca="false">Paysheet!A16</f>
        <v>AES-E013</v>
      </c>
      <c r="B15" s="42" t="str">
        <f aca="false">Paysheet!B16</f>
        <v>Chido</v>
      </c>
      <c r="C15" s="43" t="str">
        <f aca="false">Paysheet!C16</f>
        <v>Chigumba</v>
      </c>
      <c r="D15" s="48" t="n">
        <f aca="false">Paysheet!AG16</f>
        <v>188.892</v>
      </c>
      <c r="E15" s="48" t="n">
        <f aca="false">Paysheet!AH16</f>
        <v>6391.7679636</v>
      </c>
      <c r="F15" s="48" t="n">
        <f aca="false">Paysheet!AJ16</f>
        <v>7.5816</v>
      </c>
      <c r="G15" s="48" t="n">
        <f aca="false">Paysheet!AK16</f>
        <v>161.913256128</v>
      </c>
      <c r="H15" s="48" t="n">
        <f aca="false">Paysheet!AL16</f>
        <v>0</v>
      </c>
      <c r="I15" s="48" t="n">
        <f aca="false">D15+F15</f>
        <v>196.4736</v>
      </c>
      <c r="J15" s="57" t="n">
        <f aca="false">E15+G15+H15</f>
        <v>6553.681219728</v>
      </c>
      <c r="K15" s="57" t="n">
        <f aca="false">I15*0.01</f>
        <v>1.964736</v>
      </c>
      <c r="L15" s="57" t="n">
        <f aca="false">J15*0.01</f>
        <v>65.53681219728</v>
      </c>
    </row>
    <row r="16" customFormat="false" ht="15.75" hidden="false" customHeight="true" outlineLevel="0" collapsed="false">
      <c r="A16" s="41" t="str">
        <f aca="false">Paysheet!A17</f>
        <v>AES-E045</v>
      </c>
      <c r="B16" s="42" t="str">
        <f aca="false">Paysheet!B17</f>
        <v>Tinotenda</v>
      </c>
      <c r="C16" s="43" t="str">
        <f aca="false">Paysheet!C17</f>
        <v>Nyagura</v>
      </c>
      <c r="D16" s="48" t="n">
        <f aca="false">Paysheet!AG17</f>
        <v>283.02</v>
      </c>
      <c r="E16" s="48" t="n">
        <f aca="false">Paysheet!AH17</f>
        <v>9054.444018</v>
      </c>
      <c r="F16" s="48" t="n">
        <f aca="false">Paysheet!AJ17</f>
        <v>8.424</v>
      </c>
      <c r="G16" s="48" t="n">
        <f aca="false">Paysheet!AK17</f>
        <v>179.90361792</v>
      </c>
      <c r="H16" s="48" t="n">
        <f aca="false">Paysheet!AL17</f>
        <v>0</v>
      </c>
      <c r="I16" s="48" t="n">
        <f aca="false">D16+F16</f>
        <v>291.444</v>
      </c>
      <c r="J16" s="57" t="n">
        <f aca="false">E16+G16+H16</f>
        <v>9234.34763592</v>
      </c>
      <c r="K16" s="57" t="n">
        <f aca="false">I16*0.01</f>
        <v>2.91444</v>
      </c>
      <c r="L16" s="57" t="n">
        <f aca="false">J16*0.01</f>
        <v>92.3434763592</v>
      </c>
    </row>
    <row r="17" customFormat="false" ht="15.75" hidden="false" customHeight="true" outlineLevel="0" collapsed="false">
      <c r="A17" s="41" t="str">
        <f aca="false">Paysheet!A18</f>
        <v>AES-E048</v>
      </c>
      <c r="B17" s="42" t="str">
        <f aca="false">Paysheet!B18</f>
        <v>Nomatter</v>
      </c>
      <c r="C17" s="43" t="str">
        <f aca="false">Paysheet!C18</f>
        <v>Nhira</v>
      </c>
      <c r="D17" s="48" t="n">
        <f aca="false">Paysheet!AG18</f>
        <v>306.14</v>
      </c>
      <c r="E17" s="48" t="n">
        <f aca="false">Paysheet!AH18</f>
        <v>10504.52185</v>
      </c>
      <c r="F17" s="48" t="n">
        <f aca="false">Paysheet!AJ18</f>
        <v>13.104</v>
      </c>
      <c r="G17" s="48" t="n">
        <f aca="false">Paysheet!AK18</f>
        <v>279.85007232</v>
      </c>
      <c r="H17" s="48" t="n">
        <f aca="false">Paysheet!AL18</f>
        <v>1166.041968</v>
      </c>
      <c r="I17" s="48" t="n">
        <f aca="false">D17+F17</f>
        <v>319.244</v>
      </c>
      <c r="J17" s="57" t="n">
        <f aca="false">E17+G17+H17</f>
        <v>11950.41389032</v>
      </c>
      <c r="K17" s="57" t="n">
        <f aca="false">I17*0.01</f>
        <v>3.19244</v>
      </c>
      <c r="L17" s="57" t="n">
        <f aca="false">J17*0.01</f>
        <v>119.5041389032</v>
      </c>
    </row>
    <row r="18" customFormat="false" ht="15.75" hidden="false" customHeight="true" outlineLevel="0" collapsed="false">
      <c r="A18" s="41" t="str">
        <f aca="false">Paysheet!A19</f>
        <v>AES-E043</v>
      </c>
      <c r="B18" s="42" t="str">
        <f aca="false">Paysheet!B19</f>
        <v>Zvikomborero</v>
      </c>
      <c r="C18" s="43" t="str">
        <f aca="false">Paysheet!C19</f>
        <v>Mpofu</v>
      </c>
      <c r="D18" s="48" t="n">
        <f aca="false">Paysheet!AG19</f>
        <v>241.38</v>
      </c>
      <c r="E18" s="48" t="n">
        <f aca="false">Paysheet!AH19</f>
        <v>7792.9403724</v>
      </c>
      <c r="F18" s="48" t="n">
        <f aca="false">Paysheet!AJ19</f>
        <v>7.5816</v>
      </c>
      <c r="G18" s="48" t="n">
        <f aca="false">Paysheet!AK19</f>
        <v>161.913256128</v>
      </c>
      <c r="H18" s="48" t="n">
        <f aca="false">Paysheet!AL19</f>
        <v>674.6385672</v>
      </c>
      <c r="I18" s="48" t="n">
        <f aca="false">D18+F18</f>
        <v>248.9616</v>
      </c>
      <c r="J18" s="57" t="n">
        <f aca="false">E18+G18+H18</f>
        <v>8629.492195728</v>
      </c>
      <c r="K18" s="57" t="n">
        <f aca="false">I18*0.01</f>
        <v>2.489616</v>
      </c>
      <c r="L18" s="57" t="n">
        <f aca="false">J18*0.01</f>
        <v>86.29492195728</v>
      </c>
    </row>
    <row r="19" customFormat="false" ht="15.75" hidden="false" customHeight="true" outlineLevel="0" collapsed="false">
      <c r="A19" s="41" t="str">
        <f aca="false">Paysheet!A20</f>
        <v>AES-E044</v>
      </c>
      <c r="B19" s="42" t="str">
        <f aca="false">Paysheet!B20</f>
        <v>Anesu</v>
      </c>
      <c r="C19" s="43" t="str">
        <f aca="false">Paysheet!C20</f>
        <v>Chidzambwa</v>
      </c>
      <c r="D19" s="48" t="n">
        <f aca="false">Paysheet!AG20</f>
        <v>386.512</v>
      </c>
      <c r="E19" s="48" t="n">
        <f aca="false">Paysheet!AH20</f>
        <v>11842.8006032</v>
      </c>
      <c r="F19" s="48" t="n">
        <f aca="false">Paysheet!AJ20</f>
        <v>8.568</v>
      </c>
      <c r="G19" s="48" t="n">
        <f aca="false">Paysheet!AK20</f>
        <v>182.97889344</v>
      </c>
      <c r="H19" s="48" t="n">
        <f aca="false">Paysheet!AL20</f>
        <v>762.412056</v>
      </c>
      <c r="I19" s="48" t="n">
        <f aca="false">D19+F19</f>
        <v>395.08</v>
      </c>
      <c r="J19" s="57" t="n">
        <f aca="false">E19+G19+H19</f>
        <v>12788.19155264</v>
      </c>
      <c r="K19" s="57" t="n">
        <f aca="false">I19*0.01</f>
        <v>3.9508</v>
      </c>
      <c r="L19" s="57" t="n">
        <f aca="false">J19*0.01</f>
        <v>127.8819155264</v>
      </c>
    </row>
    <row r="20" customFormat="false" ht="15.75" hidden="false" customHeight="true" outlineLevel="0" collapsed="false">
      <c r="A20" s="41" t="str">
        <f aca="false">Paysheet!A21</f>
        <v>AES-E047</v>
      </c>
      <c r="B20" s="42" t="str">
        <f aca="false">Paysheet!B21</f>
        <v>Innocent</v>
      </c>
      <c r="C20" s="43" t="str">
        <f aca="false">Paysheet!C21</f>
        <v>Chihota</v>
      </c>
      <c r="D20" s="48" t="n">
        <f aca="false">Paysheet!AG21</f>
        <v>570.55</v>
      </c>
      <c r="E20" s="48" t="n">
        <f aca="false">Paysheet!AH21</f>
        <v>17562.973241</v>
      </c>
      <c r="F20" s="48" t="n">
        <f aca="false">Paysheet!AJ21</f>
        <v>13.104</v>
      </c>
      <c r="G20" s="48" t="n">
        <f aca="false">Paysheet!AK21</f>
        <v>279.85007232</v>
      </c>
      <c r="H20" s="48" t="n">
        <f aca="false">Paysheet!AL21</f>
        <v>0</v>
      </c>
      <c r="I20" s="48" t="n">
        <f aca="false">D20+F20</f>
        <v>583.654</v>
      </c>
      <c r="J20" s="57" t="n">
        <f aca="false">E20+G20+H20</f>
        <v>17842.82331332</v>
      </c>
      <c r="K20" s="57" t="n">
        <f aca="false">I20*0.01</f>
        <v>5.83654</v>
      </c>
      <c r="L20" s="57" t="n">
        <f aca="false">J20*0.01</f>
        <v>178.4282331332</v>
      </c>
    </row>
    <row r="21" customFormat="false" ht="15.75" hidden="false" customHeight="true" outlineLevel="0" collapsed="false">
      <c r="A21" s="41" t="str">
        <f aca="false">Paysheet!A22</f>
        <v>AES-E038</v>
      </c>
      <c r="B21" s="42" t="str">
        <f aca="false">Paysheet!B22</f>
        <v>Munyaradzi</v>
      </c>
      <c r="C21" s="43" t="str">
        <f aca="false">Paysheet!C22</f>
        <v>Zhou</v>
      </c>
      <c r="D21" s="48" t="n">
        <f aca="false">Paysheet!AG22</f>
        <v>189.216</v>
      </c>
      <c r="E21" s="48" t="n">
        <f aca="false">Paysheet!AH22</f>
        <v>6400.417176</v>
      </c>
      <c r="F21" s="48" t="n">
        <f aca="false">Paysheet!AJ22</f>
        <v>7.5816</v>
      </c>
      <c r="G21" s="48" t="n">
        <f aca="false">Paysheet!AK22</f>
        <v>161.913256128</v>
      </c>
      <c r="H21" s="48" t="n">
        <f aca="false">Paysheet!AL22</f>
        <v>0</v>
      </c>
      <c r="I21" s="48" t="n">
        <f aca="false">D21+F21</f>
        <v>196.7976</v>
      </c>
      <c r="J21" s="57" t="n">
        <f aca="false">E21+G21+H21</f>
        <v>6562.330432128</v>
      </c>
      <c r="K21" s="57" t="n">
        <f aca="false">I21*0.01</f>
        <v>1.967976</v>
      </c>
      <c r="L21" s="57" t="n">
        <f aca="false">J21*0.01</f>
        <v>65.62330432128</v>
      </c>
    </row>
    <row r="22" customFormat="false" ht="15.75" hidden="false" customHeight="true" outlineLevel="0" collapsed="false">
      <c r="A22" s="41" t="str">
        <f aca="false">Paysheet!A23</f>
        <v>AES-E040</v>
      </c>
      <c r="B22" s="42" t="str">
        <f aca="false">Paysheet!B23</f>
        <v>Takudzwa</v>
      </c>
      <c r="C22" s="43" t="str">
        <f aca="false">Paysheet!C23</f>
        <v>Nyandoro</v>
      </c>
      <c r="D22" s="48" t="n">
        <f aca="false">Paysheet!AG23</f>
        <v>189.216</v>
      </c>
      <c r="E22" s="48" t="n">
        <f aca="false">Paysheet!AH23</f>
        <v>6400.417176</v>
      </c>
      <c r="F22" s="48" t="n">
        <f aca="false">Paysheet!AJ23</f>
        <v>7.5816</v>
      </c>
      <c r="G22" s="48" t="n">
        <f aca="false">Paysheet!AK23</f>
        <v>161.913256128</v>
      </c>
      <c r="H22" s="48" t="n">
        <f aca="false">Paysheet!AL23</f>
        <v>0</v>
      </c>
      <c r="I22" s="48" t="n">
        <f aca="false">D22+F22</f>
        <v>196.7976</v>
      </c>
      <c r="J22" s="57" t="n">
        <f aca="false">E22+G22+H22</f>
        <v>6562.330432128</v>
      </c>
      <c r="K22" s="57" t="n">
        <f aca="false">I22*0.01</f>
        <v>1.967976</v>
      </c>
      <c r="L22" s="57" t="n">
        <f aca="false">J22*0.01</f>
        <v>65.62330432128</v>
      </c>
    </row>
    <row r="23" customFormat="false" ht="15.75" hidden="false" customHeight="true" outlineLevel="0" collapsed="false">
      <c r="A23" s="41" t="str">
        <f aca="false">Paysheet!A24</f>
        <v>AES-E039</v>
      </c>
      <c r="B23" s="42" t="str">
        <f aca="false">Paysheet!B24</f>
        <v>Chiedza</v>
      </c>
      <c r="C23" s="43" t="str">
        <f aca="false">Paysheet!C24</f>
        <v>Mucheki</v>
      </c>
      <c r="D23" s="48" t="n">
        <f aca="false">Paysheet!AG24</f>
        <v>202.5</v>
      </c>
      <c r="E23" s="48" t="n">
        <f aca="false">Paysheet!AH24</f>
        <v>6755.0348844</v>
      </c>
      <c r="F23" s="48" t="n">
        <f aca="false">Paysheet!AJ24</f>
        <v>7.5816</v>
      </c>
      <c r="G23" s="48" t="n">
        <f aca="false">Paysheet!AK24</f>
        <v>161.913256128</v>
      </c>
      <c r="H23" s="48" t="n">
        <f aca="false">Paysheet!AL24</f>
        <v>0</v>
      </c>
      <c r="I23" s="48" t="n">
        <f aca="false">D23+F23</f>
        <v>210.0816</v>
      </c>
      <c r="J23" s="57" t="n">
        <f aca="false">E23+G23+H23</f>
        <v>6916.948140528</v>
      </c>
      <c r="K23" s="57" t="n">
        <f aca="false">I23*0.01</f>
        <v>2.100816</v>
      </c>
      <c r="L23" s="57" t="n">
        <f aca="false">J23*0.01</f>
        <v>69.16948140528</v>
      </c>
    </row>
    <row r="24" customFormat="false" ht="15.75" hidden="false" customHeight="true" outlineLevel="0" collapsed="false">
      <c r="A24" s="41" t="str">
        <f aca="false">Paysheet!A25</f>
        <v>AES-E010</v>
      </c>
      <c r="B24" s="42" t="str">
        <f aca="false">Paysheet!B25</f>
        <v>Farai</v>
      </c>
      <c r="C24" s="43" t="str">
        <f aca="false">Paysheet!C25</f>
        <v>Dhliwayo</v>
      </c>
      <c r="D24" s="48" t="n">
        <f aca="false">Paysheet!AG25</f>
        <v>201.852</v>
      </c>
      <c r="E24" s="48" t="n">
        <f aca="false">Paysheet!AH25</f>
        <v>6737.7364596</v>
      </c>
      <c r="F24" s="48" t="n">
        <f aca="false">Paysheet!AJ25</f>
        <v>7.5816</v>
      </c>
      <c r="G24" s="48" t="n">
        <f aca="false">Paysheet!AK25</f>
        <v>161.913256128</v>
      </c>
      <c r="H24" s="48" t="n">
        <f aca="false">Paysheet!AL25</f>
        <v>0</v>
      </c>
      <c r="I24" s="48" t="n">
        <f aca="false">D24+F24</f>
        <v>209.4336</v>
      </c>
      <c r="J24" s="57" t="n">
        <f aca="false">E24+G24+H24</f>
        <v>6899.649715728</v>
      </c>
      <c r="K24" s="57" t="n">
        <f aca="false">I24*0.01</f>
        <v>2.094336</v>
      </c>
      <c r="L24" s="57" t="n">
        <f aca="false">J24*0.01</f>
        <v>68.99649715728</v>
      </c>
    </row>
    <row r="25" customFormat="false" ht="15.75" hidden="false" customHeight="true" outlineLevel="0" collapsed="false">
      <c r="A25" s="41" t="str">
        <f aca="false">Paysheet!A26</f>
        <v>AES-E011</v>
      </c>
      <c r="B25" s="42" t="str">
        <f aca="false">Paysheet!B26</f>
        <v>Kundai</v>
      </c>
      <c r="C25" s="43" t="str">
        <f aca="false">Paysheet!C26</f>
        <v>Chataika</v>
      </c>
      <c r="D25" s="48" t="n">
        <f aca="false">Paysheet!AG26</f>
        <v>297.432</v>
      </c>
      <c r="E25" s="48" t="n">
        <f aca="false">Paysheet!AH26</f>
        <v>9289.2541176</v>
      </c>
      <c r="F25" s="48" t="n">
        <f aca="false">Paysheet!AJ26</f>
        <v>7.5816</v>
      </c>
      <c r="G25" s="48" t="n">
        <f aca="false">Paysheet!AK26</f>
        <v>161.913256128</v>
      </c>
      <c r="H25" s="48" t="n">
        <f aca="false">Paysheet!AL26</f>
        <v>0</v>
      </c>
      <c r="I25" s="48" t="n">
        <f aca="false">D25+F25</f>
        <v>305.0136</v>
      </c>
      <c r="J25" s="57" t="n">
        <f aca="false">E25+G25+H25</f>
        <v>9451.167373728</v>
      </c>
      <c r="K25" s="57" t="n">
        <f aca="false">I25*0.01</f>
        <v>3.050136</v>
      </c>
      <c r="L25" s="57" t="n">
        <f aca="false">J25*0.01</f>
        <v>94.51167373728</v>
      </c>
    </row>
    <row r="26" customFormat="false" ht="15.75" hidden="false" customHeight="true" outlineLevel="0" collapsed="false">
      <c r="A26" s="41" t="str">
        <f aca="false">Paysheet!A27</f>
        <v>AES-E014</v>
      </c>
      <c r="B26" s="42" t="str">
        <f aca="false">Paysheet!B27</f>
        <v>Mufaro</v>
      </c>
      <c r="C26" s="43" t="str">
        <f aca="false">Paysheet!C27</f>
        <v>Nemukuyu</v>
      </c>
      <c r="D26" s="48" t="n">
        <f aca="false">Paysheet!AG27</f>
        <v>205.216</v>
      </c>
      <c r="E26" s="48" t="n">
        <f aca="false">Paysheet!AH27</f>
        <v>6944.1429728</v>
      </c>
      <c r="F26" s="48" t="n">
        <f aca="false">Paysheet!AJ27</f>
        <v>8.2368</v>
      </c>
      <c r="G26" s="48" t="n">
        <f aca="false">Paysheet!AK27</f>
        <v>175.905759744</v>
      </c>
      <c r="H26" s="48" t="n">
        <f aca="false">Paysheet!AL27</f>
        <v>0</v>
      </c>
      <c r="I26" s="48" t="n">
        <f aca="false">D26+F26</f>
        <v>213.4528</v>
      </c>
      <c r="J26" s="57" t="n">
        <f aca="false">E26+G26+H26</f>
        <v>7120.048732544</v>
      </c>
      <c r="K26" s="57" t="n">
        <f aca="false">I26*0.01</f>
        <v>2.134528</v>
      </c>
      <c r="L26" s="57" t="n">
        <f aca="false">J26*0.01</f>
        <v>71.20048732544</v>
      </c>
    </row>
    <row r="27" customFormat="false" ht="15.75" hidden="false" customHeight="true" outlineLevel="0" collapsed="false">
      <c r="A27" s="41" t="str">
        <f aca="false">Paysheet!A28</f>
        <v>AES-E019</v>
      </c>
      <c r="B27" s="42" t="str">
        <f aca="false">Paysheet!B28</f>
        <v>Rufaro</v>
      </c>
      <c r="C27" s="43" t="str">
        <f aca="false">Paysheet!C28</f>
        <v>Mashingaidze</v>
      </c>
      <c r="D27" s="48" t="n">
        <f aca="false">Paysheet!AG28</f>
        <v>265.032</v>
      </c>
      <c r="E27" s="48" t="n">
        <f aca="false">Paysheet!AH28</f>
        <v>8424.3328776</v>
      </c>
      <c r="F27" s="48" t="n">
        <f aca="false">Paysheet!AJ28</f>
        <v>7.5816</v>
      </c>
      <c r="G27" s="48" t="n">
        <f aca="false">Paysheet!AK28</f>
        <v>161.913256128</v>
      </c>
      <c r="H27" s="48" t="n">
        <f aca="false">Paysheet!AL28</f>
        <v>0</v>
      </c>
      <c r="I27" s="48" t="n">
        <f aca="false">D27+F27</f>
        <v>272.6136</v>
      </c>
      <c r="J27" s="57" t="n">
        <f aca="false">E27+G27+H27</f>
        <v>8586.246133728</v>
      </c>
      <c r="K27" s="57" t="n">
        <f aca="false">I27*0.01</f>
        <v>2.726136</v>
      </c>
      <c r="L27" s="57" t="n">
        <f aca="false">J27*0.01</f>
        <v>85.86246133728</v>
      </c>
    </row>
    <row r="28" customFormat="false" ht="15.75" hidden="false" customHeight="true" outlineLevel="0" collapsed="false">
      <c r="A28" s="41" t="str">
        <f aca="false">Paysheet!A29</f>
        <v>AES-E017</v>
      </c>
      <c r="B28" s="42" t="str">
        <f aca="false">Paysheet!B29</f>
        <v>Ropafadzo</v>
      </c>
      <c r="C28" s="43" t="str">
        <f aca="false">Paysheet!C29</f>
        <v>Mangwende</v>
      </c>
      <c r="D28" s="48" t="n">
        <f aca="false">Paysheet!AG29</f>
        <v>185.652</v>
      </c>
      <c r="E28" s="48" t="n">
        <f aca="false">Paysheet!AH29</f>
        <v>6305.2758396</v>
      </c>
      <c r="F28" s="48" t="n">
        <f aca="false">Paysheet!AJ29</f>
        <v>7.5816</v>
      </c>
      <c r="G28" s="48" t="n">
        <f aca="false">Paysheet!AK29</f>
        <v>161.913256128</v>
      </c>
      <c r="H28" s="48" t="n">
        <f aca="false">Paysheet!AL29</f>
        <v>0</v>
      </c>
      <c r="I28" s="48" t="n">
        <f aca="false">D28+F28</f>
        <v>193.2336</v>
      </c>
      <c r="J28" s="57" t="n">
        <f aca="false">E28+G28+H28</f>
        <v>6467.189095728</v>
      </c>
      <c r="K28" s="57" t="n">
        <f aca="false">I28*0.01</f>
        <v>1.932336</v>
      </c>
      <c r="L28" s="57" t="n">
        <f aca="false">J28*0.01</f>
        <v>64.67189095728</v>
      </c>
    </row>
    <row r="29" customFormat="false" ht="15.75" hidden="false" customHeight="true" outlineLevel="0" collapsed="false">
      <c r="A29" s="41" t="str">
        <f aca="false">Paysheet!A30</f>
        <v>AES-E042</v>
      </c>
      <c r="B29" s="42" t="str">
        <f aca="false">Paysheet!B30</f>
        <v>Vimbai</v>
      </c>
      <c r="C29" s="43" t="str">
        <f aca="false">Paysheet!C30</f>
        <v>Mpofu</v>
      </c>
      <c r="D29" s="48" t="n">
        <f aca="false">Paysheet!AG30</f>
        <v>216.572</v>
      </c>
      <c r="E29" s="48" t="n">
        <f aca="false">Paysheet!AH30</f>
        <v>7247.2925284</v>
      </c>
      <c r="F29" s="48" t="n">
        <f aca="false">Paysheet!AJ30</f>
        <v>8.2368</v>
      </c>
      <c r="G29" s="48" t="n">
        <f aca="false">Paysheet!AK30</f>
        <v>175.905759744</v>
      </c>
      <c r="H29" s="48" t="n">
        <f aca="false">Paysheet!AL30</f>
        <v>0</v>
      </c>
      <c r="I29" s="48" t="n">
        <f aca="false">D29+F29</f>
        <v>224.8088</v>
      </c>
      <c r="J29" s="57" t="n">
        <f aca="false">E29+G29+H29</f>
        <v>7423.198288144</v>
      </c>
      <c r="K29" s="57" t="n">
        <f aca="false">I29*0.01</f>
        <v>2.248088</v>
      </c>
      <c r="L29" s="57" t="n">
        <f aca="false">J29*0.01</f>
        <v>74.23198288144</v>
      </c>
    </row>
    <row r="30" customFormat="false" ht="15.75" hidden="false" customHeight="true" outlineLevel="0" collapsed="false">
      <c r="A30" s="41" t="e">
        <f aca="false">paysheet!#ref!</f>
        <v>#NAME?</v>
      </c>
      <c r="B30" s="42" t="e">
        <f aca="false">paysheet!#ref!</f>
        <v>#NAME?</v>
      </c>
      <c r="C30" s="43" t="e">
        <f aca="false">paysheet!#ref!</f>
        <v>#NAME?</v>
      </c>
      <c r="D30" s="48" t="e">
        <f aca="false">paysheet!#ref!</f>
        <v>#NAME?</v>
      </c>
      <c r="E30" s="48" t="e">
        <f aca="false">paysheet!#ref!</f>
        <v>#NAME?</v>
      </c>
      <c r="F30" s="48" t="e">
        <f aca="false">paysheet!#ref!</f>
        <v>#NAME?</v>
      </c>
      <c r="G30" s="48" t="e">
        <f aca="false">paysheet!#ref!</f>
        <v>#NAME?</v>
      </c>
      <c r="H30" s="48" t="e">
        <f aca="false">paysheet!#ref!</f>
        <v>#NAME?</v>
      </c>
      <c r="I30" s="48" t="e">
        <f aca="false">D30+F30</f>
        <v>#NAME?</v>
      </c>
      <c r="J30" s="57" t="e">
        <f aca="false">E30+G30+H30</f>
        <v>#NAME?</v>
      </c>
      <c r="K30" s="57" t="e">
        <f aca="false">I30*0.01</f>
        <v>#NAME?</v>
      </c>
      <c r="L30" s="57" t="e">
        <f aca="false">J30*0.01</f>
        <v>#NAME?</v>
      </c>
    </row>
    <row r="31" customFormat="false" ht="15.75" hidden="false" customHeight="true" outlineLevel="0" collapsed="false">
      <c r="A31" s="41" t="str">
        <f aca="false">Paysheet!A31</f>
        <v>AES-E012</v>
      </c>
      <c r="B31" s="42" t="str">
        <f aca="false">Paysheet!B31</f>
        <v>Batsirai</v>
      </c>
      <c r="C31" s="43" t="str">
        <f aca="false">Paysheet!C31</f>
        <v>Gwenzi</v>
      </c>
      <c r="D31" s="48" t="n">
        <f aca="false">Paysheet!AG31</f>
        <v>286.416</v>
      </c>
      <c r="E31" s="48" t="n">
        <f aca="false">Paysheet!AH31</f>
        <v>8995.180896</v>
      </c>
      <c r="F31" s="48" t="n">
        <f aca="false">Paysheet!AJ31</f>
        <v>7.5816</v>
      </c>
      <c r="G31" s="48" t="n">
        <f aca="false">Paysheet!AK31</f>
        <v>161.913256128</v>
      </c>
      <c r="H31" s="48" t="n">
        <f aca="false">Paysheet!AL31</f>
        <v>0</v>
      </c>
      <c r="I31" s="48" t="n">
        <f aca="false">D31+F31</f>
        <v>293.9976</v>
      </c>
      <c r="J31" s="57" t="n">
        <f aca="false">E31+G31+H31</f>
        <v>9157.094152128</v>
      </c>
      <c r="K31" s="57" t="n">
        <f aca="false">I31*0.01</f>
        <v>2.939976</v>
      </c>
      <c r="L31" s="57" t="n">
        <f aca="false">J31*0.01</f>
        <v>91.57094152128</v>
      </c>
    </row>
    <row r="32" customFormat="false" ht="15.75" hidden="false" customHeight="true" outlineLevel="0" collapsed="false">
      <c r="A32" s="41" t="str">
        <f aca="false">Paysheet!A32</f>
        <v>AES-E020</v>
      </c>
      <c r="B32" s="42" t="str">
        <f aca="false">Paysheet!B32</f>
        <v>Tonderayi</v>
      </c>
      <c r="C32" s="43" t="str">
        <f aca="false">Paysheet!C32</f>
        <v>Nyamande</v>
      </c>
      <c r="D32" s="48" t="n">
        <f aca="false">Paysheet!AG32</f>
        <v>189.216</v>
      </c>
      <c r="E32" s="48" t="n">
        <f aca="false">Paysheet!AH32</f>
        <v>6400.417176</v>
      </c>
      <c r="F32" s="48" t="n">
        <f aca="false">Paysheet!AJ32</f>
        <v>7.5816</v>
      </c>
      <c r="G32" s="48" t="n">
        <f aca="false">Paysheet!AK32</f>
        <v>161.913256128</v>
      </c>
      <c r="H32" s="48" t="n">
        <f aca="false">Paysheet!AL32</f>
        <v>0</v>
      </c>
      <c r="I32" s="48" t="n">
        <f aca="false">D32+F32</f>
        <v>196.7976</v>
      </c>
      <c r="J32" s="57" t="n">
        <f aca="false">E32+G32+H32</f>
        <v>6562.330432128</v>
      </c>
      <c r="K32" s="57" t="n">
        <f aca="false">I32*0.01</f>
        <v>1.967976</v>
      </c>
      <c r="L32" s="57" t="n">
        <f aca="false">J32*0.01</f>
        <v>65.62330432128</v>
      </c>
    </row>
    <row r="33" customFormat="false" ht="15.75" hidden="false" customHeight="true" outlineLevel="0" collapsed="false">
      <c r="A33" s="41" t="str">
        <f aca="false">Paysheet!A33</f>
        <v>AES-E021</v>
      </c>
      <c r="B33" s="42" t="str">
        <f aca="false">Paysheet!B33</f>
        <v>Kudzai </v>
      </c>
      <c r="C33" s="43" t="str">
        <f aca="false">Paysheet!C33</f>
        <v>Ziyambi</v>
      </c>
      <c r="D33" s="48" t="n">
        <f aca="false">Paysheet!AG33</f>
        <v>253.692</v>
      </c>
      <c r="E33" s="48" t="n">
        <f aca="false">Paysheet!AH33</f>
        <v>8121.6104436</v>
      </c>
      <c r="F33" s="48" t="n">
        <f aca="false">Paysheet!AJ33</f>
        <v>7.5816</v>
      </c>
      <c r="G33" s="48" t="n">
        <f aca="false">Paysheet!AK33</f>
        <v>161.913256128</v>
      </c>
      <c r="H33" s="48" t="n">
        <f aca="false">Paysheet!AL33</f>
        <v>0</v>
      </c>
      <c r="I33" s="48" t="n">
        <f aca="false">D33+F33</f>
        <v>261.2736</v>
      </c>
      <c r="J33" s="57" t="n">
        <f aca="false">E33+G33+H33</f>
        <v>8283.523699728</v>
      </c>
      <c r="K33" s="57" t="n">
        <f aca="false">I33*0.01</f>
        <v>2.612736</v>
      </c>
      <c r="L33" s="57" t="n">
        <f aca="false">J33*0.01</f>
        <v>82.83523699728</v>
      </c>
    </row>
    <row r="34" customFormat="false" ht="15.75" hidden="false" customHeight="true" outlineLevel="0" collapsed="false">
      <c r="A34" s="41" t="str">
        <f aca="false">Paysheet!A34</f>
        <v>AES-E027</v>
      </c>
      <c r="B34" s="42" t="str">
        <f aca="false">Paysheet!B34</f>
        <v>Munashe </v>
      </c>
      <c r="C34" s="43" t="str">
        <f aca="false">Paysheet!C34</f>
        <v>Makoni</v>
      </c>
      <c r="D34" s="48" t="n">
        <f aca="false">Paysheet!AG34</f>
        <v>188.892</v>
      </c>
      <c r="E34" s="48" t="n">
        <f aca="false">Paysheet!AH34</f>
        <v>6391.7679636</v>
      </c>
      <c r="F34" s="48" t="n">
        <f aca="false">Paysheet!AJ34</f>
        <v>7.5816</v>
      </c>
      <c r="G34" s="48" t="n">
        <f aca="false">Paysheet!AK34</f>
        <v>161.913256128</v>
      </c>
      <c r="H34" s="48" t="n">
        <f aca="false">Paysheet!AL34</f>
        <v>0</v>
      </c>
      <c r="I34" s="48" t="n">
        <f aca="false">D34+F34</f>
        <v>196.4736</v>
      </c>
      <c r="J34" s="57" t="n">
        <f aca="false">E34+G34+H34</f>
        <v>6553.681219728</v>
      </c>
      <c r="K34" s="57" t="n">
        <f aca="false">I34*0.01</f>
        <v>1.964736</v>
      </c>
      <c r="L34" s="57" t="n">
        <f aca="false">J34*0.01</f>
        <v>65.53681219728</v>
      </c>
    </row>
    <row r="35" customFormat="false" ht="15.75" hidden="false" customHeight="true" outlineLevel="0" collapsed="false">
      <c r="A35" s="41" t="str">
        <f aca="false">Paysheet!A35</f>
        <v>AES-E029</v>
      </c>
      <c r="B35" s="42" t="str">
        <f aca="false">Paysheet!B35</f>
        <v>Kudzai </v>
      </c>
      <c r="C35" s="43" t="str">
        <f aca="false">Paysheet!C35</f>
        <v>Mutsvairo</v>
      </c>
      <c r="D35" s="48" t="n">
        <f aca="false">Paysheet!AG35</f>
        <v>188.568</v>
      </c>
      <c r="E35" s="48" t="n">
        <f aca="false">Paysheet!AH35</f>
        <v>6383.1187512</v>
      </c>
      <c r="F35" s="48" t="n">
        <f aca="false">Paysheet!AJ35</f>
        <v>7.5816</v>
      </c>
      <c r="G35" s="48" t="n">
        <f aca="false">Paysheet!AK35</f>
        <v>161.913256128</v>
      </c>
      <c r="H35" s="48" t="n">
        <f aca="false">Paysheet!AL35</f>
        <v>0</v>
      </c>
      <c r="I35" s="48" t="n">
        <f aca="false">D35+F35</f>
        <v>196.1496</v>
      </c>
      <c r="J35" s="57" t="n">
        <f aca="false">E35+G35+H35</f>
        <v>6545.032007328</v>
      </c>
      <c r="K35" s="57" t="n">
        <f aca="false">I35*0.01</f>
        <v>1.961496</v>
      </c>
      <c r="L35" s="57" t="n">
        <f aca="false">J35*0.01</f>
        <v>65.45032007328</v>
      </c>
    </row>
    <row r="36" customFormat="false" ht="15.75" hidden="false" customHeight="true" outlineLevel="0" collapsed="false">
      <c r="A36" s="41" t="str">
        <f aca="false">Paysheet!A36</f>
        <v>AES-E028</v>
      </c>
      <c r="B36" s="42" t="str">
        <f aca="false">Paysheet!B36</f>
        <v>Tsitsi</v>
      </c>
      <c r="C36" s="43" t="str">
        <f aca="false">Paysheet!C36</f>
        <v>Chibanda</v>
      </c>
      <c r="D36" s="48" t="n">
        <f aca="false">Paysheet!AG36</f>
        <v>176.58</v>
      </c>
      <c r="E36" s="48" t="n">
        <f aca="false">Paysheet!AH36</f>
        <v>6063.0978924</v>
      </c>
      <c r="F36" s="48" t="n">
        <f aca="false">Paysheet!AJ36</f>
        <v>7.5816</v>
      </c>
      <c r="G36" s="48" t="n">
        <f aca="false">Paysheet!AK36</f>
        <v>161.913256128</v>
      </c>
      <c r="H36" s="48" t="n">
        <f aca="false">Paysheet!AL36</f>
        <v>0</v>
      </c>
      <c r="I36" s="48" t="n">
        <f aca="false">D36+F36</f>
        <v>184.1616</v>
      </c>
      <c r="J36" s="57" t="n">
        <f aca="false">E36+G36+H36</f>
        <v>6225.011148528</v>
      </c>
      <c r="K36" s="57" t="n">
        <f aca="false">I36*0.01</f>
        <v>1.841616</v>
      </c>
      <c r="L36" s="57" t="n">
        <f aca="false">J36*0.01</f>
        <v>62.25011148528</v>
      </c>
    </row>
    <row r="37" customFormat="false" ht="15.75" hidden="false" customHeight="true" outlineLevel="0" collapsed="false">
      <c r="A37" s="41" t="str">
        <f aca="false">Paysheet!A37</f>
        <v>AES-E030</v>
      </c>
      <c r="B37" s="42" t="str">
        <f aca="false">Paysheet!B37</f>
        <v>Tichaona</v>
      </c>
      <c r="C37" s="43" t="str">
        <f aca="false">Paysheet!C37</f>
        <v>Bere</v>
      </c>
      <c r="D37" s="48" t="n">
        <f aca="false">Paysheet!AG37</f>
        <v>254.016</v>
      </c>
      <c r="E37" s="48" t="n">
        <f aca="false">Paysheet!AH37</f>
        <v>8130.259656</v>
      </c>
      <c r="F37" s="48" t="n">
        <f aca="false">Paysheet!AJ37</f>
        <v>7.5816</v>
      </c>
      <c r="G37" s="48" t="n">
        <f aca="false">Paysheet!AK37</f>
        <v>161.913256128</v>
      </c>
      <c r="H37" s="48" t="n">
        <f aca="false">Paysheet!AL37</f>
        <v>0</v>
      </c>
      <c r="I37" s="48" t="n">
        <f aca="false">D37+F37</f>
        <v>261.5976</v>
      </c>
      <c r="J37" s="57" t="n">
        <f aca="false">E37+G37+H37</f>
        <v>8292.172912128</v>
      </c>
      <c r="K37" s="57" t="n">
        <f aca="false">I37*0.01</f>
        <v>2.615976</v>
      </c>
      <c r="L37" s="57" t="n">
        <f aca="false">J37*0.01</f>
        <v>82.92172912128</v>
      </c>
    </row>
    <row r="38" customFormat="false" ht="15.75" hidden="false" customHeight="true" outlineLevel="0" collapsed="false">
      <c r="A38" s="41" t="str">
        <f aca="false">Paysheet!A38</f>
        <v>AES-E031</v>
      </c>
      <c r="B38" s="42" t="str">
        <f aca="false">Paysheet!B38</f>
        <v>Nyarai</v>
      </c>
      <c r="C38" s="43" t="str">
        <f aca="false">Paysheet!C38</f>
        <v>Chikomo</v>
      </c>
      <c r="D38" s="48" t="n">
        <f aca="false">Paysheet!AG38</f>
        <v>189.216</v>
      </c>
      <c r="E38" s="48" t="n">
        <f aca="false">Paysheet!AH38</f>
        <v>6400.417176</v>
      </c>
      <c r="F38" s="48" t="n">
        <f aca="false">Paysheet!AJ38</f>
        <v>7.5816</v>
      </c>
      <c r="G38" s="48" t="n">
        <f aca="false">Paysheet!AK38</f>
        <v>161.913256128</v>
      </c>
      <c r="H38" s="48" t="n">
        <f aca="false">Paysheet!AL38</f>
        <v>0</v>
      </c>
      <c r="I38" s="48" t="n">
        <f aca="false">D38+F38</f>
        <v>196.7976</v>
      </c>
      <c r="J38" s="57" t="n">
        <f aca="false">E38+G38+H38</f>
        <v>6562.330432128</v>
      </c>
      <c r="K38" s="57" t="n">
        <f aca="false">I38*0.01</f>
        <v>1.967976</v>
      </c>
      <c r="L38" s="57" t="n">
        <f aca="false">J38*0.01</f>
        <v>65.62330432128</v>
      </c>
    </row>
    <row r="39" customFormat="false" ht="15.75" hidden="false" customHeight="true" outlineLevel="0" collapsed="false">
      <c r="A39" s="41" t="str">
        <f aca="false">Paysheet!A39</f>
        <v>AES-E023</v>
      </c>
      <c r="B39" s="42" t="str">
        <f aca="false">Paysheet!B39</f>
        <v>Tawanda</v>
      </c>
      <c r="C39" s="43" t="str">
        <f aca="false">Paysheet!C39</f>
        <v>Svosve</v>
      </c>
      <c r="D39" s="48" t="n">
        <f aca="false">Paysheet!AG39</f>
        <v>192.78</v>
      </c>
      <c r="E39" s="48" t="n">
        <f aca="false">Paysheet!AH39</f>
        <v>6495.5585124</v>
      </c>
      <c r="F39" s="48" t="n">
        <f aca="false">Paysheet!AJ39</f>
        <v>7.5816</v>
      </c>
      <c r="G39" s="48" t="n">
        <f aca="false">Paysheet!AK39</f>
        <v>161.913256128</v>
      </c>
      <c r="H39" s="48" t="n">
        <f aca="false">Paysheet!AL39</f>
        <v>0</v>
      </c>
      <c r="I39" s="48" t="n">
        <f aca="false">D39+F39</f>
        <v>200.3616</v>
      </c>
      <c r="J39" s="57" t="n">
        <f aca="false">E39+G39+H39</f>
        <v>6657.471768528</v>
      </c>
      <c r="K39" s="57" t="n">
        <f aca="false">I39*0.01</f>
        <v>2.003616</v>
      </c>
      <c r="L39" s="57" t="n">
        <f aca="false">J39*0.01</f>
        <v>66.57471768528</v>
      </c>
    </row>
    <row r="40" customFormat="false" ht="15.75" hidden="false" customHeight="true" outlineLevel="0" collapsed="false">
      <c r="A40" s="41" t="str">
        <f aca="false">Paysheet!A40</f>
        <v>AES-E024</v>
      </c>
      <c r="B40" s="42" t="str">
        <f aca="false">Paysheet!B40</f>
        <v>Gamuchirai</v>
      </c>
      <c r="C40" s="43" t="str">
        <f aca="false">Paysheet!C40</f>
        <v>Mukanya</v>
      </c>
      <c r="D40" s="48" t="n">
        <f aca="false">Paysheet!AG40</f>
        <v>192.78</v>
      </c>
      <c r="E40" s="48" t="n">
        <f aca="false">Paysheet!AH40</f>
        <v>6495.5585124</v>
      </c>
      <c r="F40" s="48" t="n">
        <f aca="false">Paysheet!AJ40</f>
        <v>7.5816</v>
      </c>
      <c r="G40" s="48" t="n">
        <f aca="false">Paysheet!AK40</f>
        <v>161.913256128</v>
      </c>
      <c r="H40" s="48" t="n">
        <f aca="false">Paysheet!AL40</f>
        <v>0</v>
      </c>
      <c r="I40" s="48" t="n">
        <f aca="false">D40+F40</f>
        <v>200.3616</v>
      </c>
      <c r="J40" s="57" t="n">
        <f aca="false">E40+G40+H40</f>
        <v>6657.471768528</v>
      </c>
      <c r="K40" s="57" t="n">
        <f aca="false">I40*0.01</f>
        <v>2.003616</v>
      </c>
      <c r="L40" s="57" t="n">
        <f aca="false">J40*0.01</f>
        <v>66.57471768528</v>
      </c>
    </row>
    <row r="41" customFormat="false" ht="15.75" hidden="false" customHeight="true" outlineLevel="0" collapsed="false">
      <c r="A41" s="41" t="str">
        <f aca="false">Paysheet!A41</f>
        <v>AES-E025</v>
      </c>
      <c r="B41" s="42" t="str">
        <f aca="false">Paysheet!B41</f>
        <v>Rutendo</v>
      </c>
      <c r="C41" s="43" t="str">
        <f aca="false">Paysheet!C41</f>
        <v>Mhike</v>
      </c>
      <c r="D41" s="48" t="n">
        <f aca="false">Paysheet!AG41</f>
        <v>185.976</v>
      </c>
      <c r="E41" s="48" t="n">
        <f aca="false">Paysheet!AH41</f>
        <v>6262.0297776</v>
      </c>
      <c r="F41" s="48" t="n">
        <f aca="false">Paysheet!AJ41</f>
        <v>7.29</v>
      </c>
      <c r="G41" s="48" t="n">
        <f aca="false">Paysheet!AK41</f>
        <v>155.6858232</v>
      </c>
      <c r="H41" s="48" t="n">
        <f aca="false">Paysheet!AL41</f>
        <v>0</v>
      </c>
      <c r="I41" s="48" t="n">
        <f aca="false">D41+F41</f>
        <v>193.266</v>
      </c>
      <c r="J41" s="57" t="n">
        <f aca="false">E41+G41+H41</f>
        <v>6417.7156008</v>
      </c>
      <c r="K41" s="57" t="n">
        <f aca="false">I41*0.01</f>
        <v>1.93266</v>
      </c>
      <c r="L41" s="57" t="n">
        <f aca="false">J41*0.01</f>
        <v>64.177156008</v>
      </c>
    </row>
    <row r="42" customFormat="false" ht="15.75" hidden="false" customHeight="true" outlineLevel="0" collapsed="false">
      <c r="A42" s="41" t="str">
        <f aca="false">Paysheet!A42</f>
        <v>AES-E026</v>
      </c>
      <c r="B42" s="42" t="str">
        <f aca="false">Paysheet!B42</f>
        <v>Brighton </v>
      </c>
      <c r="C42" s="43" t="str">
        <f aca="false">Paysheet!C42</f>
        <v>Chinamasa2Z</v>
      </c>
      <c r="D42" s="48" t="n">
        <f aca="false">Paysheet!AG42</f>
        <v>117.936</v>
      </c>
      <c r="E42" s="48" t="n">
        <f aca="false">Paysheet!AH42</f>
        <v>3926.7424296</v>
      </c>
      <c r="F42" s="48" t="n">
        <f aca="false">Paysheet!AJ42</f>
        <v>4.374</v>
      </c>
      <c r="G42" s="48" t="n">
        <f aca="false">Paysheet!AK42</f>
        <v>93.41149392</v>
      </c>
      <c r="H42" s="48" t="n">
        <f aca="false">Paysheet!AL42</f>
        <v>0</v>
      </c>
      <c r="I42" s="48" t="n">
        <f aca="false">D42+F42</f>
        <v>122.31</v>
      </c>
      <c r="J42" s="57" t="n">
        <f aca="false">E42+G42+H42</f>
        <v>4020.15392352</v>
      </c>
      <c r="K42" s="57" t="n">
        <f aca="false">I42*0.01</f>
        <v>1.2231</v>
      </c>
      <c r="L42" s="57" t="n">
        <f aca="false">J42*0.01</f>
        <v>40.2015392352</v>
      </c>
    </row>
    <row r="43" customFormat="false" ht="15.75" hidden="false" customHeight="true" outlineLevel="0" collapsed="false">
      <c r="A43" s="41" t="str">
        <f aca="false">Paysheet!A43</f>
        <v>AES-E032</v>
      </c>
      <c r="B43" s="42" t="str">
        <f aca="false">Paysheet!B43</f>
        <v>Mazvita</v>
      </c>
      <c r="C43" s="43" t="str">
        <f aca="false">Paysheet!C43</f>
        <v>Mhererwa</v>
      </c>
      <c r="D43" s="48" t="n">
        <f aca="false">Paysheet!AG43</f>
        <v>192.78</v>
      </c>
      <c r="E43" s="48" t="n">
        <f aca="false">Paysheet!AH43</f>
        <v>6495.5585124</v>
      </c>
      <c r="F43" s="48" t="n">
        <f aca="false">Paysheet!AJ43</f>
        <v>7.5816</v>
      </c>
      <c r="G43" s="48" t="n">
        <f aca="false">Paysheet!AK43</f>
        <v>161.913256128</v>
      </c>
      <c r="H43" s="48" t="n">
        <f aca="false">Paysheet!AL43</f>
        <v>0</v>
      </c>
      <c r="I43" s="48" t="n">
        <f aca="false">D43+F43</f>
        <v>200.3616</v>
      </c>
      <c r="J43" s="57" t="n">
        <f aca="false">E43+G43+H43</f>
        <v>6657.471768528</v>
      </c>
      <c r="K43" s="57" t="n">
        <f aca="false">I43*0.01</f>
        <v>2.003616</v>
      </c>
      <c r="L43" s="57" t="n">
        <f aca="false">J43*0.01</f>
        <v>66.57471768528</v>
      </c>
    </row>
    <row r="44" customFormat="false" ht="15.75" hidden="false" customHeight="true" outlineLevel="0" collapsed="false">
      <c r="A44" s="41" t="n">
        <f aca="false">Paysheet!A44</f>
        <v>0</v>
      </c>
      <c r="B44" s="42" t="n">
        <f aca="false">Paysheet!B44</f>
        <v>0</v>
      </c>
      <c r="C44" s="43" t="n">
        <f aca="false">Paysheet!C44</f>
        <v>0</v>
      </c>
      <c r="D44" s="79"/>
      <c r="E44" s="79"/>
      <c r="F44" s="79"/>
      <c r="G44" s="79"/>
      <c r="H44" s="79"/>
      <c r="I44" s="79"/>
      <c r="J44" s="277"/>
      <c r="K44" s="277"/>
      <c r="L44" s="277"/>
    </row>
    <row r="45" customFormat="false" ht="15.75" hidden="false" customHeight="true" outlineLevel="0" collapsed="false">
      <c r="A45" s="41" t="n">
        <f aca="false">Paysheet!A45</f>
        <v>0</v>
      </c>
      <c r="B45" s="42" t="n">
        <f aca="false">Paysheet!B45</f>
        <v>0</v>
      </c>
      <c r="C45" s="43"/>
      <c r="D45" s="79"/>
      <c r="E45" s="79"/>
      <c r="F45" s="79"/>
      <c r="G45" s="79"/>
      <c r="H45" s="79"/>
      <c r="I45" s="79"/>
      <c r="J45" s="277"/>
      <c r="K45" s="277"/>
      <c r="L45" s="277"/>
    </row>
    <row r="46" customFormat="false" ht="15.75" hidden="false" customHeight="true" outlineLevel="0" collapsed="false">
      <c r="B46" s="82"/>
      <c r="C46" s="83"/>
      <c r="D46" s="79"/>
      <c r="E46" s="79"/>
      <c r="F46" s="79"/>
      <c r="G46" s="79"/>
      <c r="H46" s="79"/>
      <c r="I46" s="79"/>
      <c r="J46" s="277"/>
      <c r="K46" s="277"/>
      <c r="L46" s="277"/>
    </row>
    <row r="47" customFormat="false" ht="15.75" hidden="false" customHeight="true" outlineLevel="0" collapsed="false">
      <c r="B47" s="82"/>
      <c r="C47" s="83"/>
      <c r="D47" s="79"/>
      <c r="E47" s="79"/>
      <c r="F47" s="79"/>
      <c r="G47" s="79"/>
      <c r="H47" s="79"/>
      <c r="I47" s="79"/>
      <c r="J47" s="277"/>
      <c r="K47" s="277"/>
      <c r="L47" s="277"/>
    </row>
    <row r="48" customFormat="false" ht="15.75" hidden="false" customHeight="true" outlineLevel="0" collapsed="false">
      <c r="B48" s="82"/>
      <c r="C48" s="83"/>
      <c r="D48" s="79"/>
      <c r="E48" s="79"/>
      <c r="F48" s="79"/>
      <c r="G48" s="79"/>
      <c r="H48" s="79"/>
      <c r="I48" s="79"/>
      <c r="J48" s="277"/>
      <c r="K48" s="277"/>
      <c r="L48" s="277"/>
    </row>
    <row r="49" customFormat="false" ht="15.75" hidden="false" customHeight="true" outlineLevel="0" collapsed="false">
      <c r="B49" s="82"/>
      <c r="C49" s="83"/>
      <c r="D49" s="79"/>
      <c r="E49" s="79"/>
      <c r="F49" s="79"/>
      <c r="G49" s="79"/>
      <c r="H49" s="79"/>
      <c r="I49" s="79"/>
      <c r="J49" s="277"/>
      <c r="K49" s="277"/>
      <c r="L49" s="277"/>
    </row>
    <row r="50" customFormat="false" ht="15.75" hidden="false" customHeight="true" outlineLevel="0" collapsed="false">
      <c r="B50" s="82"/>
      <c r="C50" s="83"/>
      <c r="D50" s="79"/>
      <c r="E50" s="79"/>
      <c r="F50" s="79"/>
      <c r="G50" s="79"/>
      <c r="H50" s="79"/>
      <c r="I50" s="79"/>
      <c r="J50" s="277"/>
      <c r="K50" s="277"/>
      <c r="L50" s="277"/>
    </row>
    <row r="51" customFormat="false" ht="16.5" hidden="false" customHeight="true" outlineLevel="0" collapsed="false">
      <c r="C51" s="91" t="s">
        <v>372</v>
      </c>
      <c r="D51" s="278" t="e">
        <f aca="false">SUM(D3:D50)</f>
        <v>#NAME?</v>
      </c>
      <c r="E51" s="278" t="e">
        <f aca="false">SUM(E3:E50)</f>
        <v>#NAME?</v>
      </c>
      <c r="F51" s="278" t="e">
        <f aca="false">SUM(F3:F50)</f>
        <v>#NAME?</v>
      </c>
      <c r="G51" s="278" t="e">
        <f aca="false">SUM(G3:G50)</f>
        <v>#NAME?</v>
      </c>
      <c r="H51" s="278" t="e">
        <f aca="false">SUM(H3:H50)</f>
        <v>#NAME?</v>
      </c>
      <c r="I51" s="278" t="e">
        <f aca="false">SUM(I3:I50)</f>
        <v>#NAME?</v>
      </c>
      <c r="J51" s="278" t="e">
        <f aca="false">SUM(J3:J50)</f>
        <v>#NAME?</v>
      </c>
      <c r="K51" s="278" t="e">
        <f aca="false">SUM(K3:K50)</f>
        <v>#NAME?</v>
      </c>
      <c r="L51" s="278" t="e">
        <f aca="false">SUM(L3:L50)</f>
        <v>#NAME?</v>
      </c>
    </row>
    <row r="52" customFormat="false" ht="15.75" hidden="false" customHeight="true" outlineLevel="0" collapsed="false"/>
    <row r="56" customFormat="false" ht="15" hidden="false" customHeight="false" outlineLevel="0" collapsed="false">
      <c r="K56" s="4"/>
    </row>
    <row r="59" customFormat="false" ht="15" hidden="false" customHeight="false" outlineLevel="0" collapsed="false">
      <c r="D59" s="4" t="n">
        <f aca="false">D58/300</f>
        <v>0</v>
      </c>
    </row>
  </sheetData>
  <mergeCells count="3">
    <mergeCell ref="F1:G1"/>
    <mergeCell ref="I1:J1"/>
    <mergeCell ref="K1:L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9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5" activeCellId="0" sqref="G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.14"/>
    <col collapsed="false" customWidth="true" hidden="false" outlineLevel="0" max="2" min="2" style="1" width="29.14"/>
    <col collapsed="false" customWidth="true" hidden="false" outlineLevel="0" max="3" min="3" style="1" width="20.29"/>
    <col collapsed="false" customWidth="true" hidden="false" outlineLevel="0" max="5" min="4" style="1" width="11.14"/>
    <col collapsed="false" customWidth="true" hidden="false" outlineLevel="0" max="6" min="6" style="1" width="13.86"/>
    <col collapsed="false" customWidth="true" hidden="false" outlineLevel="0" max="7" min="7" style="1" width="11.14"/>
    <col collapsed="false" customWidth="true" hidden="false" outlineLevel="0" max="8" min="8" style="1" width="13"/>
    <col collapsed="false" customWidth="true" hidden="false" outlineLevel="0" max="9" min="9" style="1" width="11.14"/>
    <col collapsed="false" customWidth="true" hidden="false" outlineLevel="0" max="10" min="10" style="1" width="14.57"/>
  </cols>
  <sheetData>
    <row r="1" customFormat="false" ht="18.75" hidden="false" customHeight="true" outlineLevel="0" collapsed="false">
      <c r="D1" s="279" t="s">
        <v>529</v>
      </c>
    </row>
    <row r="3" customFormat="false" ht="15" hidden="false" customHeight="false" outlineLevel="0" collapsed="false">
      <c r="B3" s="280" t="s">
        <v>530</v>
      </c>
    </row>
    <row r="4" customFormat="false" ht="28.5" hidden="false" customHeight="true" outlineLevel="0" collapsed="false">
      <c r="C4" s="27" t="s">
        <v>531</v>
      </c>
    </row>
    <row r="6" customFormat="false" ht="15.75" hidden="false" customHeight="true" outlineLevel="0" collapsed="false"/>
    <row r="7" customFormat="false" ht="15" hidden="false" customHeight="false" outlineLevel="0" collapsed="false">
      <c r="A7" s="281" t="s">
        <v>532</v>
      </c>
      <c r="B7" s="282" t="s">
        <v>29</v>
      </c>
      <c r="C7" s="282" t="s">
        <v>533</v>
      </c>
      <c r="D7" s="282" t="s">
        <v>534</v>
      </c>
      <c r="E7" s="282" t="s">
        <v>535</v>
      </c>
      <c r="F7" s="282" t="s">
        <v>536</v>
      </c>
      <c r="G7" s="282"/>
      <c r="H7" s="282" t="s">
        <v>537</v>
      </c>
      <c r="I7" s="282"/>
      <c r="J7" s="283" t="s">
        <v>538</v>
      </c>
    </row>
    <row r="8" customFormat="false" ht="15.75" hidden="false" customHeight="true" outlineLevel="0" collapsed="false">
      <c r="A8" s="284"/>
      <c r="B8" s="285"/>
      <c r="C8" s="285" t="s">
        <v>539</v>
      </c>
      <c r="D8" s="285" t="s">
        <v>540</v>
      </c>
      <c r="E8" s="285"/>
      <c r="F8" s="285" t="s">
        <v>541</v>
      </c>
      <c r="G8" s="285" t="s">
        <v>2</v>
      </c>
      <c r="H8" s="285" t="s">
        <v>418</v>
      </c>
      <c r="I8" s="285" t="s">
        <v>2</v>
      </c>
      <c r="J8" s="286" t="s">
        <v>418</v>
      </c>
    </row>
    <row r="9" customFormat="false" ht="15" hidden="false" customHeight="false" outlineLevel="0" collapsed="false">
      <c r="A9" s="287" t="s">
        <v>542</v>
      </c>
      <c r="B9" s="288" t="s">
        <v>543</v>
      </c>
      <c r="C9" s="41" t="s">
        <v>544</v>
      </c>
      <c r="D9" s="289" t="n">
        <v>32115</v>
      </c>
      <c r="E9" s="290" t="s">
        <v>164</v>
      </c>
      <c r="F9" s="291" t="n">
        <f aca="false">Paysheet!Q12</f>
        <v>8995.180896</v>
      </c>
      <c r="G9" s="41" t="n">
        <v>7.5</v>
      </c>
      <c r="H9" s="6" t="n">
        <f aca="false">+F9*G9/100</f>
        <v>674.6385672</v>
      </c>
      <c r="I9" s="41" t="n">
        <v>7.5</v>
      </c>
      <c r="J9" s="6" t="n">
        <f aca="false">+F9*I9/100</f>
        <v>674.6385672</v>
      </c>
    </row>
    <row r="10" customFormat="false" ht="15" hidden="false" customHeight="false" outlineLevel="0" collapsed="false">
      <c r="A10" s="287" t="s">
        <v>545</v>
      </c>
      <c r="B10" s="288" t="s">
        <v>546</v>
      </c>
      <c r="C10" s="290" t="s">
        <v>547</v>
      </c>
      <c r="D10" s="289" t="n">
        <v>30605</v>
      </c>
      <c r="E10" s="290" t="s">
        <v>221</v>
      </c>
      <c r="F10" s="291" t="n">
        <f aca="false">Paysheet!Q20</f>
        <v>10165.49408</v>
      </c>
      <c r="G10" s="41" t="n">
        <v>7.5</v>
      </c>
      <c r="H10" s="6" t="n">
        <f aca="false">+F10*G10/100</f>
        <v>762.412056</v>
      </c>
      <c r="I10" s="41" t="n">
        <v>7.5</v>
      </c>
      <c r="J10" s="6" t="n">
        <f aca="false">+F10*I10/100</f>
        <v>762.412056</v>
      </c>
    </row>
    <row r="11" customFormat="false" ht="15" hidden="false" customHeight="false" outlineLevel="0" collapsed="false">
      <c r="A11" s="287" t="s">
        <v>548</v>
      </c>
      <c r="B11" s="288" t="s">
        <v>549</v>
      </c>
      <c r="C11" s="41" t="s">
        <v>550</v>
      </c>
      <c r="D11" s="289" t="n">
        <v>32917</v>
      </c>
      <c r="E11" s="290" t="s">
        <v>155</v>
      </c>
      <c r="F11" s="291" t="n">
        <f aca="false">Paysheet!Q11</f>
        <v>8995.180896</v>
      </c>
      <c r="G11" s="41" t="n">
        <v>7.5</v>
      </c>
      <c r="H11" s="6" t="n">
        <f aca="false">+F11*G11/100</f>
        <v>674.6385672</v>
      </c>
      <c r="I11" s="41" t="n">
        <v>7.5</v>
      </c>
      <c r="J11" s="6" t="n">
        <f aca="false">+F11*I11/100</f>
        <v>674.6385672</v>
      </c>
    </row>
    <row r="12" customFormat="false" ht="15" hidden="false" customHeight="false" outlineLevel="0" collapsed="false">
      <c r="A12" s="287" t="s">
        <v>551</v>
      </c>
      <c r="B12" s="288" t="s">
        <v>552</v>
      </c>
      <c r="C12" s="41" t="s">
        <v>553</v>
      </c>
      <c r="D12" s="289" t="n">
        <v>32370</v>
      </c>
      <c r="E12" s="290" t="s">
        <v>215</v>
      </c>
      <c r="F12" s="291" t="n">
        <f aca="false">Paysheet!Q19</f>
        <v>8995.180896</v>
      </c>
      <c r="G12" s="41" t="n">
        <v>7.5</v>
      </c>
      <c r="H12" s="6" t="n">
        <f aca="false">+F12*G12/100</f>
        <v>674.6385672</v>
      </c>
      <c r="I12" s="41" t="n">
        <v>7.5</v>
      </c>
      <c r="J12" s="6" t="n">
        <f aca="false">+F12*I12/100</f>
        <v>674.6385672</v>
      </c>
    </row>
    <row r="13" customFormat="false" ht="15" hidden="false" customHeight="false" outlineLevel="0" collapsed="false">
      <c r="A13" s="287" t="s">
        <v>554</v>
      </c>
      <c r="B13" s="288" t="s">
        <v>555</v>
      </c>
      <c r="C13" s="41" t="s">
        <v>556</v>
      </c>
      <c r="D13" s="289" t="n">
        <v>29167</v>
      </c>
      <c r="E13" s="290" t="s">
        <v>148</v>
      </c>
      <c r="F13" s="291" t="n">
        <f aca="false">Paysheet!Q10</f>
        <v>15547.22624</v>
      </c>
      <c r="G13" s="41" t="n">
        <v>7.5</v>
      </c>
      <c r="H13" s="6" t="n">
        <f aca="false">+F13*G13/100</f>
        <v>1166.041968</v>
      </c>
      <c r="I13" s="41" t="n">
        <v>7.5</v>
      </c>
      <c r="J13" s="6" t="n">
        <f aca="false">+F13*I13/100</f>
        <v>1166.041968</v>
      </c>
    </row>
    <row r="14" customFormat="false" ht="15" hidden="false" customHeight="false" outlineLevel="0" collapsed="false">
      <c r="A14" s="287" t="s">
        <v>557</v>
      </c>
      <c r="B14" s="292" t="s">
        <v>558</v>
      </c>
      <c r="C14" s="41" t="s">
        <v>559</v>
      </c>
      <c r="D14" s="289" t="n">
        <v>27729</v>
      </c>
      <c r="E14" s="41" t="s">
        <v>207</v>
      </c>
      <c r="F14" s="291" t="n">
        <f aca="false">Paysheet!Q18</f>
        <v>15547.22624</v>
      </c>
      <c r="G14" s="41" t="n">
        <v>7.5</v>
      </c>
      <c r="H14" s="6" t="n">
        <f aca="false">+F14*G14/100</f>
        <v>1166.041968</v>
      </c>
      <c r="I14" s="41" t="n">
        <v>7.5</v>
      </c>
      <c r="J14" s="6" t="n">
        <f aca="false">+F14*I14/100</f>
        <v>1166.041968</v>
      </c>
    </row>
    <row r="15" customFormat="false" ht="15" hidden="false" customHeight="false" outlineLevel="0" collapsed="false">
      <c r="A15" s="287" t="s">
        <v>560</v>
      </c>
      <c r="B15" s="288" t="s">
        <v>561</v>
      </c>
      <c r="C15" s="41" t="s">
        <v>562</v>
      </c>
      <c r="D15" s="289" t="n">
        <v>27119</v>
      </c>
      <c r="E15" s="290" t="s">
        <v>139</v>
      </c>
      <c r="F15" s="291" t="n">
        <f aca="false">Paysheet!Q9</f>
        <v>15547.22624</v>
      </c>
      <c r="G15" s="41" t="n">
        <v>7.5</v>
      </c>
      <c r="H15" s="6" t="n">
        <f aca="false">+F15*G15/100</f>
        <v>1166.041968</v>
      </c>
      <c r="I15" s="41" t="n">
        <v>7.5</v>
      </c>
      <c r="J15" s="6" t="n">
        <f aca="false">+F15*I15/100</f>
        <v>1166.041968</v>
      </c>
    </row>
    <row r="16" customFormat="false" ht="15" hidden="false" customHeight="false" outlineLevel="0" collapsed="false">
      <c r="G16" s="293"/>
      <c r="I16" s="293"/>
    </row>
    <row r="17" customFormat="false" ht="15" hidden="false" customHeight="false" outlineLevel="0" collapsed="false">
      <c r="A17" s="280"/>
      <c r="D17" s="294"/>
    </row>
    <row r="18" customFormat="false" ht="15.75" hidden="false" customHeight="true" outlineLevel="0" collapsed="false">
      <c r="A18" s="280"/>
      <c r="D18" s="294"/>
      <c r="F18" s="295" t="n">
        <f aca="false">SUM(F9:F17)</f>
        <v>83792.715488</v>
      </c>
      <c r="G18" s="257"/>
      <c r="H18" s="295" t="n">
        <f aca="false">SUM(H9:H17)</f>
        <v>6284.4536616</v>
      </c>
      <c r="I18" s="257"/>
      <c r="J18" s="295" t="n">
        <f aca="false">SUM(J9:J17)</f>
        <v>6284.4536616</v>
      </c>
    </row>
    <row r="19" customFormat="false" ht="16.5" hidden="false" customHeight="true" outlineLevel="0" collapsed="false">
      <c r="F19" s="296"/>
      <c r="G19" s="296"/>
    </row>
    <row r="20" customFormat="false" ht="15.75" hidden="false" customHeight="true" outlineLevel="0" collapsed="false">
      <c r="F20" s="297" t="s">
        <v>563</v>
      </c>
      <c r="G20" s="297"/>
      <c r="J20" s="298" t="n">
        <f aca="false">J18+H18</f>
        <v>12568.9073232</v>
      </c>
    </row>
    <row r="21" customFormat="false" ht="15.75" hidden="false" customHeight="true" outlineLevel="0" collapsed="false">
      <c r="F21" s="297" t="s">
        <v>564</v>
      </c>
      <c r="G21" s="297"/>
      <c r="J21" s="298" t="n">
        <f aca="false">0.022*F18</f>
        <v>1843.439740736</v>
      </c>
    </row>
    <row r="22" customFormat="false" ht="16.5" hidden="false" customHeight="true" outlineLevel="0" collapsed="false">
      <c r="F22" s="297" t="s">
        <v>565</v>
      </c>
      <c r="G22" s="297"/>
      <c r="J22" s="269" t="n">
        <f aca="false">SUM(J20:J21)</f>
        <v>14412.347063936</v>
      </c>
    </row>
    <row r="23" customFormat="false" ht="15.75" hidden="false" customHeight="true" outlineLevel="0" collapsed="false">
      <c r="C23" s="299"/>
    </row>
    <row r="24" customFormat="false" ht="15" hidden="false" customHeight="false" outlineLevel="0" collapsed="false">
      <c r="A24" s="280"/>
      <c r="D24" s="294"/>
      <c r="F24" s="257"/>
      <c r="H24" s="257"/>
      <c r="J24" s="257" t="n">
        <f aca="false">H18+J21</f>
        <v>8127.893402336</v>
      </c>
    </row>
    <row r="25" customFormat="false" ht="15" hidden="false" customHeight="false" outlineLevel="0" collapsed="false">
      <c r="A25" s="280"/>
      <c r="B25" s="300" t="s">
        <v>566</v>
      </c>
      <c r="D25" s="294"/>
      <c r="J25" s="3"/>
    </row>
    <row r="26" customFormat="false" ht="15" hidden="false" customHeight="false" outlineLevel="0" collapsed="false">
      <c r="F26" s="301"/>
      <c r="G26" s="293"/>
      <c r="H26" s="301"/>
      <c r="I26" s="293"/>
      <c r="J26" s="301"/>
    </row>
    <row r="27" customFormat="false" ht="15" hidden="false" customHeight="false" outlineLevel="0" collapsed="false">
      <c r="A27" s="287" t="s">
        <v>567</v>
      </c>
      <c r="B27" s="288" t="s">
        <v>568</v>
      </c>
      <c r="C27" s="41" t="s">
        <v>569</v>
      </c>
      <c r="D27" s="289" t="n">
        <v>32711</v>
      </c>
      <c r="E27" s="290" t="s">
        <v>513</v>
      </c>
      <c r="F27" s="302"/>
      <c r="H27" s="257"/>
      <c r="J27" s="257"/>
    </row>
    <row r="28" customFormat="false" ht="15" hidden="false" customHeight="false" outlineLevel="0" collapsed="false">
      <c r="A28" s="287" t="s">
        <v>570</v>
      </c>
      <c r="B28" s="288" t="s">
        <v>571</v>
      </c>
      <c r="C28" s="41" t="s">
        <v>572</v>
      </c>
      <c r="D28" s="289" t="n">
        <v>30922</v>
      </c>
      <c r="E28" s="290" t="s">
        <v>573</v>
      </c>
      <c r="F28" s="301"/>
      <c r="G28" s="293"/>
      <c r="H28" s="301"/>
      <c r="I28" s="293"/>
      <c r="J28" s="301"/>
    </row>
    <row r="29" customFormat="false" ht="15" hidden="false" customHeight="false" outlineLevel="0" collapsed="false">
      <c r="A29" s="287" t="s">
        <v>574</v>
      </c>
      <c r="B29" s="288" t="s">
        <v>575</v>
      </c>
      <c r="C29" s="41" t="s">
        <v>576</v>
      </c>
      <c r="D29" s="289" t="n">
        <v>32630</v>
      </c>
      <c r="E29" s="290" t="s">
        <v>577</v>
      </c>
    </row>
  </sheetData>
  <conditionalFormatting sqref="E29">
    <cfRule type="cellIs" priority="2" operator="equal" aboveAverage="0" equalAverage="0" bottom="0" percent="0" rank="0" text="" dxfId="0">
      <formula>0</formula>
    </cfRule>
  </conditionalFormatting>
  <conditionalFormatting sqref="D29">
    <cfRule type="cellIs" priority="3" operator="equal" aboveAverage="0" equalAverage="0" bottom="0" percent="0" rank="0" text="" dxfId="0">
      <formula>0</formula>
    </cfRule>
  </conditionalFormatting>
  <conditionalFormatting sqref="C29">
    <cfRule type="cellIs" priority="4" operator="equal" aboveAverage="0" equalAverage="0" bottom="0" percent="0" rank="0" text="" dxfId="0">
      <formula>0</formula>
    </cfRule>
  </conditionalFormatting>
  <conditionalFormatting sqref="B29">
    <cfRule type="cellIs" priority="5" operator="equal" aboveAverage="0" equalAverage="0" bottom="0" percent="0" rank="0" text="" dxfId="0">
      <formula>0</formula>
    </cfRule>
  </conditionalFormatting>
  <conditionalFormatting sqref="B28:E28">
    <cfRule type="cellIs" priority="6" operator="equal" aboveAverage="0" equalAverage="0" bottom="0" percent="0" rank="0" text="" dxfId="0">
      <formula>0</formula>
    </cfRule>
  </conditionalFormatting>
  <conditionalFormatting sqref="B27:E27">
    <cfRule type="cellIs" priority="7" operator="equal" aboveAverage="0" equalAverage="0" bottom="0" percent="0" rank="0" text="" dxfId="0">
      <formula>0</formula>
    </cfRule>
  </conditionalFormatting>
  <conditionalFormatting sqref="G9">
    <cfRule type="cellIs" priority="8" operator="lessThanOrEqual" aboveAverage="0" equalAverage="0" bottom="0" percent="0" rank="0" text="" dxfId="0">
      <formula>0</formula>
    </cfRule>
  </conditionalFormatting>
  <conditionalFormatting sqref="G6">
    <cfRule type="cellIs" priority="9" operator="lessThanOrEqual" aboveAverage="0" equalAverage="0" bottom="0" percent="0" rank="0" text="" dxfId="0">
      <formula>0</formula>
    </cfRule>
  </conditionalFormatting>
  <conditionalFormatting sqref="B5:F8 B9:E15 B17:F26 F27:F28 H5:H15 H17:H28">
    <cfRule type="cellIs" priority="10" operator="equal" aboveAverage="0" equalAverage="0" bottom="0" percent="0" rank="0" text="" dxfId="0">
      <formula>0</formula>
    </cfRule>
  </conditionalFormatting>
  <conditionalFormatting sqref="G5 G7:G8 G10:G15 G17:G28">
    <cfRule type="cellIs" priority="11" operator="lessThanOr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.86"/>
    <col collapsed="false" customWidth="true" hidden="false" outlineLevel="0" max="2" min="2" style="1" width="15.14"/>
    <col collapsed="false" customWidth="true" hidden="false" outlineLevel="0" max="3" min="3" style="1" width="16.14"/>
    <col collapsed="false" customWidth="true" hidden="false" outlineLevel="0" max="4" min="4" style="4" width="16.57"/>
    <col collapsed="false" customWidth="true" hidden="false" outlineLevel="0" max="5" min="5" style="4" width="15.57"/>
    <col collapsed="false" customWidth="true" hidden="false" outlineLevel="0" max="6" min="6" style="4" width="11.29"/>
  </cols>
  <sheetData>
    <row r="1" customFormat="false" ht="15" hidden="false" customHeight="false" outlineLevel="0" collapsed="false">
      <c r="A1" s="41"/>
      <c r="B1" s="29" t="s">
        <v>29</v>
      </c>
      <c r="C1" s="29" t="s">
        <v>30</v>
      </c>
    </row>
    <row r="2" customFormat="false" ht="15.75" hidden="false" customHeight="true" outlineLevel="0" collapsed="false">
      <c r="A2" s="41" t="n">
        <f aca="false">Paysheet!A2</f>
        <v>0</v>
      </c>
      <c r="B2" s="71" t="n">
        <f aca="false">Paysheet!B2</f>
        <v>0</v>
      </c>
      <c r="C2" s="71" t="str">
        <f aca="false">Paysheet!C2</f>
        <v>Exchange rate </v>
      </c>
    </row>
    <row r="3" customFormat="false" ht="15.75" hidden="false" customHeight="true" outlineLevel="0" collapsed="false">
      <c r="A3" s="29" t="str">
        <f aca="false">Paysheet!A3</f>
        <v>Works #</v>
      </c>
      <c r="B3" s="303" t="str">
        <f aca="false">Paysheet!B3</f>
        <v>Netsai</v>
      </c>
      <c r="C3" s="303" t="str">
        <f aca="false">Paysheet!C3</f>
        <v>Nhemachena</v>
      </c>
      <c r="D3" s="274" t="s">
        <v>578</v>
      </c>
      <c r="E3" s="274" t="s">
        <v>579</v>
      </c>
      <c r="F3" s="274" t="s">
        <v>54</v>
      </c>
    </row>
    <row r="4" customFormat="false" ht="15.75" hidden="false" customHeight="true" outlineLevel="0" collapsed="false">
      <c r="A4" s="41" t="str">
        <f aca="false">Paysheet!A4</f>
        <v>AES-E046</v>
      </c>
      <c r="B4" s="71" t="str">
        <f aca="false">Paysheet!B4</f>
        <v>Tarisai</v>
      </c>
      <c r="C4" s="71" t="str">
        <f aca="false">Paysheet!C4</f>
        <v>Zinyama</v>
      </c>
      <c r="D4" s="48" t="n">
        <f aca="false">Paysheet!AM4</f>
        <v>108.108748176</v>
      </c>
      <c r="E4" s="48" t="n">
        <f aca="false">D4</f>
        <v>108.108748176</v>
      </c>
      <c r="F4" s="48" t="n">
        <f aca="false">D4+E4</f>
        <v>216.217496352</v>
      </c>
    </row>
    <row r="5" customFormat="false" ht="15.75" hidden="false" customHeight="true" outlineLevel="0" collapsed="false">
      <c r="A5" s="41" t="str">
        <f aca="false">Paysheet!A5</f>
        <v>AES-E049</v>
      </c>
      <c r="B5" s="71" t="str">
        <f aca="false">Paysheet!B5</f>
        <v>Marvellous</v>
      </c>
      <c r="C5" s="71" t="str">
        <f aca="false">Paysheet!C5</f>
        <v>Chakanetsa</v>
      </c>
      <c r="D5" s="48" t="n">
        <f aca="false">Paysheet!AM5</f>
        <v>64.13230824</v>
      </c>
      <c r="E5" s="48" t="n">
        <f aca="false">D5</f>
        <v>64.13230824</v>
      </c>
      <c r="F5" s="48" t="n">
        <f aca="false">D5+E5</f>
        <v>128.26461648</v>
      </c>
    </row>
    <row r="6" customFormat="false" ht="15.75" hidden="false" customHeight="true" outlineLevel="0" collapsed="false">
      <c r="A6" s="41" t="str">
        <f aca="false">Paysheet!A6</f>
        <v>AES-E022</v>
      </c>
      <c r="B6" s="71" t="str">
        <f aca="false">Paysheet!B6</f>
        <v>Obvious</v>
      </c>
      <c r="C6" s="71" t="str">
        <f aca="false">Paysheet!C6</f>
        <v>Mpofu</v>
      </c>
      <c r="D6" s="48" t="n">
        <f aca="false">Paysheet!AM6</f>
        <v>64.13230824</v>
      </c>
      <c r="E6" s="48" t="n">
        <f aca="false">D6</f>
        <v>64.13230824</v>
      </c>
      <c r="F6" s="48" t="n">
        <f aca="false">D6+E6</f>
        <v>128.26461648</v>
      </c>
    </row>
    <row r="7" customFormat="false" ht="15.75" hidden="false" customHeight="true" outlineLevel="0" collapsed="false">
      <c r="A7" s="41" t="str">
        <f aca="false">Paysheet!A7</f>
        <v>AES-E035</v>
      </c>
      <c r="B7" s="71" t="str">
        <f aca="false">Paysheet!B7</f>
        <v>Polite</v>
      </c>
      <c r="C7" s="71" t="str">
        <f aca="false">Paysheet!C7</f>
        <v>Mudarikwa</v>
      </c>
      <c r="D7" s="48" t="n">
        <f aca="false">Paysheet!AM7</f>
        <v>59.96787264</v>
      </c>
      <c r="E7" s="48" t="n">
        <f aca="false">D7</f>
        <v>59.96787264</v>
      </c>
      <c r="F7" s="48" t="n">
        <f aca="false">D7+E7</f>
        <v>119.93574528</v>
      </c>
    </row>
    <row r="8" customFormat="false" ht="15.75" hidden="false" customHeight="true" outlineLevel="0" collapsed="false">
      <c r="A8" s="41" t="str">
        <f aca="false">Paysheet!A8</f>
        <v>AES-E041</v>
      </c>
      <c r="B8" s="71" t="str">
        <f aca="false">Paysheet!B8</f>
        <v>Chenai</v>
      </c>
      <c r="C8" s="71" t="str">
        <f aca="false">Paysheet!C8</f>
        <v>Runesu</v>
      </c>
      <c r="D8" s="48" t="n">
        <f aca="false">Paysheet!AM8</f>
        <v>79.290853824</v>
      </c>
      <c r="E8" s="48" t="n">
        <f aca="false">D8</f>
        <v>79.290853824</v>
      </c>
      <c r="F8" s="48" t="n">
        <f aca="false">D8+E8</f>
        <v>158.581707648</v>
      </c>
    </row>
    <row r="9" customFormat="false" ht="15.75" hidden="false" customHeight="true" outlineLevel="0" collapsed="false">
      <c r="A9" s="41" t="str">
        <f aca="false">Paysheet!A9</f>
        <v>AES-E033</v>
      </c>
      <c r="B9" s="71" t="str">
        <f aca="false">Paysheet!B9</f>
        <v>Tafadzwa</v>
      </c>
      <c r="C9" s="71" t="str">
        <f aca="false">Paysheet!C9</f>
        <v>Mafukidze</v>
      </c>
      <c r="D9" s="48" t="n">
        <f aca="false">Paysheet!AM9</f>
        <v>46.64167872</v>
      </c>
      <c r="E9" s="48" t="n">
        <f aca="false">D9</f>
        <v>46.64167872</v>
      </c>
      <c r="F9" s="48" t="n">
        <f aca="false">D9+E9</f>
        <v>93.28335744</v>
      </c>
    </row>
    <row r="10" customFormat="false" ht="15.75" hidden="false" customHeight="true" outlineLevel="0" collapsed="false">
      <c r="A10" s="41" t="str">
        <f aca="false">Paysheet!A10</f>
        <v>AES-E034</v>
      </c>
      <c r="B10" s="71" t="str">
        <f aca="false">Paysheet!B10</f>
        <v>Kudzai</v>
      </c>
      <c r="C10" s="71" t="str">
        <f aca="false">Paysheet!C10</f>
        <v>Gwatidzo</v>
      </c>
      <c r="D10" s="48" t="n">
        <f aca="false">Paysheet!AM10</f>
        <v>46.64167872</v>
      </c>
      <c r="E10" s="48" t="n">
        <f aca="false">D10</f>
        <v>46.64167872</v>
      </c>
      <c r="F10" s="48" t="n">
        <f aca="false">D10+E10</f>
        <v>93.28335744</v>
      </c>
    </row>
    <row r="11" customFormat="false" ht="15.75" hidden="false" customHeight="true" outlineLevel="0" collapsed="false">
      <c r="A11" s="41" t="str">
        <f aca="false">Paysheet!A11</f>
        <v>AES-E036</v>
      </c>
      <c r="B11" s="71" t="str">
        <f aca="false">Paysheet!B11</f>
        <v>Dadirai</v>
      </c>
      <c r="C11" s="71" t="str">
        <f aca="false">Paysheet!C11</f>
        <v>Nyakudya</v>
      </c>
      <c r="D11" s="48" t="n">
        <f aca="false">Paysheet!AM11</f>
        <v>26.985542688</v>
      </c>
      <c r="E11" s="48" t="n">
        <f aca="false">D11</f>
        <v>26.985542688</v>
      </c>
      <c r="F11" s="48" t="n">
        <f aca="false">D11+E11</f>
        <v>53.971085376</v>
      </c>
    </row>
    <row r="12" customFormat="false" ht="15.75" hidden="false" customHeight="true" outlineLevel="0" collapsed="false">
      <c r="A12" s="41" t="str">
        <f aca="false">Paysheet!A12</f>
        <v>AES-E037</v>
      </c>
      <c r="B12" s="71" t="str">
        <f aca="false">Paysheet!B12</f>
        <v>Tarisai</v>
      </c>
      <c r="C12" s="71" t="str">
        <f aca="false">Paysheet!C12</f>
        <v>Chidzambwa</v>
      </c>
      <c r="D12" s="48" t="n">
        <f aca="false">Paysheet!AM12</f>
        <v>26.985542688</v>
      </c>
      <c r="E12" s="48" t="n">
        <f aca="false">D12</f>
        <v>26.985542688</v>
      </c>
      <c r="F12" s="48" t="n">
        <f aca="false">D12+E12</f>
        <v>53.971085376</v>
      </c>
    </row>
    <row r="13" customFormat="false" ht="15.75" hidden="false" customHeight="true" outlineLevel="0" collapsed="false">
      <c r="A13" s="41" t="str">
        <f aca="false">Paysheet!A13</f>
        <v>AES-E015</v>
      </c>
      <c r="B13" s="71" t="str">
        <f aca="false">Paysheet!B13</f>
        <v>Believe</v>
      </c>
      <c r="C13" s="71" t="str">
        <f aca="false">Paysheet!C13</f>
        <v>Mhererwa</v>
      </c>
      <c r="D13" s="48" t="n">
        <f aca="false">Paysheet!AM13</f>
        <v>26.985542688</v>
      </c>
      <c r="E13" s="48" t="n">
        <f aca="false">D13</f>
        <v>26.985542688</v>
      </c>
      <c r="F13" s="48" t="n">
        <f aca="false">D13+E13</f>
        <v>53.971085376</v>
      </c>
    </row>
    <row r="14" customFormat="false" ht="15.75" hidden="false" customHeight="true" outlineLevel="0" collapsed="false">
      <c r="A14" s="41" t="str">
        <f aca="false">Paysheet!A14</f>
        <v>AES-E016</v>
      </c>
      <c r="B14" s="71" t="str">
        <f aca="false">Paysheet!B14</f>
        <v>Shingai</v>
      </c>
      <c r="C14" s="71" t="str">
        <f aca="false">Paysheet!C14</f>
        <v>Rusike</v>
      </c>
      <c r="D14" s="48" t="n">
        <f aca="false">Paysheet!AM14</f>
        <v>26.985542688</v>
      </c>
      <c r="E14" s="48" t="n">
        <f aca="false">D14</f>
        <v>26.985542688</v>
      </c>
      <c r="F14" s="48" t="n">
        <f aca="false">D14+E14</f>
        <v>53.971085376</v>
      </c>
    </row>
    <row r="15" customFormat="false" ht="15.75" hidden="false" customHeight="true" outlineLevel="0" collapsed="false">
      <c r="A15" s="41" t="str">
        <f aca="false">Paysheet!A15</f>
        <v>AES-E018</v>
      </c>
      <c r="B15" s="71" t="str">
        <f aca="false">Paysheet!B15</f>
        <v>Gamuchirai</v>
      </c>
      <c r="C15" s="71" t="str">
        <f aca="false">Paysheet!C15</f>
        <v>Chirenda</v>
      </c>
      <c r="D15" s="48" t="n">
        <f aca="false">Paysheet!AM15</f>
        <v>26.985542688</v>
      </c>
      <c r="E15" s="48" t="n">
        <f aca="false">D15</f>
        <v>26.985542688</v>
      </c>
      <c r="F15" s="48" t="n">
        <f aca="false">D15+E15</f>
        <v>53.971085376</v>
      </c>
    </row>
    <row r="16" customFormat="false" ht="15.75" hidden="false" customHeight="true" outlineLevel="0" collapsed="false">
      <c r="A16" s="41" t="str">
        <f aca="false">Paysheet!A16</f>
        <v>AES-E013</v>
      </c>
      <c r="B16" s="71" t="str">
        <f aca="false">Paysheet!B16</f>
        <v>Chido</v>
      </c>
      <c r="C16" s="71" t="str">
        <f aca="false">Paysheet!C16</f>
        <v>Chigumba</v>
      </c>
      <c r="D16" s="48" t="n">
        <f aca="false">Paysheet!AM16</f>
        <v>26.985542688</v>
      </c>
      <c r="E16" s="48" t="n">
        <f aca="false">D16</f>
        <v>26.985542688</v>
      </c>
      <c r="F16" s="48" t="n">
        <f aca="false">D16+E16</f>
        <v>53.971085376</v>
      </c>
    </row>
    <row r="17" customFormat="false" ht="15.75" hidden="false" customHeight="true" outlineLevel="0" collapsed="false">
      <c r="A17" s="41" t="str">
        <f aca="false">Paysheet!A17</f>
        <v>AES-E045</v>
      </c>
      <c r="B17" s="71" t="str">
        <f aca="false">Paysheet!B17</f>
        <v>Tinotenda</v>
      </c>
      <c r="C17" s="71" t="str">
        <f aca="false">Paysheet!C17</f>
        <v>Nyagura</v>
      </c>
      <c r="D17" s="48" t="n">
        <f aca="false">Paysheet!AM17</f>
        <v>29.98393632</v>
      </c>
      <c r="E17" s="48" t="n">
        <f aca="false">D17</f>
        <v>29.98393632</v>
      </c>
      <c r="F17" s="48" t="n">
        <f aca="false">D17+E17</f>
        <v>59.96787264</v>
      </c>
    </row>
    <row r="18" customFormat="false" ht="15.75" hidden="false" customHeight="true" outlineLevel="0" collapsed="false">
      <c r="A18" s="41" t="str">
        <f aca="false">Paysheet!A18</f>
        <v>AES-E048</v>
      </c>
      <c r="B18" s="71" t="str">
        <f aca="false">Paysheet!B18</f>
        <v>Nomatter</v>
      </c>
      <c r="C18" s="71" t="str">
        <f aca="false">Paysheet!C18</f>
        <v>Nhira</v>
      </c>
      <c r="D18" s="48" t="n">
        <f aca="false">Paysheet!AM18</f>
        <v>46.64167872</v>
      </c>
      <c r="E18" s="48" t="n">
        <f aca="false">D18</f>
        <v>46.64167872</v>
      </c>
      <c r="F18" s="48" t="n">
        <f aca="false">D18+E18</f>
        <v>93.28335744</v>
      </c>
    </row>
    <row r="19" customFormat="false" ht="15.75" hidden="false" customHeight="true" outlineLevel="0" collapsed="false">
      <c r="A19" s="41" t="str">
        <f aca="false">Paysheet!A19</f>
        <v>AES-E043</v>
      </c>
      <c r="B19" s="71" t="str">
        <f aca="false">Paysheet!B19</f>
        <v>Zvikomborero</v>
      </c>
      <c r="C19" s="71" t="str">
        <f aca="false">Paysheet!C19</f>
        <v>Mpofu</v>
      </c>
      <c r="D19" s="48" t="n">
        <f aca="false">Paysheet!AM19</f>
        <v>26.985542688</v>
      </c>
      <c r="E19" s="48" t="n">
        <f aca="false">D19</f>
        <v>26.985542688</v>
      </c>
      <c r="F19" s="48" t="n">
        <f aca="false">D19+E19</f>
        <v>53.971085376</v>
      </c>
    </row>
    <row r="20" customFormat="false" ht="15.75" hidden="false" customHeight="true" outlineLevel="0" collapsed="false">
      <c r="A20" s="41" t="str">
        <f aca="false">Paysheet!A20</f>
        <v>AES-E044</v>
      </c>
      <c r="B20" s="71" t="str">
        <f aca="false">Paysheet!B20</f>
        <v>Anesu</v>
      </c>
      <c r="C20" s="71" t="str">
        <f aca="false">Paysheet!C20</f>
        <v>Chidzambwa</v>
      </c>
      <c r="D20" s="48" t="n">
        <f aca="false">Paysheet!AM20</f>
        <v>30.49648224</v>
      </c>
      <c r="E20" s="48" t="n">
        <f aca="false">D20</f>
        <v>30.49648224</v>
      </c>
      <c r="F20" s="48" t="n">
        <f aca="false">D20+E20</f>
        <v>60.99296448</v>
      </c>
    </row>
    <row r="21" customFormat="false" ht="15.75" hidden="false" customHeight="true" outlineLevel="0" collapsed="false">
      <c r="A21" s="41" t="str">
        <f aca="false">Paysheet!A21</f>
        <v>AES-E047</v>
      </c>
      <c r="B21" s="71" t="str">
        <f aca="false">Paysheet!B21</f>
        <v>Innocent</v>
      </c>
      <c r="C21" s="71" t="str">
        <f aca="false">Paysheet!C21</f>
        <v>Chihota</v>
      </c>
      <c r="D21" s="48" t="n">
        <f aca="false">Paysheet!AM21</f>
        <v>46.64167872</v>
      </c>
      <c r="E21" s="48" t="n">
        <f aca="false">D21</f>
        <v>46.64167872</v>
      </c>
      <c r="F21" s="48" t="n">
        <f aca="false">D21+E21</f>
        <v>93.28335744</v>
      </c>
    </row>
    <row r="22" customFormat="false" ht="15.75" hidden="false" customHeight="true" outlineLevel="0" collapsed="false">
      <c r="A22" s="41" t="str">
        <f aca="false">Paysheet!A22</f>
        <v>AES-E038</v>
      </c>
      <c r="B22" s="71" t="str">
        <f aca="false">Paysheet!B22</f>
        <v>Munyaradzi</v>
      </c>
      <c r="C22" s="71" t="str">
        <f aca="false">Paysheet!C22</f>
        <v>Zhou</v>
      </c>
      <c r="D22" s="48" t="n">
        <f aca="false">Paysheet!AM22</f>
        <v>26.985542688</v>
      </c>
      <c r="E22" s="48" t="n">
        <f aca="false">D22</f>
        <v>26.985542688</v>
      </c>
      <c r="F22" s="48" t="n">
        <f aca="false">D22+E22</f>
        <v>53.971085376</v>
      </c>
    </row>
    <row r="23" customFormat="false" ht="15.75" hidden="false" customHeight="true" outlineLevel="0" collapsed="false">
      <c r="A23" s="41" t="str">
        <f aca="false">Paysheet!A23</f>
        <v>AES-E040</v>
      </c>
      <c r="B23" s="71" t="str">
        <f aca="false">Paysheet!B23</f>
        <v>Takudzwa</v>
      </c>
      <c r="C23" s="71" t="str">
        <f aca="false">Paysheet!C23</f>
        <v>Nyandoro</v>
      </c>
      <c r="D23" s="48" t="n">
        <f aca="false">Paysheet!AM23</f>
        <v>26.985542688</v>
      </c>
      <c r="E23" s="48" t="n">
        <f aca="false">D23</f>
        <v>26.985542688</v>
      </c>
      <c r="F23" s="48" t="n">
        <f aca="false">D23+E23</f>
        <v>53.971085376</v>
      </c>
    </row>
    <row r="24" customFormat="false" ht="15.75" hidden="false" customHeight="true" outlineLevel="0" collapsed="false">
      <c r="A24" s="41" t="str">
        <f aca="false">Paysheet!A24</f>
        <v>AES-E039</v>
      </c>
      <c r="B24" s="71" t="str">
        <f aca="false">Paysheet!B24</f>
        <v>Chiedza</v>
      </c>
      <c r="C24" s="71" t="str">
        <f aca="false">Paysheet!C24</f>
        <v>Mucheki</v>
      </c>
      <c r="D24" s="48" t="n">
        <f aca="false">Paysheet!AM24</f>
        <v>26.985542688</v>
      </c>
      <c r="E24" s="48" t="n">
        <f aca="false">D24</f>
        <v>26.985542688</v>
      </c>
      <c r="F24" s="48" t="n">
        <f aca="false">D24+E24</f>
        <v>53.971085376</v>
      </c>
    </row>
    <row r="25" customFormat="false" ht="15.75" hidden="false" customHeight="true" outlineLevel="0" collapsed="false">
      <c r="A25" s="41" t="str">
        <f aca="false">Paysheet!A25</f>
        <v>AES-E010</v>
      </c>
      <c r="B25" s="71" t="str">
        <f aca="false">Paysheet!B25</f>
        <v>Farai</v>
      </c>
      <c r="C25" s="71" t="str">
        <f aca="false">Paysheet!C25</f>
        <v>Dhliwayo</v>
      </c>
      <c r="D25" s="48" t="n">
        <f aca="false">Paysheet!AM25</f>
        <v>26.985542688</v>
      </c>
      <c r="E25" s="48" t="n">
        <f aca="false">D25</f>
        <v>26.985542688</v>
      </c>
      <c r="F25" s="48" t="n">
        <f aca="false">D25+E25</f>
        <v>53.971085376</v>
      </c>
    </row>
    <row r="26" customFormat="false" ht="15.75" hidden="false" customHeight="true" outlineLevel="0" collapsed="false">
      <c r="A26" s="41" t="str">
        <f aca="false">Paysheet!A26</f>
        <v>AES-E011</v>
      </c>
      <c r="B26" s="71" t="str">
        <f aca="false">Paysheet!B26</f>
        <v>Kundai</v>
      </c>
      <c r="C26" s="71" t="str">
        <f aca="false">Paysheet!C26</f>
        <v>Chataika</v>
      </c>
      <c r="D26" s="48" t="n">
        <f aca="false">Paysheet!AM26</f>
        <v>26.985542688</v>
      </c>
      <c r="E26" s="48" t="n">
        <f aca="false">D26</f>
        <v>26.985542688</v>
      </c>
      <c r="F26" s="48" t="n">
        <f aca="false">D26+E26</f>
        <v>53.971085376</v>
      </c>
    </row>
    <row r="27" customFormat="false" ht="15.75" hidden="false" customHeight="true" outlineLevel="0" collapsed="false">
      <c r="A27" s="41" t="str">
        <f aca="false">Paysheet!A27</f>
        <v>AES-E014</v>
      </c>
      <c r="B27" s="71" t="str">
        <f aca="false">Paysheet!B27</f>
        <v>Mufaro</v>
      </c>
      <c r="C27" s="71" t="str">
        <f aca="false">Paysheet!C27</f>
        <v>Nemukuyu</v>
      </c>
      <c r="D27" s="48" t="n">
        <f aca="false">Paysheet!AM27</f>
        <v>29.317626624</v>
      </c>
      <c r="E27" s="48" t="n">
        <f aca="false">D27</f>
        <v>29.317626624</v>
      </c>
      <c r="F27" s="48" t="n">
        <f aca="false">D27+E27</f>
        <v>58.635253248</v>
      </c>
    </row>
    <row r="28" customFormat="false" ht="15.75" hidden="false" customHeight="true" outlineLevel="0" collapsed="false">
      <c r="A28" s="41" t="str">
        <f aca="false">Paysheet!A28</f>
        <v>AES-E019</v>
      </c>
      <c r="B28" s="71" t="str">
        <f aca="false">Paysheet!B28</f>
        <v>Rufaro</v>
      </c>
      <c r="C28" s="71" t="str">
        <f aca="false">Paysheet!C28</f>
        <v>Mashingaidze</v>
      </c>
      <c r="D28" s="48" t="n">
        <f aca="false">Paysheet!AM28</f>
        <v>26.985542688</v>
      </c>
      <c r="E28" s="48" t="n">
        <f aca="false">D28</f>
        <v>26.985542688</v>
      </c>
      <c r="F28" s="48" t="n">
        <f aca="false">D28+E28</f>
        <v>53.971085376</v>
      </c>
    </row>
    <row r="29" customFormat="false" ht="15.75" hidden="false" customHeight="true" outlineLevel="0" collapsed="false">
      <c r="A29" s="41" t="str">
        <f aca="false">Paysheet!A29</f>
        <v>AES-E017</v>
      </c>
      <c r="B29" s="71" t="str">
        <f aca="false">Paysheet!B29</f>
        <v>Ropafadzo</v>
      </c>
      <c r="C29" s="71" t="str">
        <f aca="false">Paysheet!C29</f>
        <v>Mangwende</v>
      </c>
      <c r="D29" s="48" t="n">
        <f aca="false">Paysheet!AM29</f>
        <v>26.985542688</v>
      </c>
      <c r="E29" s="48" t="n">
        <f aca="false">D29</f>
        <v>26.985542688</v>
      </c>
      <c r="F29" s="48" t="n">
        <f aca="false">D29+E29</f>
        <v>53.971085376</v>
      </c>
    </row>
    <row r="30" customFormat="false" ht="15.75" hidden="false" customHeight="true" outlineLevel="0" collapsed="false">
      <c r="A30" s="41" t="str">
        <f aca="false">Paysheet!A30</f>
        <v>AES-E042</v>
      </c>
      <c r="B30" s="71" t="str">
        <f aca="false">Paysheet!B30</f>
        <v>Vimbai</v>
      </c>
      <c r="C30" s="71" t="str">
        <f aca="false">Paysheet!C30</f>
        <v>Mpofu</v>
      </c>
      <c r="D30" s="48" t="n">
        <f aca="false">Paysheet!AM30</f>
        <v>29.317626624</v>
      </c>
      <c r="E30" s="48" t="n">
        <f aca="false">D30</f>
        <v>29.317626624</v>
      </c>
      <c r="F30" s="48" t="n">
        <f aca="false">D30+E30</f>
        <v>58.635253248</v>
      </c>
    </row>
    <row r="31" customFormat="false" ht="15.75" hidden="false" customHeight="true" outlineLevel="0" collapsed="false">
      <c r="A31" s="41" t="e">
        <f aca="false">paysheet!#ref!</f>
        <v>#NAME?</v>
      </c>
      <c r="B31" s="71" t="e">
        <f aca="false">paysheet!#ref!</f>
        <v>#NAME?</v>
      </c>
      <c r="C31" s="71" t="e">
        <f aca="false">paysheet!#ref!</f>
        <v>#NAME?</v>
      </c>
      <c r="D31" s="48" t="e">
        <f aca="false">paysheet!#ref!</f>
        <v>#NAME?</v>
      </c>
      <c r="E31" s="48" t="e">
        <f aca="false">D31</f>
        <v>#NAME?</v>
      </c>
      <c r="F31" s="48" t="e">
        <f aca="false">D31+E31</f>
        <v>#NAME?</v>
      </c>
    </row>
    <row r="32" customFormat="false" ht="15.75" hidden="false" customHeight="true" outlineLevel="0" collapsed="false">
      <c r="A32" s="41" t="str">
        <f aca="false">Paysheet!A31</f>
        <v>AES-E012</v>
      </c>
      <c r="B32" s="71" t="str">
        <f aca="false">Paysheet!B31</f>
        <v>Batsirai</v>
      </c>
      <c r="C32" s="71" t="str">
        <f aca="false">Paysheet!C31</f>
        <v>Gwenzi</v>
      </c>
      <c r="D32" s="48" t="n">
        <f aca="false">Paysheet!AM31</f>
        <v>26.985542688</v>
      </c>
      <c r="E32" s="48" t="n">
        <f aca="false">D32</f>
        <v>26.985542688</v>
      </c>
      <c r="F32" s="48" t="n">
        <f aca="false">D32+E32</f>
        <v>53.971085376</v>
      </c>
    </row>
    <row r="33" customFormat="false" ht="15.75" hidden="false" customHeight="true" outlineLevel="0" collapsed="false">
      <c r="A33" s="41" t="str">
        <f aca="false">Paysheet!A32</f>
        <v>AES-E020</v>
      </c>
      <c r="B33" s="71" t="str">
        <f aca="false">Paysheet!B32</f>
        <v>Tonderayi</v>
      </c>
      <c r="C33" s="71" t="str">
        <f aca="false">Paysheet!C32</f>
        <v>Nyamande</v>
      </c>
      <c r="D33" s="48" t="n">
        <f aca="false">Paysheet!AM32</f>
        <v>26.985542688</v>
      </c>
      <c r="E33" s="48" t="n">
        <f aca="false">D33</f>
        <v>26.985542688</v>
      </c>
      <c r="F33" s="48" t="n">
        <f aca="false">D33+E33</f>
        <v>53.971085376</v>
      </c>
    </row>
    <row r="34" customFormat="false" ht="15.75" hidden="false" customHeight="true" outlineLevel="0" collapsed="false">
      <c r="A34" s="41" t="str">
        <f aca="false">Paysheet!A33</f>
        <v>AES-E021</v>
      </c>
      <c r="B34" s="71" t="str">
        <f aca="false">Paysheet!B33</f>
        <v>Kudzai </v>
      </c>
      <c r="C34" s="71" t="str">
        <f aca="false">Paysheet!C33</f>
        <v>Ziyambi</v>
      </c>
      <c r="D34" s="48" t="n">
        <f aca="false">Paysheet!AM33</f>
        <v>26.985542688</v>
      </c>
      <c r="E34" s="48" t="n">
        <f aca="false">D34</f>
        <v>26.985542688</v>
      </c>
      <c r="F34" s="48" t="n">
        <f aca="false">D34+E34</f>
        <v>53.971085376</v>
      </c>
    </row>
    <row r="35" customFormat="false" ht="15.75" hidden="false" customHeight="true" outlineLevel="0" collapsed="false">
      <c r="A35" s="41" t="str">
        <f aca="false">Paysheet!A34</f>
        <v>AES-E027</v>
      </c>
      <c r="B35" s="71" t="str">
        <f aca="false">Paysheet!B34</f>
        <v>Munashe </v>
      </c>
      <c r="C35" s="71" t="str">
        <f aca="false">Paysheet!C34</f>
        <v>Makoni</v>
      </c>
      <c r="D35" s="48" t="n">
        <f aca="false">Paysheet!AM34</f>
        <v>26.985542688</v>
      </c>
      <c r="E35" s="48" t="n">
        <f aca="false">D35</f>
        <v>26.985542688</v>
      </c>
      <c r="F35" s="48" t="n">
        <f aca="false">D35+E35</f>
        <v>53.971085376</v>
      </c>
    </row>
    <row r="36" customFormat="false" ht="15.75" hidden="false" customHeight="true" outlineLevel="0" collapsed="false">
      <c r="A36" s="41" t="str">
        <f aca="false">Paysheet!A35</f>
        <v>AES-E029</v>
      </c>
      <c r="B36" s="71" t="str">
        <f aca="false">Paysheet!B35</f>
        <v>Kudzai </v>
      </c>
      <c r="C36" s="71" t="str">
        <f aca="false">Paysheet!C35</f>
        <v>Mutsvairo</v>
      </c>
      <c r="D36" s="48" t="n">
        <f aca="false">Paysheet!AM35</f>
        <v>26.985542688</v>
      </c>
      <c r="E36" s="48" t="n">
        <f aca="false">D36</f>
        <v>26.985542688</v>
      </c>
      <c r="F36" s="48" t="n">
        <f aca="false">D36+E36</f>
        <v>53.971085376</v>
      </c>
    </row>
    <row r="37" customFormat="false" ht="15.75" hidden="false" customHeight="true" outlineLevel="0" collapsed="false">
      <c r="A37" s="41" t="str">
        <f aca="false">Paysheet!A36</f>
        <v>AES-E028</v>
      </c>
      <c r="B37" s="71" t="str">
        <f aca="false">Paysheet!B36</f>
        <v>Tsitsi</v>
      </c>
      <c r="C37" s="71" t="str">
        <f aca="false">Paysheet!C36</f>
        <v>Chibanda</v>
      </c>
      <c r="D37" s="48" t="n">
        <f aca="false">Paysheet!AM36</f>
        <v>26.985542688</v>
      </c>
      <c r="E37" s="48" t="n">
        <f aca="false">D37</f>
        <v>26.985542688</v>
      </c>
      <c r="F37" s="48" t="n">
        <f aca="false">D37+E37</f>
        <v>53.971085376</v>
      </c>
    </row>
    <row r="38" customFormat="false" ht="15.75" hidden="false" customHeight="true" outlineLevel="0" collapsed="false">
      <c r="A38" s="41" t="str">
        <f aca="false">Paysheet!A37</f>
        <v>AES-E030</v>
      </c>
      <c r="B38" s="71" t="str">
        <f aca="false">Paysheet!B37</f>
        <v>Tichaona</v>
      </c>
      <c r="C38" s="71" t="str">
        <f aca="false">Paysheet!C37</f>
        <v>Bere</v>
      </c>
      <c r="D38" s="48" t="n">
        <f aca="false">Paysheet!AM37</f>
        <v>26.985542688</v>
      </c>
      <c r="E38" s="48" t="n">
        <f aca="false">D38</f>
        <v>26.985542688</v>
      </c>
      <c r="F38" s="48" t="n">
        <f aca="false">D38+E38</f>
        <v>53.971085376</v>
      </c>
    </row>
    <row r="39" customFormat="false" ht="15.75" hidden="false" customHeight="true" outlineLevel="0" collapsed="false">
      <c r="A39" s="41" t="str">
        <f aca="false">Paysheet!A38</f>
        <v>AES-E031</v>
      </c>
      <c r="B39" s="71" t="str">
        <f aca="false">Paysheet!B38</f>
        <v>Nyarai</v>
      </c>
      <c r="C39" s="71" t="str">
        <f aca="false">Paysheet!C38</f>
        <v>Chikomo</v>
      </c>
      <c r="D39" s="48" t="n">
        <f aca="false">Paysheet!AM38</f>
        <v>26.985542688</v>
      </c>
      <c r="E39" s="48" t="n">
        <f aca="false">D39</f>
        <v>26.985542688</v>
      </c>
      <c r="F39" s="48" t="n">
        <f aca="false">D39+E39</f>
        <v>53.971085376</v>
      </c>
    </row>
    <row r="40" customFormat="false" ht="15.75" hidden="false" customHeight="true" outlineLevel="0" collapsed="false">
      <c r="A40" s="41" t="str">
        <f aca="false">Paysheet!A39</f>
        <v>AES-E023</v>
      </c>
      <c r="B40" s="71" t="str">
        <f aca="false">Paysheet!B39</f>
        <v>Tawanda</v>
      </c>
      <c r="C40" s="71" t="str">
        <f aca="false">Paysheet!C39</f>
        <v>Svosve</v>
      </c>
      <c r="D40" s="48" t="n">
        <f aca="false">Paysheet!AM39</f>
        <v>26.985542688</v>
      </c>
      <c r="E40" s="48" t="n">
        <f aca="false">D40</f>
        <v>26.985542688</v>
      </c>
      <c r="F40" s="48" t="n">
        <f aca="false">D40+E40</f>
        <v>53.971085376</v>
      </c>
    </row>
    <row r="41" customFormat="false" ht="15.75" hidden="false" customHeight="true" outlineLevel="0" collapsed="false">
      <c r="A41" s="41" t="str">
        <f aca="false">Paysheet!A40</f>
        <v>AES-E024</v>
      </c>
      <c r="B41" s="71" t="str">
        <f aca="false">Paysheet!B40</f>
        <v>Gamuchirai</v>
      </c>
      <c r="C41" s="71" t="str">
        <f aca="false">Paysheet!C40</f>
        <v>Mukanya</v>
      </c>
      <c r="D41" s="48" t="n">
        <f aca="false">Paysheet!AM40</f>
        <v>26.985542688</v>
      </c>
      <c r="E41" s="48" t="n">
        <f aca="false">D41</f>
        <v>26.985542688</v>
      </c>
      <c r="F41" s="48" t="n">
        <f aca="false">D41+E41</f>
        <v>53.971085376</v>
      </c>
    </row>
    <row r="42" customFormat="false" ht="15.75" hidden="false" customHeight="true" outlineLevel="0" collapsed="false">
      <c r="A42" s="41" t="str">
        <f aca="false">Paysheet!A41</f>
        <v>AES-E025</v>
      </c>
      <c r="B42" s="71" t="str">
        <f aca="false">Paysheet!B41</f>
        <v>Rutendo</v>
      </c>
      <c r="C42" s="71" t="str">
        <f aca="false">Paysheet!C41</f>
        <v>Mhike</v>
      </c>
      <c r="D42" s="48" t="n">
        <f aca="false">Paysheet!AM41</f>
        <v>25.9476372</v>
      </c>
      <c r="E42" s="48" t="n">
        <f aca="false">D42</f>
        <v>25.9476372</v>
      </c>
      <c r="F42" s="48" t="n">
        <f aca="false">D42+E42</f>
        <v>51.8952744</v>
      </c>
    </row>
    <row r="43" customFormat="false" ht="15.75" hidden="false" customHeight="true" outlineLevel="0" collapsed="false">
      <c r="A43" s="41" t="str">
        <f aca="false">Paysheet!A42</f>
        <v>AES-E026</v>
      </c>
      <c r="B43" s="71" t="str">
        <f aca="false">Paysheet!B42</f>
        <v>Brighton </v>
      </c>
      <c r="C43" s="71" t="str">
        <f aca="false">Paysheet!C42</f>
        <v>Chinamasa2Z</v>
      </c>
      <c r="D43" s="48" t="n">
        <f aca="false">Paysheet!AM42</f>
        <v>15.56858232</v>
      </c>
      <c r="E43" s="48" t="n">
        <f aca="false">D43</f>
        <v>15.56858232</v>
      </c>
      <c r="F43" s="48" t="n">
        <f aca="false">D43+E43</f>
        <v>31.13716464</v>
      </c>
    </row>
    <row r="44" customFormat="false" ht="15.75" hidden="false" customHeight="true" outlineLevel="0" collapsed="false">
      <c r="A44" s="41" t="str">
        <f aca="false">Paysheet!A43</f>
        <v>AES-E032</v>
      </c>
      <c r="B44" s="71" t="str">
        <f aca="false">Paysheet!B43</f>
        <v>Mazvita</v>
      </c>
      <c r="C44" s="71" t="str">
        <f aca="false">Paysheet!C43</f>
        <v>Mhererwa</v>
      </c>
      <c r="D44" s="48" t="n">
        <f aca="false">Paysheet!AM43</f>
        <v>26.985542688</v>
      </c>
      <c r="E44" s="48" t="n">
        <f aca="false">D44</f>
        <v>26.985542688</v>
      </c>
      <c r="F44" s="48" t="n">
        <f aca="false">D44+E44</f>
        <v>53.971085376</v>
      </c>
    </row>
    <row r="45" customFormat="false" ht="15.75" hidden="false" customHeight="true" outlineLevel="0" collapsed="false">
      <c r="A45" s="41" t="n">
        <f aca="false">Paysheet!A44</f>
        <v>0</v>
      </c>
      <c r="B45" s="71"/>
      <c r="C45" s="77"/>
      <c r="D45" s="304"/>
      <c r="E45" s="304"/>
      <c r="F45" s="304"/>
    </row>
    <row r="46" customFormat="false" ht="15.75" hidden="false" customHeight="true" outlineLevel="0" collapsed="false">
      <c r="A46" s="41"/>
      <c r="B46" s="71"/>
      <c r="C46" s="77"/>
      <c r="D46" s="304"/>
      <c r="E46" s="304"/>
      <c r="F46" s="304"/>
    </row>
    <row r="47" customFormat="false" ht="15.75" hidden="false" customHeight="true" outlineLevel="0" collapsed="false">
      <c r="A47" s="41"/>
      <c r="B47" s="71"/>
      <c r="C47" s="77"/>
      <c r="D47" s="304"/>
      <c r="E47" s="304"/>
      <c r="F47" s="304"/>
    </row>
    <row r="48" customFormat="false" ht="16.5" hidden="false" customHeight="true" outlineLevel="0" collapsed="false">
      <c r="A48" s="41" t="n">
        <f aca="false">Paysheet!A45</f>
        <v>0</v>
      </c>
      <c r="B48" s="71" t="n">
        <f aca="false">Paysheet!B45</f>
        <v>0</v>
      </c>
      <c r="C48" s="305" t="str">
        <f aca="false">Paysheet!C45</f>
        <v>Totals</v>
      </c>
      <c r="D48" s="306" t="e">
        <f aca="false">SUM(D4:D47)</f>
        <v>#NAME?</v>
      </c>
      <c r="E48" s="306" t="e">
        <f aca="false">SUM(E4:E47)</f>
        <v>#NAME?</v>
      </c>
      <c r="F48" s="306" t="e">
        <f aca="false">SUM(F4:F47)</f>
        <v>#NAME?</v>
      </c>
    </row>
    <row r="49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7.71"/>
    <col collapsed="false" customWidth="true" hidden="false" outlineLevel="0" max="2" min="2" style="1" width="12.57"/>
    <col collapsed="false" customWidth="true" hidden="false" outlineLevel="0" max="3" min="3" style="1" width="15"/>
    <col collapsed="false" customWidth="true" hidden="false" outlineLevel="0" max="4" min="4" style="1" width="13.86"/>
    <col collapsed="false" customWidth="true" hidden="false" outlineLevel="0" max="5" min="5" style="1" width="15.14"/>
  </cols>
  <sheetData>
    <row r="1" customFormat="false" ht="15" hidden="false" customHeight="false" outlineLevel="0" collapsed="false">
      <c r="A1" s="41"/>
      <c r="B1" s="307" t="s">
        <v>74</v>
      </c>
      <c r="C1" s="307"/>
      <c r="D1" s="307" t="s">
        <v>25</v>
      </c>
      <c r="E1" s="307"/>
    </row>
    <row r="2" customFormat="false" ht="15" hidden="false" customHeight="false" outlineLevel="0" collapsed="false">
      <c r="A2" s="29" t="s">
        <v>409</v>
      </c>
      <c r="B2" s="29" t="s">
        <v>580</v>
      </c>
      <c r="C2" s="29" t="s">
        <v>581</v>
      </c>
      <c r="D2" s="29" t="s">
        <v>580</v>
      </c>
      <c r="E2" s="29" t="s">
        <v>581</v>
      </c>
    </row>
    <row r="3" customFormat="false" ht="15" hidden="false" customHeight="false" outlineLevel="0" collapsed="false">
      <c r="A3" s="41" t="s">
        <v>582</v>
      </c>
      <c r="B3" s="57" t="n">
        <f aca="false">Paysheet!AG45</f>
        <v>12497.544</v>
      </c>
      <c r="C3" s="41"/>
      <c r="D3" s="57" t="n">
        <f aca="false">Paysheet!AH45</f>
        <v>413373.8370608</v>
      </c>
      <c r="E3" s="41"/>
    </row>
    <row r="4" customFormat="false" ht="15" hidden="false" customHeight="false" outlineLevel="0" collapsed="false">
      <c r="A4" s="41" t="s">
        <v>56</v>
      </c>
      <c r="B4" s="307"/>
      <c r="C4" s="308" t="n">
        <f aca="false">Paysheet!AJ45</f>
        <v>365.13055487936</v>
      </c>
      <c r="D4" s="41"/>
      <c r="E4" s="57" t="n">
        <f aca="false">Paysheet!AK45</f>
        <v>7797.757340448</v>
      </c>
    </row>
    <row r="5" customFormat="false" ht="15" hidden="false" customHeight="false" outlineLevel="0" collapsed="false">
      <c r="A5" s="41" t="s">
        <v>383</v>
      </c>
      <c r="B5" s="41"/>
      <c r="C5" s="57" t="n">
        <f aca="false">Paysheet!AU45+Paysheet!AV45</f>
        <v>2588.57648016067</v>
      </c>
      <c r="D5" s="41"/>
      <c r="E5" s="57" t="n">
        <f aca="false">Paysheet!AW45+Paysheet!AX45</f>
        <v>84766.3491252246</v>
      </c>
    </row>
    <row r="6" customFormat="false" ht="15" hidden="false" customHeight="false" outlineLevel="0" collapsed="false">
      <c r="A6" s="41" t="s">
        <v>393</v>
      </c>
      <c r="B6" s="41"/>
      <c r="C6" s="57" t="n">
        <f aca="false">Paysheet!BD45</f>
        <v>120</v>
      </c>
      <c r="D6" s="41"/>
      <c r="E6" s="57" t="n">
        <f aca="false">Paysheet!BC45</f>
        <v>541.902235846953</v>
      </c>
    </row>
    <row r="7" customFormat="false" ht="15" hidden="false" customHeight="false" outlineLevel="0" collapsed="false">
      <c r="A7" s="41" t="s">
        <v>583</v>
      </c>
      <c r="B7" s="41"/>
      <c r="C7" s="57" t="n">
        <f aca="false">Paysheet!BG45</f>
        <v>120</v>
      </c>
      <c r="D7" s="41"/>
      <c r="E7" s="41" t="n">
        <v>0</v>
      </c>
    </row>
    <row r="8" customFormat="false" ht="15" hidden="false" customHeight="false" outlineLevel="0" collapsed="false">
      <c r="A8" s="41" t="s">
        <v>584</v>
      </c>
      <c r="B8" s="41"/>
      <c r="C8" s="57" t="n">
        <f aca="false">Paysheet!BL45</f>
        <v>9016.33696495997</v>
      </c>
      <c r="D8" s="41"/>
      <c r="E8" s="57" t="n">
        <f aca="false">Paysheet!BM45</f>
        <v>299927.824433153</v>
      </c>
    </row>
    <row r="9" customFormat="false" ht="15" hidden="false" customHeight="false" outlineLevel="0" collapsed="false">
      <c r="A9" s="41" t="s">
        <v>525</v>
      </c>
      <c r="B9" s="41"/>
      <c r="C9" s="57"/>
      <c r="D9" s="41"/>
      <c r="E9" s="57" t="n">
        <f aca="false">Paysheet!AL45</f>
        <v>6284.4536616</v>
      </c>
    </row>
    <row r="10" customFormat="false" ht="15" hidden="false" customHeight="false" outlineLevel="0" collapsed="false">
      <c r="A10" s="41" t="s">
        <v>65</v>
      </c>
      <c r="B10" s="41"/>
      <c r="C10" s="57"/>
      <c r="D10" s="41"/>
      <c r="E10" s="57" t="n">
        <f aca="false">Paysheet!BA45</f>
        <v>12658.081</v>
      </c>
    </row>
    <row r="11" customFormat="false" ht="15" hidden="false" customHeight="false" outlineLevel="0" collapsed="false">
      <c r="A11" s="41" t="s">
        <v>60</v>
      </c>
      <c r="B11" s="41"/>
      <c r="C11" s="57"/>
      <c r="D11" s="41"/>
      <c r="E11" s="57" t="n">
        <f aca="false">Paysheet!AM45</f>
        <v>1397.469264528</v>
      </c>
    </row>
    <row r="12" customFormat="false" ht="15.75" hidden="false" customHeight="true" outlineLevel="0" collapsed="false">
      <c r="A12" s="27" t="s">
        <v>372</v>
      </c>
      <c r="B12" s="95" t="n">
        <f aca="false">SUM(B3:B11)</f>
        <v>12497.544</v>
      </c>
      <c r="C12" s="95" t="n">
        <f aca="false">SUM(C3:C11)</f>
        <v>12210.044</v>
      </c>
      <c r="D12" s="95" t="n">
        <f aca="false">SUM(D3:D11)</f>
        <v>413373.8370608</v>
      </c>
      <c r="E12" s="95" t="n">
        <f aca="false">SUM(E3:E11)</f>
        <v>413373.8370608</v>
      </c>
    </row>
    <row r="13" customFormat="false" ht="15.75" hidden="false" customHeight="true" outlineLevel="0" collapsed="false"/>
    <row r="14" customFormat="false" ht="15" hidden="false" customHeight="false" outlineLevel="0" collapsed="false">
      <c r="C14" s="3" t="n">
        <f aca="false">B12-C12</f>
        <v>287.5</v>
      </c>
    </row>
    <row r="15" customFormat="false" ht="15" hidden="false" customHeight="false" outlineLevel="0" collapsed="false">
      <c r="E15" s="3" t="n">
        <f aca="false">D12-E12</f>
        <v>0</v>
      </c>
    </row>
  </sheetData>
  <mergeCells count="2">
    <mergeCell ref="B1:C1"/>
    <mergeCell ref="D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2021-08-24T18:54:55Z</dcterms:created>
  <dc:creator>Beaven</dc:creator>
  <dc:description/>
  <dc:language>en-US</dc:language>
  <cp:lastModifiedBy>Beaven</cp:lastModifiedBy>
  <cp:lastPrinted>2025-03-27T07:26:04Z</cp:lastPrinted>
  <dcterms:modified xsi:type="dcterms:W3CDTF">2026-07-24T16:02:32Z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
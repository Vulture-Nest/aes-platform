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ettings" sheetId="2" state="visible" r:id="rId4"/>
    <sheet name="Clients" sheetId="3" state="visible" r:id="rId5"/>
    <sheet name="Contracts" sheetId="4" state="visible" r:id="rId6"/>
    <sheet name="Orders" sheetId="5" state="visible" r:id="rId7"/>
    <sheet name="OrderExpenses" sheetId="6" state="visible" r:id="rId8"/>
    <sheet name="GeneralExpenses" sheetId="7" state="visible" r:id="rId9"/>
    <sheet name="Overheads" sheetId="8" state="visible" r:id="rId10"/>
    <sheet name="Loans" sheetId="9" state="visible" r:id="rId11"/>
    <sheet name="ContractPayments" sheetId="10" state="visible" r:id="rId12"/>
    <sheet name="OtherTaxDebt" sheetId="11" state="visible" r:id="rId13"/>
    <sheet name="Tax" sheetId="12" state="visible" r:id="rId14"/>
    <sheet name="TaxDashboard" sheetId="13" state="visible" r:id="rId15"/>
    <sheet name="OrdersDashboard" sheetId="14" state="visible" r:id="rId16"/>
    <sheet name="Receivables" sheetId="15" state="visible" r:id="rId17"/>
    <sheet name="VAT_Paid" sheetId="16" state="visible" r:id="rId18"/>
    <sheet name="Performance" sheetId="17" state="visible" r:id="rId19"/>
    <sheet name="FinancialSummary" sheetId="18" state="visible" r:id="rId20"/>
    <sheet name="Manual" sheetId="19" state="visible" r:id="rId21"/>
  </sheets>
  <definedNames>
    <definedName function="false" hidden="false" name="CatList" vbProcedure="false">Settings!$C$21:$C$28</definedName>
    <definedName function="false" hidden="false" name="ClientList" vbProcedure="false">Clients!$A$5:$A$44</definedName>
    <definedName function="false" hidden="false" name="ContractList" vbProcedure="false">Contracts!$A$5:$A$34</definedName>
    <definedName function="false" hidden="false" name="LoanWk" vbProcedure="false">Settings!$B$10</definedName>
    <definedName function="false" hidden="false" name="OffRate" vbProcedure="false">Settings!$B$7</definedName>
    <definedName function="false" hidden="false" name="OrderList" vbProcedure="false">Orders!$A$5:$A$64</definedName>
    <definedName function="false" hidden="false" name="RptDate" vbProcedure="false">Settings!$B$11</definedName>
    <definedName function="false" hidden="false" name="StreetRate" vbProcedure="false">Settings!$B$8</definedName>
    <definedName function="false" hidden="false" name="TaxTypeList" vbProcedure="false">Settings!$D$21:$D$22</definedName>
    <definedName function="false" hidden="false" name="VATRate" vbProcedure="false">Settings!$B$6</definedName>
    <definedName function="false" hidden="false" name="YesNoList" vbProcedure="false">Settings!$A$21:$A$22</definedName>
    <definedName function="false" hidden="false" name="ZimraInt" vbProcedure="false">Settings!$B$9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<sst xmlns="http://schemas.openxmlformats.org/spreadsheetml/2006/main" count="689" uniqueCount="491">
  <si>
    <t xml:space="preserve">OPERATIONAL CASHFLOW REPORT</t>
  </si>
  <si>
    <t xml:space="preserve">Airflow Environmental Solutions   |   www.aes.co.zw</t>
  </si>
  <si>
    <t xml:space="preserve">Mine ventilation, refuge chambers, safety &amp; environmental solutions</t>
  </si>
  <si>
    <t xml:space="preserve">Report date:</t>
  </si>
  <si>
    <t xml:space="preserve">WORKBOOK CONTENTS</t>
  </si>
  <si>
    <t xml:space="preserve">Global rates, VAT %, exchange rates - set these first</t>
  </si>
  <si>
    <t xml:space="preserve">Customer master list (feeds all drop-downs)</t>
  </si>
  <si>
    <t xml:space="preserve">Contract values, budgets and claim variance</t>
  </si>
  <si>
    <t xml:space="preserve">Every order: health, payment, VAT, profit</t>
  </si>
  <si>
    <t xml:space="preserve">Costs tied to each order</t>
  </si>
  <si>
    <t xml:space="preserve">Costs not tied to an order</t>
  </si>
  <si>
    <t xml:space="preserve">Monthly salaries, PAYE, software, rentals</t>
  </si>
  <si>
    <t xml:space="preserve">Order-linked loans and interest</t>
  </si>
  <si>
    <t xml:space="preserve">Monthly contract claims and VAT</t>
  </si>
  <si>
    <t xml:space="preserve">Tax brought forward from prior periods</t>
  </si>
  <si>
    <t xml:space="preserve">VAT &amp; PAYE ledger (auto-consolidated)</t>
  </si>
  <si>
    <t xml:space="preserve">Compare to ZIMRA, interest, total liability</t>
  </si>
  <si>
    <t xml:space="preserve">Order KPIs, charts and status board</t>
  </si>
  <si>
    <t xml:space="preserve">Serviced orders awaiting payment</t>
  </si>
  <si>
    <t xml:space="preserve">VAT due, paid and outstanding per order</t>
  </si>
  <si>
    <t xml:space="preserve">Income vs expenses, debt funding, pending</t>
  </si>
  <si>
    <t xml:space="preserve">One-glance colour-coded health board</t>
  </si>
  <si>
    <t xml:space="preserve">Full user guide (also a separate document)</t>
  </si>
  <si>
    <t xml:space="preserve">Colour key:</t>
  </si>
  <si>
    <t xml:space="preserve">Yellow = you type here</t>
  </si>
  <si>
    <t xml:space="preserve">Black = formula result</t>
  </si>
  <si>
    <t xml:space="preserve">Green = pulled from another sheet</t>
  </si>
  <si>
    <t xml:space="preserve">Tip: click any blue name above to jump straight to that sheet.</t>
  </si>
  <si>
    <t xml:space="preserve">SETTINGS &amp; ASSUMPTIONS</t>
  </si>
  <si>
    <t xml:space="preserve">Airflow Environmental Solutions  |  www.aes.co.zw  |  Update yellow cells regularly</t>
  </si>
  <si>
    <t xml:space="preserve">GLOBAL PARAMETERS</t>
  </si>
  <si>
    <t xml:space="preserve">Parameter</t>
  </si>
  <si>
    <t xml:space="preserve">Value</t>
  </si>
  <si>
    <t xml:space="preserve">Notes</t>
  </si>
  <si>
    <t xml:space="preserve">VAT Rate (Zimbabwe standard)</t>
  </si>
  <si>
    <t xml:space="preserve">ZIMRA standard rate from 1 Jan 2026 (was 15%).</t>
  </si>
  <si>
    <t xml:space="preserve">Official Exchange Rate (ZiG per USD)</t>
  </si>
  <si>
    <t xml:space="preserve">RBZ interbank rate. UPDATE regularly.</t>
  </si>
  <si>
    <t xml:space="preserve">Street / Parallel Rate (ZiG per USD)</t>
  </si>
  <si>
    <t xml:space="preserve">Parallel-market rate. UPDATE regularly.</t>
  </si>
  <si>
    <t xml:space="preserve">ZIMRA Overdue-Tax Interest (per annum)</t>
  </si>
  <si>
    <t xml:space="preserve">Foreign-currency rate per 2025 Rate of Interest Notice. Penalties up to 100% may also apply.</t>
  </si>
  <si>
    <t xml:space="preserve">Default Loan Interest (per week)</t>
  </si>
  <si>
    <t xml:space="preserve">Default weekly rate for informal/bridging loans. Override per loan.</t>
  </si>
  <si>
    <t xml:space="preserve">Report / Valuation Date</t>
  </si>
  <si>
    <t xml:space="preserve">Auto. Drives all ageing &amp; interest calcs.</t>
  </si>
  <si>
    <t xml:space="preserve">BUSINESS INFORMATION</t>
  </si>
  <si>
    <t xml:space="preserve">Business Name</t>
  </si>
  <si>
    <t xml:space="preserve">Airflow Environmental Solutions</t>
  </si>
  <si>
    <t xml:space="preserve">Website</t>
  </si>
  <si>
    <t xml:space="preserve">www.aes.co.zw</t>
  </si>
  <si>
    <t xml:space="preserve">Sector</t>
  </si>
  <si>
    <t xml:space="preserve">Reporting Currency</t>
  </si>
  <si>
    <t xml:space="preserve">USD</t>
  </si>
  <si>
    <t xml:space="preserve">PICK-LISTS (used by drop-downs)</t>
  </si>
  <si>
    <t xml:space="preserve">Yes/No</t>
  </si>
  <si>
    <t xml:space="preserve">Order Status</t>
  </si>
  <si>
    <t xml:space="preserve">Expense Category</t>
  </si>
  <si>
    <t xml:space="preserve">Tax Type</t>
  </si>
  <si>
    <t xml:space="preserve">Yes</t>
  </si>
  <si>
    <t xml:space="preserve">Open</t>
  </si>
  <si>
    <t xml:space="preserve">Materials</t>
  </si>
  <si>
    <t xml:space="preserve">VAT</t>
  </si>
  <si>
    <t xml:space="preserve">No</t>
  </si>
  <si>
    <t xml:space="preserve">Awaiting Payment</t>
  </si>
  <si>
    <t xml:space="preserve">Labour</t>
  </si>
  <si>
    <t xml:space="preserve">PAYE</t>
  </si>
  <si>
    <t xml:space="preserve">Overdue Payment</t>
  </si>
  <si>
    <t xml:space="preserve">Transport</t>
  </si>
  <si>
    <t xml:space="preserve">Overdue Service</t>
  </si>
  <si>
    <t xml:space="preserve">Equipment</t>
  </si>
  <si>
    <t xml:space="preserve">Advance Paid</t>
  </si>
  <si>
    <t xml:space="preserve">Subcontract</t>
  </si>
  <si>
    <t xml:space="preserve">Paid</t>
  </si>
  <si>
    <t xml:space="preserve">Admin</t>
  </si>
  <si>
    <t xml:space="preserve">Finance</t>
  </si>
  <si>
    <t xml:space="preserve">Other</t>
  </si>
  <si>
    <t xml:space="preserve">HEALTH COLOUR LEGEND</t>
  </si>
  <si>
    <t xml:space="preserve">Order fully settled.</t>
  </si>
  <si>
    <t xml:space="preserve">Money received before service delivered.</t>
  </si>
  <si>
    <t xml:space="preserve">Serviced, invoice outstanding, not yet overdue.</t>
  </si>
  <si>
    <t xml:space="preserve">Serviced, payment past closing date.</t>
  </si>
  <si>
    <t xml:space="preserve">Not serviced and past closing date.</t>
  </si>
  <si>
    <t xml:space="preserve">Active, within timeline, no money in.</t>
  </si>
  <si>
    <t xml:space="preserve">CLIENTS</t>
  </si>
  <si>
    <t xml:space="preserve">Master list of clients. Names here feed every drop-down in the workbook.</t>
  </si>
  <si>
    <t xml:space="preserve">Client Name</t>
  </si>
  <si>
    <t xml:space="preserve">Contact Person</t>
  </si>
  <si>
    <t xml:space="preserve">Phone</t>
  </si>
  <si>
    <t xml:space="preserve">Email</t>
  </si>
  <si>
    <t xml:space="preserve">Physical Address</t>
  </si>
  <si>
    <t xml:space="preserve">BP / TIN No.</t>
  </si>
  <si>
    <t xml:space="preserve">VAT Reg No.</t>
  </si>
  <si>
    <t xml:space="preserve">Zimplats</t>
  </si>
  <si>
    <t xml:space="preserve">Procurement Office</t>
  </si>
  <si>
    <t xml:space="preserve">+263 71 000 0001</t>
  </si>
  <si>
    <t xml:space="preserve">procurement@zimplats.com</t>
  </si>
  <si>
    <t xml:space="preserve">Ngezi, Mhondoro-Ngezi</t>
  </si>
  <si>
    <t xml:space="preserve">BP2000001</t>
  </si>
  <si>
    <t xml:space="preserve">10000001</t>
  </si>
  <si>
    <t xml:space="preserve">Frequent ad-hoc orders</t>
  </si>
  <si>
    <t xml:space="preserve">Mimosa Mining</t>
  </si>
  <si>
    <t xml:space="preserve">Engineering Dept</t>
  </si>
  <si>
    <t xml:space="preserve">+263 71 000 0002</t>
  </si>
  <si>
    <t xml:space="preserve">eng@mimosa.co.zw</t>
  </si>
  <si>
    <t xml:space="preserve">Mimosa Mine, Zvishavane</t>
  </si>
  <si>
    <t xml:space="preserve">BP2000002</t>
  </si>
  <si>
    <t xml:space="preserve">10000002</t>
  </si>
  <si>
    <t xml:space="preserve">2 contracts + orders</t>
  </si>
  <si>
    <t xml:space="preserve">Unki Mine</t>
  </si>
  <si>
    <t xml:space="preserve">SHE Department</t>
  </si>
  <si>
    <t xml:space="preserve">+263 71 000 0003</t>
  </si>
  <si>
    <t xml:space="preserve">she@unki.co.zw</t>
  </si>
  <si>
    <t xml:space="preserve">Shurugwi</t>
  </si>
  <si>
    <t xml:space="preserve">BP2000003</t>
  </si>
  <si>
    <t xml:space="preserve">10000003</t>
  </si>
  <si>
    <t xml:space="preserve">Refuge chambers contract</t>
  </si>
  <si>
    <t xml:space="preserve">Zvishavane Engineering Ltd</t>
  </si>
  <si>
    <t xml:space="preserve">T. Marufu</t>
  </si>
  <si>
    <t xml:space="preserve">+263 71 555 0142</t>
  </si>
  <si>
    <t xml:space="preserve">orders@zvisheng.co.zw</t>
  </si>
  <si>
    <t xml:space="preserve">Zvishavane</t>
  </si>
  <si>
    <t xml:space="preserve">BP2000104</t>
  </si>
  <si>
    <t xml:space="preserve">10000104</t>
  </si>
  <si>
    <t xml:space="preserve">Occasional fabrication orders (sample)</t>
  </si>
  <si>
    <t xml:space="preserve">GreatDyke Contractors</t>
  </si>
  <si>
    <t xml:space="preserve">R. Nyamande</t>
  </si>
  <si>
    <t xml:space="preserve">+263 77 555 0968</t>
  </si>
  <si>
    <t xml:space="preserve">admin@gdcon.co.zw</t>
  </si>
  <si>
    <t xml:space="preserve">BP2000177</t>
  </si>
  <si>
    <t xml:space="preserve">10000177</t>
  </si>
  <si>
    <t xml:space="preserve">Sub-contract partner (sample)</t>
  </si>
  <si>
    <t xml:space="preserve">CONTRACTS REGISTER</t>
  </si>
  <si>
    <t xml:space="preserve">Long-term contracts. Monthly budget = value / duration; variance shows under/over-claiming vs. expected to date.</t>
  </si>
  <si>
    <t xml:space="preserve">Contract ID</t>
  </si>
  <si>
    <t xml:space="preserve">Client</t>
  </si>
  <si>
    <t xml:space="preserve">Title / Scope</t>
  </si>
  <si>
    <t xml:space="preserve">Contract Value (ex VAT, $)</t>
  </si>
  <si>
    <t xml:space="preserve">Start Date</t>
  </si>
  <si>
    <t xml:space="preserve">End Date</t>
  </si>
  <si>
    <t xml:space="preserve">Duration (mths)</t>
  </si>
  <si>
    <t xml:space="preserve">Monthly Budget ($)</t>
  </si>
  <si>
    <t xml:space="preserve">Invoiced to Date ($)</t>
  </si>
  <si>
    <t xml:space="preserve">Months Elapsed</t>
  </si>
  <si>
    <t xml:space="preserve">Expected to Date ($)</t>
  </si>
  <si>
    <t xml:space="preserve">Variance ($) +over/-under</t>
  </si>
  <si>
    <t xml:space="preserve">Status</t>
  </si>
  <si>
    <t xml:space="preserve">UNK-CT-01</t>
  </si>
  <si>
    <t xml:space="preserve">Construction of refuge chambers &amp; installation of lifelines</t>
  </si>
  <si>
    <t xml:space="preserve">MIM-CT-02</t>
  </si>
  <si>
    <t xml:space="preserve">Underground roadway construction</t>
  </si>
  <si>
    <t xml:space="preserve">MIM-CT-03</t>
  </si>
  <si>
    <t xml:space="preserve">Ventilation construction</t>
  </si>
  <si>
    <t xml:space="preserve">Ventilation walls phase 2 (sample)</t>
  </si>
  <si>
    <t xml:space="preserve">Sample data</t>
  </si>
  <si>
    <t xml:space="preserve">ORDERS</t>
  </si>
  <si>
    <t xml:space="preserve">Ad-hoc orders. Health auto-colours from service/payment status. USD shown at both official &amp; street rates.</t>
  </si>
  <si>
    <t xml:space="preserve">Order No</t>
  </si>
  <si>
    <t xml:space="preserve">Order Title</t>
  </si>
  <si>
    <t xml:space="preserve">Date Issued</t>
  </si>
  <si>
    <t xml:space="preserve">Closing Date</t>
  </si>
  <si>
    <t xml:space="preserve">Order Value (ex VAT, $)</t>
  </si>
  <si>
    <t xml:space="preserve">VAT @15.5% ($)</t>
  </si>
  <si>
    <t xml:space="preserve">Total incl VAT ($)</t>
  </si>
  <si>
    <t xml:space="preserve">Spent to Date (ex VAT, $)</t>
  </si>
  <si>
    <t xml:space="preserve">Serviced?</t>
  </si>
  <si>
    <t xml:space="preserve">Date Serviced</t>
  </si>
  <si>
    <t xml:space="preserve">Advance Paid?</t>
  </si>
  <si>
    <t xml:space="preserve">Received USD (direct)</t>
  </si>
  <si>
    <t xml:space="preserve">Received ZiG</t>
  </si>
  <si>
    <t xml:space="preserve">Official Rate</t>
  </si>
  <si>
    <t xml:space="preserve">ZiG→USD @Official</t>
  </si>
  <si>
    <t xml:space="preserve">Street Rate</t>
  </si>
  <si>
    <t xml:space="preserve">ZiG→USD @Street</t>
  </si>
  <si>
    <t xml:space="preserve">Total USD @Official</t>
  </si>
  <si>
    <t xml:space="preserve">Total USD @Street</t>
  </si>
  <si>
    <t xml:space="preserve">Outstanding ($)</t>
  </si>
  <si>
    <t xml:space="preserve">VAT Paid to Date ($)</t>
  </si>
  <si>
    <t xml:space="preserve">Payment Status</t>
  </si>
  <si>
    <t xml:space="preserve">Profit/Loss ex VAT ($)</t>
  </si>
  <si>
    <t xml:space="preserve">Loan Interest ($)</t>
  </si>
  <si>
    <t xml:space="preserve">Net Profit after Loan ($)</t>
  </si>
  <si>
    <t xml:space="preserve">Margin %</t>
  </si>
  <si>
    <t xml:space="preserve">Health</t>
  </si>
  <si>
    <t xml:space="preserve">AES-O-001</t>
  </si>
  <si>
    <t xml:space="preserve">Underground ventilation doors (x10)</t>
  </si>
  <si>
    <t xml:space="preserve">AES-O-002</t>
  </si>
  <si>
    <t xml:space="preserve">Safety explosive storage boxes (x6)</t>
  </si>
  <si>
    <t xml:space="preserve">AES-O-003</t>
  </si>
  <si>
    <t xml:space="preserve">Air sampling services - Q2</t>
  </si>
  <si>
    <t xml:space="preserve">AES-O-004</t>
  </si>
  <si>
    <t xml:space="preserve">Underground ventilation doors - batch 2</t>
  </si>
  <si>
    <t xml:space="preserve">AES-O-005</t>
  </si>
  <si>
    <t xml:space="preserve">Safety explosive storage boxes x6</t>
  </si>
  <si>
    <t xml:space="preserve">AES-O-006</t>
  </si>
  <si>
    <t xml:space="preserve">Air sampling services Q2</t>
  </si>
  <si>
    <t xml:space="preserve">AES-O-007</t>
  </si>
  <si>
    <t xml:space="preserve">Underground ventilation doors x4</t>
  </si>
  <si>
    <t xml:space="preserve">AES-O-008</t>
  </si>
  <si>
    <t xml:space="preserve">Refuge chamber service kit</t>
  </si>
  <si>
    <t xml:space="preserve">AES-O-009</t>
  </si>
  <si>
    <t xml:space="preserve">Ducting fabrication 300m</t>
  </si>
  <si>
    <t xml:space="preserve">AES-O-010</t>
  </si>
  <si>
    <t xml:space="preserve">Airflow measurement audit</t>
  </si>
  <si>
    <t xml:space="preserve">ORDER EXPENSES</t>
  </si>
  <si>
    <t xml:space="preserve">Costs tied to a specific order. Pick the Order No; title &amp; client auto-fill. These feed 'Spent to Date' on Orders.</t>
  </si>
  <si>
    <t xml:space="preserve">Date</t>
  </si>
  <si>
    <t xml:space="preserve">Description</t>
  </si>
  <si>
    <t xml:space="preserve">Category</t>
  </si>
  <si>
    <t xml:space="preserve">Amount ex VAT ($)</t>
  </si>
  <si>
    <t xml:space="preserve">VAT Paid?</t>
  </si>
  <si>
    <t xml:space="preserve">Input VAT ($)</t>
  </si>
  <si>
    <t xml:space="preserve">Steel sheets, frames &amp; hinges</t>
  </si>
  <si>
    <t xml:space="preserve">Welding &amp; fabrication labour</t>
  </si>
  <si>
    <t xml:space="preserve">Steel plate, locks &amp; seals</t>
  </si>
  <si>
    <t xml:space="preserve">Sampling consumables &amp; lab analysis</t>
  </si>
  <si>
    <t xml:space="preserve">Steel plate &amp; locks</t>
  </si>
  <si>
    <t xml:space="preserve">Powder coating</t>
  </si>
  <si>
    <t xml:space="preserve">Sampling consumables</t>
  </si>
  <si>
    <t xml:space="preserve">Door frames &amp; seals</t>
  </si>
  <si>
    <t xml:space="preserve">Site installation labour</t>
  </si>
  <si>
    <t xml:space="preserve">Filter cartridges</t>
  </si>
  <si>
    <t xml:space="preserve">Galvanised sheeting</t>
  </si>
  <si>
    <t xml:space="preserve">Calibration hire</t>
  </si>
  <si>
    <t xml:space="preserve">GENERAL EXPENSES</t>
  </si>
  <si>
    <t xml:space="preserve">Operating costs NOT tied to any single order or contract. Comment is encouraged for the audit trail.</t>
  </si>
  <si>
    <t xml:space="preserve">Comment</t>
  </si>
  <si>
    <t xml:space="preserve">Office stationery &amp; printing</t>
  </si>
  <si>
    <t xml:space="preserve">Vehicle fuel - site visits</t>
  </si>
  <si>
    <t xml:space="preserve">Bank charges</t>
  </si>
  <si>
    <t xml:space="preserve">Vehicle service - Hilux</t>
  </si>
  <si>
    <t xml:space="preserve">PPE restock</t>
  </si>
  <si>
    <t xml:space="preserve">Safety</t>
  </si>
  <si>
    <t xml:space="preserve">Bank charges June</t>
  </si>
  <si>
    <t xml:space="preserve">MONTHLY OVERHEADS</t>
  </si>
  <si>
    <t xml:space="preserve">Recurring monthly costs. PAYE due &amp; paid flow to the Tax page (balance carried automatically).</t>
  </si>
  <si>
    <t xml:space="preserve">Month</t>
  </si>
  <si>
    <t xml:space="preserve">Salaries ($)</t>
  </si>
  <si>
    <t xml:space="preserve">PAYE Due ($)</t>
  </si>
  <si>
    <t xml:space="preserve">PAYE Paid ($)</t>
  </si>
  <si>
    <t xml:space="preserve">PAYE Balance ($)</t>
  </si>
  <si>
    <t xml:space="preserve">Software ($)</t>
  </si>
  <si>
    <t xml:space="preserve">Internet ($)</t>
  </si>
  <si>
    <t xml:space="preserve">Rentals ($)</t>
  </si>
  <si>
    <t xml:space="preserve">Other ($)</t>
  </si>
  <si>
    <t xml:space="preserve">Total Overheads ($)</t>
  </si>
  <si>
    <t xml:space="preserve">LOANS</t>
  </si>
  <si>
    <t xml:space="preserve">All loans in USD. Interest = principal x weekly rate x weeks elapsed. Repayments accepted in USD and/or ZiG.</t>
  </si>
  <si>
    <t xml:space="preserve">Loan ID</t>
  </si>
  <si>
    <t xml:space="preserve">Lender</t>
  </si>
  <si>
    <t xml:space="preserve">Date Taken</t>
  </si>
  <si>
    <t xml:space="preserve">Principal ($)</t>
  </si>
  <si>
    <t xml:space="preserve">Weekly Rate</t>
  </si>
  <si>
    <t xml:space="preserve">Weeks Elapsed</t>
  </si>
  <si>
    <t xml:space="preserve">Interest Accrued ($)</t>
  </si>
  <si>
    <t xml:space="preserve">Total Due ($)</t>
  </si>
  <si>
    <t xml:space="preserve">Paid USD (direct)</t>
  </si>
  <si>
    <t xml:space="preserve">Paid ZiG</t>
  </si>
  <si>
    <t xml:space="preserve">Paid USD @Official ($)</t>
  </si>
  <si>
    <t xml:space="preserve">Balance ($)</t>
  </si>
  <si>
    <t xml:space="preserve">LN-01</t>
  </si>
  <si>
    <t xml:space="preserve">QuickCash Lender</t>
  </si>
  <si>
    <t xml:space="preserve">LN-02</t>
  </si>
  <si>
    <t xml:space="preserve">LN-03</t>
  </si>
  <si>
    <t xml:space="preserve">Trade Finance Co</t>
  </si>
  <si>
    <t xml:space="preserve">LN-04</t>
  </si>
  <si>
    <t xml:space="preserve">Bridge Capital (sample)</t>
  </si>
  <si>
    <t xml:space="preserve">LN-05</t>
  </si>
  <si>
    <t xml:space="preserve">CONTRACT PAYMENTS (MONTHLY)</t>
  </si>
  <si>
    <t xml:space="preserve">Each monthly claim/receipt per contract. VAT received &amp; VAT remitted flow to the Tax page.</t>
  </si>
  <si>
    <t xml:space="preserve">VAT Received ($)</t>
  </si>
  <si>
    <t xml:space="preserve">VAT Balance ($)</t>
  </si>
  <si>
    <t xml:space="preserve">Refuge chambers - milestone 1</t>
  </si>
  <si>
    <t xml:space="preserve">Roadway construction - Feb claim</t>
  </si>
  <si>
    <t xml:space="preserve">Ventilation construction - Mar claim</t>
  </si>
  <si>
    <t xml:space="preserve">Refuge chambers - milestone 2</t>
  </si>
  <si>
    <t xml:space="preserve">Refuge chambers - April claim</t>
  </si>
  <si>
    <t xml:space="preserve">Refuge chambers - May claim</t>
  </si>
  <si>
    <t xml:space="preserve">MIM-CT-01</t>
  </si>
  <si>
    <t xml:space="preserve">Roadway construction - April claim</t>
  </si>
  <si>
    <t xml:space="preserve">Vent walls ph2 - May claim</t>
  </si>
  <si>
    <t xml:space="preserve">OTHER / BROUGHT-FORWARD TAX DEBT</t>
  </si>
  <si>
    <t xml:space="preserve">Tax obligations carried from prior periods. Interest = (PAYE+VAT) x ZIMRA rate x days overdue / 365.</t>
  </si>
  <si>
    <t xml:space="preserve">Date Due</t>
  </si>
  <si>
    <t xml:space="preserve">PAYE Principal ($)</t>
  </si>
  <si>
    <t xml:space="preserve">VAT Principal ($)</t>
  </si>
  <si>
    <t xml:space="preserve">ZIMRA Rate (p.a.)</t>
  </si>
  <si>
    <t xml:space="preserve">Days Overdue</t>
  </si>
  <si>
    <t xml:space="preserve">Interest ($)</t>
  </si>
  <si>
    <t xml:space="preserve">Paid to Date ($)</t>
  </si>
  <si>
    <t xml:space="preserve">VAT arrears - Dec 2025</t>
  </si>
  <si>
    <t xml:space="preserve">PAYE arrears - Nov 2025</t>
  </si>
  <si>
    <t xml:space="preserve">PAYE arrears - Feb 2026 (sample)</t>
  </si>
  <si>
    <t xml:space="preserve">TAX LEDGER  -  VAT &amp; PAYE</t>
  </si>
  <si>
    <t xml:space="preserve">Consolidated from every page. Net VAT = Output - Input + b/f - paid. PAYE balance carried automatically.</t>
  </si>
  <si>
    <t xml:space="preserve">A.  VALUE ADDED TAX (VAT)  @ 15.5%</t>
  </si>
  <si>
    <t xml:space="preserve">Output VAT  -  orders serviced</t>
  </si>
  <si>
    <t xml:space="preserve">Output VAT  -  contract receipts</t>
  </si>
  <si>
    <t xml:space="preserve">Total Output VAT</t>
  </si>
  <si>
    <t xml:space="preserve">Input VAT  -  order expenses</t>
  </si>
  <si>
    <t xml:space="preserve">Input VAT  -  general expenses</t>
  </si>
  <si>
    <t xml:space="preserve">Input VAT  -  overheads</t>
  </si>
  <si>
    <t xml:space="preserve">Total Input VAT (recoverable)</t>
  </si>
  <si>
    <t xml:space="preserve">Net VAT (Output - Input)</t>
  </si>
  <si>
    <t xml:space="preserve">Add: VAT brought forward (principal)</t>
  </si>
  <si>
    <t xml:space="preserve">Less: VAT already paid  -  orders</t>
  </si>
  <si>
    <t xml:space="preserve">Less: VAT already paid  -  contracts</t>
  </si>
  <si>
    <t xml:space="preserve">NET VAT PAYABLE TO ZIMRA</t>
  </si>
  <si>
    <t xml:space="preserve">B.  PAY AS YOU EARN (PAYE)</t>
  </si>
  <si>
    <t xml:space="preserve">PAYE due  -  overheads (current periods)</t>
  </si>
  <si>
    <t xml:space="preserve">PAYE brought forward (prior periods)</t>
  </si>
  <si>
    <t xml:space="preserve">Total PAYE due</t>
  </si>
  <si>
    <t xml:space="preserve">Less: PAYE paid to date</t>
  </si>
  <si>
    <t xml:space="preserve">NET PAYE PAYABLE TO ZIMRA</t>
  </si>
  <si>
    <t xml:space="preserve">Note: 'VAT paid in expenses' (input VAT) is already deducted above. Penalties of up to 100% plus interest may apply to overdue tax.</t>
  </si>
  <si>
    <t xml:space="preserve">TAX SUMMARY DASHBOARD</t>
  </si>
  <si>
    <t xml:space="preserve">Compare your books to ZIMRA assessments. Interest auto-calculates on overdue balances per the prescribed rate.</t>
  </si>
  <si>
    <t xml:space="preserve">VAT RECONCILIATION</t>
  </si>
  <si>
    <t xml:space="preserve">$</t>
  </si>
  <si>
    <t xml:space="preserve">VAT payable per your books</t>
  </si>
  <si>
    <t xml:space="preserve">Output VAT</t>
  </si>
  <si>
    <t xml:space="preserve">VAT assessed by ZIMRA (enter)</t>
  </si>
  <si>
    <t xml:space="preserve">Input VAT</t>
  </si>
  <si>
    <t xml:space="preserve">Discrepancy (books - ZIMRA)</t>
  </si>
  <si>
    <t xml:space="preserve">Net VAT Payable</t>
  </si>
  <si>
    <t xml:space="preserve">VAT due date (enter)</t>
  </si>
  <si>
    <t xml:space="preserve">Days overdue</t>
  </si>
  <si>
    <t xml:space="preserve">ZIMRA interest on VAT</t>
  </si>
  <si>
    <t xml:space="preserve">PAYE RECONCILIATION</t>
  </si>
  <si>
    <t xml:space="preserve">PAYE payable per your books</t>
  </si>
  <si>
    <t xml:space="preserve">PAYE assessed by ZIMRA (enter)</t>
  </si>
  <si>
    <t xml:space="preserve">PAYE due date (enter)</t>
  </si>
  <si>
    <t xml:space="preserve">ZIMRA interest on PAYE</t>
  </si>
  <si>
    <t xml:space="preserve">BROUGHT-FORWARD TAX DEBT &amp; TOTAL LIABILITY</t>
  </si>
  <si>
    <t xml:space="preserve">Other tax debt - interest accrued</t>
  </si>
  <si>
    <t xml:space="preserve">Other tax debt - balance outstanding</t>
  </si>
  <si>
    <t xml:space="preserve">TOTAL ESTIMATED TAX LIABILITY</t>
  </si>
  <si>
    <t xml:space="preserve">ORDERS DASHBOARD</t>
  </si>
  <si>
    <t xml:space="preserve">Live overview of every order: service status, payment health, value and profit. Figures update automatically.</t>
  </si>
  <si>
    <t xml:space="preserve">TOTAL ORDERS</t>
  </si>
  <si>
    <t xml:space="preserve">SERVICED</t>
  </si>
  <si>
    <t xml:space="preserve">NOT YET SERVICED</t>
  </si>
  <si>
    <t xml:space="preserve">AWAITING PAYMENT</t>
  </si>
  <si>
    <t xml:space="preserve">PAID</t>
  </si>
  <si>
    <t xml:space="preserve">ORDER VALUE (incl VAT)</t>
  </si>
  <si>
    <t xml:space="preserve">RECEIVED (USD @ official)</t>
  </si>
  <si>
    <t xml:space="preserve">OUTSTANDING</t>
  </si>
  <si>
    <t xml:space="preserve">PROFIT ex VAT</t>
  </si>
  <si>
    <t xml:space="preserve">NET PROFIT (after loans)</t>
  </si>
  <si>
    <t xml:space="preserve">Count</t>
  </si>
  <si>
    <t xml:space="preserve">Measure</t>
  </si>
  <si>
    <t xml:space="preserve">Order Value</t>
  </si>
  <si>
    <t xml:space="preserve">Received</t>
  </si>
  <si>
    <t xml:space="preserve">Outstanding</t>
  </si>
  <si>
    <t xml:space="preserve">Profit ex VAT</t>
  </si>
  <si>
    <t xml:space="preserve">ORDER STATUS BOARD  (all live orders)</t>
  </si>
  <si>
    <t xml:space="preserve">Title</t>
  </si>
  <si>
    <t xml:space="preserve">Closing</t>
  </si>
  <si>
    <t xml:space="preserve">Value ex VAT</t>
  </si>
  <si>
    <t xml:space="preserve">RECEIVABLES  -  SERVICED, AWAITING PAYMENT</t>
  </si>
  <si>
    <t xml:space="preserve">Orders delivered but not yet paid. These are your incoming-cash expectations. Overdue items are highlighted red.</t>
  </si>
  <si>
    <t xml:space="preserve"># AWAITING</t>
  </si>
  <si>
    <t xml:space="preserve">TOTAL RECEIVABLE</t>
  </si>
  <si>
    <t xml:space="preserve">OVERDUE VALUE</t>
  </si>
  <si>
    <t xml:space="preserve"># OVERDUE</t>
  </si>
  <si>
    <t xml:space="preserve">AWAITING-PAYMENT ORDERS</t>
  </si>
  <si>
    <t xml:space="preserve">Serviced</t>
  </si>
  <si>
    <t xml:space="preserve">Total incl VAT</t>
  </si>
  <si>
    <t xml:space="preserve">ORDER VAT OBLIGATIONS</t>
  </si>
  <si>
    <t xml:space="preserve">VAT due on each order, VAT paid to date and balance. Totals feed the Tax ledger. Focus on Paid / Partially Paid orders.</t>
  </si>
  <si>
    <t xml:space="preserve">OUTPUT VAT (all orders)</t>
  </si>
  <si>
    <t xml:space="preserve">VAT ON SERVICED</t>
  </si>
  <si>
    <t xml:space="preserve">VAT PAID TO DATE</t>
  </si>
  <si>
    <t xml:space="preserve">VAT OUTSTANDING</t>
  </si>
  <si>
    <t xml:space="preserve">ORDER-LEVEL VAT (paid &amp; partially paid orders first)</t>
  </si>
  <si>
    <t xml:space="preserve">VAT due</t>
  </si>
  <si>
    <t xml:space="preserve">VAT paid</t>
  </si>
  <si>
    <t xml:space="preserve">Pay status</t>
  </si>
  <si>
    <t xml:space="preserve">VAT balance carried to Tax page = VAT on serviced orders − VAT paid to date. Update 'VAT Paid to Date' (col V) on the Orders sheet as you remit.</t>
  </si>
  <si>
    <t xml:space="preserve">BUSINESS PERFORMANCE</t>
  </si>
  <si>
    <t xml:space="preserve">Income from orders &amp; contracts versus all expenses. Shows operating profit, how much debt funded the business, and pending obligations.</t>
  </si>
  <si>
    <t xml:space="preserve">INCOME</t>
  </si>
  <si>
    <t xml:space="preserve">Flow</t>
  </si>
  <si>
    <t xml:space="preserve">Order income (serviced, ex VAT)</t>
  </si>
  <si>
    <t xml:space="preserve">Income</t>
  </si>
  <si>
    <t xml:space="preserve">Contract income invoiced (ex VAT)</t>
  </si>
  <si>
    <t xml:space="preserve">Expenses</t>
  </si>
  <si>
    <t xml:space="preserve">TOTAL INCOME</t>
  </si>
  <si>
    <t xml:space="preserve">Profit</t>
  </si>
  <si>
    <t xml:space="preserve">EXPENSES</t>
  </si>
  <si>
    <t xml:space="preserve">Order expenses (ex VAT)</t>
  </si>
  <si>
    <t xml:space="preserve">General expenses (ex VAT)</t>
  </si>
  <si>
    <t xml:space="preserve">Overheads (salaries, software, etc.)</t>
  </si>
  <si>
    <t xml:space="preserve">Loan interest accrued</t>
  </si>
  <si>
    <t xml:space="preserve">TOTAL EXPENSES</t>
  </si>
  <si>
    <t xml:space="preserve">RESULT</t>
  </si>
  <si>
    <t xml:space="preserve">Operating profit (income − expenses)</t>
  </si>
  <si>
    <t xml:space="preserve">Operating margin</t>
  </si>
  <si>
    <t xml:space="preserve">DEBT FUNDING</t>
  </si>
  <si>
    <t xml:space="preserve">Total loan principal taken</t>
  </si>
  <si>
    <t xml:space="preserve">Loan balance outstanding</t>
  </si>
  <si>
    <t xml:space="preserve">Expense</t>
  </si>
  <si>
    <t xml:space="preserve">Debt as % of total income</t>
  </si>
  <si>
    <t xml:space="preserve">Order exp</t>
  </si>
  <si>
    <t xml:space="preserve">General</t>
  </si>
  <si>
    <t xml:space="preserve">PENDING OBLIGATIONS (next outflows)</t>
  </si>
  <si>
    <t xml:space="preserve">Overheads</t>
  </si>
  <si>
    <t xml:space="preserve">VAT payable</t>
  </si>
  <si>
    <t xml:space="preserve">Loan int</t>
  </si>
  <si>
    <t xml:space="preserve">PAYE payable</t>
  </si>
  <si>
    <t xml:space="preserve">Loan balance</t>
  </si>
  <si>
    <t xml:space="preserve">Brought-forward tax debt</t>
  </si>
  <si>
    <t xml:space="preserve">TOTAL PENDING</t>
  </si>
  <si>
    <t xml:space="preserve">FINANCIAL SUMMARY</t>
  </si>
  <si>
    <t xml:space="preserve">Airflow Environmental Solutions  |  One-glance health of the business. Green = healthy, amber = watch, red = act.</t>
  </si>
  <si>
    <t xml:space="preserve">As at:</t>
  </si>
  <si>
    <t xml:space="preserve">CASH RECEIVED (orders, USD)</t>
  </si>
  <si>
    <t xml:space="preserve">OUTSTANDING RECEIVABLES</t>
  </si>
  <si>
    <t xml:space="preserve">OPERATING PROFIT ex VAT</t>
  </si>
  <si>
    <t xml:space="preserve">NET PROFIT AFTER LOANS</t>
  </si>
  <si>
    <t xml:space="preserve">TOTAL TAX LIABILITY</t>
  </si>
  <si>
    <t xml:space="preserve">LOAN BALANCE OUTSTANDING</t>
  </si>
  <si>
    <t xml:space="preserve">OVERALL CASH &amp; TAX HEALTH</t>
  </si>
  <si>
    <t xml:space="preserve">KEY RATIOS</t>
  </si>
  <si>
    <t xml:space="preserve">Profit margin ex VAT</t>
  </si>
  <si>
    <t xml:space="preserve">Receivables / cash received</t>
  </si>
  <si>
    <t xml:space="preserve">Tax liability / net profit</t>
  </si>
  <si>
    <t xml:space="preserve">Debt / cash received</t>
  </si>
  <si>
    <t xml:space="preserve">USER MANUAL</t>
  </si>
  <si>
    <t xml:space="preserve">Operational Cashflow Report  -  full guide (a copy is also provided as a separate document).</t>
  </si>
  <si>
    <t xml:space="preserve">Operational Cashflow Report - User Manual</t>
  </si>
  <si>
    <t xml:space="preserve">Airflow Environmental Solutions  |  www.aes.co.zw</t>
  </si>
  <si>
    <t xml:space="preserve">This workbook is a complete operational cashflow and tax tracker built around how AES actually trades: ad-hoc orders (Zimplats, Mimosa, Unki) and long-running contracts (Unki refuge chambers &amp; lifelines; Mimosa roadway and ventilation construction). Enter your day-to-day figures on the input sheets and every dashboard, the tax ledger and the financial summary update on their own.</t>
  </si>
  <si>
    <t xml:space="preserve">1. How to read the colours</t>
  </si>
  <si>
    <t xml:space="preserve">•  Yellow cells = you type here. These are your inputs.</t>
  </si>
  <si>
    <t xml:space="preserve">•  Black text = a formula result. Do not overwrite it.</t>
  </si>
  <si>
    <t xml:space="preserve">•  Green text = a figure pulled automatically from another sheet.</t>
  </si>
  <si>
    <t xml:space="preserve">•  Order health colours: GREEN Paid; BLUE Advance Paid (money in before service); AMBER Awaiting Payment (serviced, not yet overdue); RED Overdue Payment or Overdue Service; GREY Open (live, no money in yet).</t>
  </si>
  <si>
    <t xml:space="preserve">2. First-time set-up (Settings sheet)</t>
  </si>
  <si>
    <t xml:space="preserve">Open the Settings sheet and update the yellow cells: the VAT rate (preset 15.5%, the Zimbabwe standard rate from 1 January 2026), the official RBZ exchange rate, the street/parallel rate, the ZIMRA overdue-tax interest rate (preset 10% per annum), and your default weekly loan interest rate. Every other sheet reads these values, so keeping them current keeps the whole workbook accurate. The report date is automatic (today's date) and drives all ageing and interest calculations.</t>
  </si>
  <si>
    <t xml:space="preserve">3. The sheets, in the order you use them</t>
  </si>
  <si>
    <t xml:space="preserve">Clients</t>
  </si>
  <si>
    <t xml:space="preserve">Your master list of customers and their details. Add a client here before you can pick them from any drop-down. Three samples are included (Zimplats, Mimosa Mining, Unki Mine).</t>
  </si>
  <si>
    <t xml:space="preserve">Contracts</t>
  </si>
  <si>
    <t xml:space="preserve">One row per contract. Enter the contract value (ex VAT), start and end dates. The sheet works out the monthly budget, how much you have invoiced to date (pulled from Contract Payments), how much you should have invoiced by now, and whether you are over- or under-claiming. The variance column turns red when you have over-claimed and green when you are within budget.</t>
  </si>
  <si>
    <t xml:space="preserve">Orders</t>
  </si>
  <si>
    <t xml:space="preserve">The heart of the workbook - one row per order. Type the order number, title, client (drop-down), issue and closing dates and the required amount (ex VAT). VAT at 15.5% and the VAT-inclusive total calculate automatically. Tick whether the order has been serviced and the date; tick whether it was an advance payment. Record money received in USD directly, or in ZiG - the workbook converts ZiG to USD at both the official and the street rate so you can see the difference. The Health column then colour-codes each order automatically. Profit/loss ex VAT, loan interest for that order, net profit after the loan and margin all calculate for you.</t>
  </si>
  <si>
    <t xml:space="preserve">Order Expenses</t>
  </si>
  <si>
    <t xml:space="preserve">Every cost tied to an order. Pick the order number from the drop-down (its title and client fill in automatically), enter the description, category, amount ex VAT and whether VAT was paid. Input VAT is worked out and feeds the tax ledger. These costs flow back into each order's 'spent to date' and profit.</t>
  </si>
  <si>
    <t xml:space="preserve">General Expenses</t>
  </si>
  <si>
    <t xml:space="preserve">Costs not tied to a specific order (with a comment field and a VAT-paid flag). Input VAT feeds the tax ledger.</t>
  </si>
  <si>
    <t xml:space="preserve">Monthly running costs: salaries, PAYE (and how much PAYE you have actually paid - the balance carries to the tax ledger), software, internet, rentals and other. One row per month.</t>
  </si>
  <si>
    <t xml:space="preserve">Loans</t>
  </si>
  <si>
    <t xml:space="preserve">Bridging or working-capital loans, in USD. Link a loan to an order (drop-down) so its interest is charged against that order's profit. Enter principal, weekly rate, and what you have repaid; interest accrued, total due and the outstanding balance calculate automatically and the status colours green once settled.</t>
  </si>
  <si>
    <t xml:space="preserve">Contract Payments</t>
  </si>
  <si>
    <t xml:space="preserve">One row per monthly contract claim. Pick the contract (its client and title fill in), enter the amount received ex VAT and the VAT; record VAT paid to date - the balance carries to the tax ledger automatically.</t>
  </si>
  <si>
    <t xml:space="preserve">Other Tax Debt</t>
  </si>
  <si>
    <t xml:space="preserve">Tax brought forward from earlier periods. Enter PAYE and VAT principals separately, the date they were due, and what you have paid. Interest accrues automatically at the ZIMRA rate and the balance appears on the Tax Dashboard.</t>
  </si>
  <si>
    <t xml:space="preserve">4. The dashboards (these are automatic - nothing to type)</t>
  </si>
  <si>
    <t xml:space="preserve">Orders Dashboard</t>
  </si>
  <si>
    <t xml:space="preserve">Counts of total, serviced, awaiting-payment and paid orders; total value, cash received, outstanding and profit; a pie chart of order health, a bar chart of order financials, and a live status board listing every order with its colour-coded health.</t>
  </si>
  <si>
    <t xml:space="preserve">Receivables</t>
  </si>
  <si>
    <t xml:space="preserve">Just the serviced orders that are awaiting payment - your expected incoming cash. Overdue items are highlighted. The total receivable is shown at the top.</t>
  </si>
  <si>
    <t xml:space="preserve">Order VAT Obligations (VAT_Paid)</t>
  </si>
  <si>
    <t xml:space="preserve">VAT due on each order, VAT paid to date and the balance still owing, with totals that feed the Tax ledger. Record VAT you remit in the 'VAT Paid to Date' column on the Orders sheet.</t>
  </si>
  <si>
    <t xml:space="preserve">Tax (ledger)</t>
  </si>
  <si>
    <t xml:space="preserve">Two tables - VAT and PAYE - consolidated from every sheet. Output VAT (from serviced orders and contract receipts) less recoverable input VAT (from order expenses, general expenses and overheads), plus brought-forward debt, less what you have paid, gives the net VAT payable. PAYE due less PAYE paid gives the net PAYE payable.</t>
  </si>
  <si>
    <t xml:space="preserve">Tax Summary Dashboard</t>
  </si>
  <si>
    <t xml:space="preserve">Enter the VAT and PAYE figures ZIMRA assesses you and the due dates; the dashboard shows the discrepancy against your books, the days overdue and the ZIMRA interest, then totals your estimated tax liability.</t>
  </si>
  <si>
    <t xml:space="preserve">Performance</t>
  </si>
  <si>
    <t xml:space="preserve">Total income (serviced orders plus contract claims) versus all expenses (order costs, general costs, overheads and loan interest) to give operating profit and margin; how much debt funded the business; and your pending obligations for the period.</t>
  </si>
  <si>
    <t xml:space="preserve">Financial Summary</t>
  </si>
  <si>
    <t xml:space="preserve">The one-glance board: cash received, outstanding receivables, profit, tax liability and loan balance as colour-coded cards, plus an overall HEALTHY / WATCH / ACT indicator and key ratios.</t>
  </si>
  <si>
    <t xml:space="preserve">5. A simple routine</t>
  </si>
  <si>
    <t xml:space="preserve">•  As each order comes in: add a row on Orders.</t>
  </si>
  <si>
    <t xml:space="preserve">•  As you spend on it: log the cost on Order Expenses.</t>
  </si>
  <si>
    <t xml:space="preserve">•  When you deliver: tick Serviced and the date.</t>
  </si>
  <si>
    <t xml:space="preserve">•  When you are paid: enter the USD or ZiG received.</t>
  </si>
  <si>
    <t xml:space="preserve">•  Monthly: update Overheads, Contract Payments, Loans, and the exchange rates on Settings; then review the Tax Dashboard and Financial Summary.</t>
  </si>
  <si>
    <t xml:space="preserve">6. Assumptions, simplifications and things to watch</t>
  </si>
  <si>
    <t xml:space="preserve">•  VAT is preset at 15.5% (Zimbabwe standard rate from 1 Jan 2026). It is a single editable cell on Settings - change it if the rate changes or if a supply is zero-rated/exempt.</t>
  </si>
  <si>
    <t xml:space="preserve">•  ZIMRA overdue-tax interest is preset at 10% per annum (2025 foreign-currency notice). ZIMRA may also levy penalties of up to 100% of the tax due. Confirm the current prescribed rate before relying on the interest figures.</t>
  </si>
  <si>
    <t xml:space="preserve">•  Exchange rates are manual inputs. They must be updated regularly or the ZiG-to-USD conversions will drift.</t>
  </si>
  <si>
    <t xml:space="preserve">•  Output VAT is recognised when an order is serviced and when contract payments are received - a practical time-of-supply simplification. Confirm the correct tax point for your invoicing.</t>
  </si>
  <si>
    <t xml:space="preserve">•  Input VAT is treated as recoverable and is deducted from output VAT. Only claim input VAT supported by valid fiscal tax invoices.</t>
  </si>
  <si>
    <t xml:space="preserve">•  Order profit is value ex VAT minus ex-VAT spend; loan interest is then deducted to give net profit. VAT is never counted as income or cost.</t>
  </si>
  <si>
    <t xml:space="preserve">•  'Other Tax Debt' interest is calculated on the combined PAYE+VAT principal for simplicity; if you need them split, duplicate the row.</t>
  </si>
  <si>
    <t xml:space="preserve">•  Corporate income tax (25% plus 3% AIDS levy) is NOT modelled here - this workbook covers operational cashflow, VAT and PAYE only. Budget for income tax separately.</t>
  </si>
  <si>
    <t xml:space="preserve">•  This template is a management tool, not tax advice. Have your figures reviewed by a registered tax practitioner and verify current rates with ZIMRA.</t>
  </si>
  <si>
    <t xml:space="preserve">7. Capacity</t>
  </si>
  <si>
    <t xml:space="preserve">The sheets are pre-formatted for a working set of rows (for example up to ~60 orders, ~80 order-expense lines). To extend, copy the last formatted row down; the formulas and drop-downs will carry through. Keep sheet names unchanged so the links keep working.</t>
  </si>
</sst>
</file>

<file path=xl/styles.xml><?xml version="1.0" encoding="utf-8"?>
<styleSheet xmlns="http://schemas.openxmlformats.org/spreadsheetml/2006/main">
  <numFmts count="10">
    <numFmt numFmtId="164" formatCode="General"/>
    <numFmt numFmtId="165" formatCode="dd\-mmm\-yyyy"/>
    <numFmt numFmtId="166" formatCode="0.0%"/>
    <numFmt numFmtId="167" formatCode="#,##0.0000"/>
    <numFmt numFmtId="168" formatCode="\$#,##0;&quot;($&quot;#,##0\);\-"/>
    <numFmt numFmtId="169" formatCode="0"/>
    <numFmt numFmtId="170" formatCode="\$#,##0.00;&quot;($&quot;#,##0.00\);\-"/>
    <numFmt numFmtId="171" formatCode="#,##0.00;\(#,##0.00\);\-"/>
    <numFmt numFmtId="172" formatCode="mmm\-yyyy"/>
    <numFmt numFmtId="173" formatCode="0.0"/>
  </numFmts>
  <fonts count="38">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1"/>
      <color rgb="FFFFFFFF"/>
      <name val="Arial"/>
      <family val="0"/>
      <charset val="1"/>
    </font>
    <font>
      <i val="true"/>
      <sz val="10"/>
      <color rgb="FF595959"/>
      <name val="Arial"/>
      <family val="0"/>
      <charset val="1"/>
    </font>
    <font>
      <b val="true"/>
      <sz val="10"/>
      <color rgb="FF000000"/>
      <name val="Arial"/>
      <family val="0"/>
      <charset val="1"/>
    </font>
    <font>
      <b val="true"/>
      <sz val="10"/>
      <color rgb="FF1F7A3D"/>
      <name val="Arial"/>
      <family val="0"/>
      <charset val="1"/>
    </font>
    <font>
      <b val="true"/>
      <sz val="12"/>
      <color rgb="FF1F4E3D"/>
      <name val="Arial"/>
      <family val="0"/>
      <charset val="1"/>
    </font>
    <font>
      <b val="true"/>
      <sz val="10"/>
      <color rgb="FF1F4E78"/>
      <name val="Arial"/>
      <family val="0"/>
      <charset val="1"/>
    </font>
    <font>
      <sz val="9"/>
      <color rgb="FF595959"/>
      <name val="Arial"/>
      <family val="0"/>
      <charset val="1"/>
    </font>
    <font>
      <b val="true"/>
      <sz val="9"/>
      <color rgb="FF000000"/>
      <name val="Arial"/>
      <family val="0"/>
      <charset val="1"/>
    </font>
    <font>
      <sz val="9"/>
      <color rgb="FF000000"/>
      <name val="Arial"/>
      <family val="0"/>
      <charset val="1"/>
    </font>
    <font>
      <sz val="9"/>
      <color rgb="FF1F7A3D"/>
      <name val="Arial"/>
      <family val="0"/>
      <charset val="1"/>
    </font>
    <font>
      <i val="true"/>
      <sz val="8"/>
      <color rgb="FF595959"/>
      <name val="Arial"/>
      <family val="0"/>
      <charset val="1"/>
    </font>
    <font>
      <b val="true"/>
      <sz val="16"/>
      <color rgb="FFFFFFFF"/>
      <name val="Arial"/>
      <family val="0"/>
      <charset val="1"/>
    </font>
    <font>
      <i val="true"/>
      <sz val="9"/>
      <color rgb="FFFFFFFF"/>
      <name val="Arial"/>
      <family val="0"/>
      <charset val="1"/>
    </font>
    <font>
      <b val="true"/>
      <sz val="11"/>
      <color rgb="FF1F4E3D"/>
      <name val="Arial"/>
      <family val="0"/>
      <charset val="1"/>
    </font>
    <font>
      <b val="true"/>
      <sz val="9"/>
      <color rgb="FFFFFFFF"/>
      <name val="Arial"/>
      <family val="0"/>
      <charset val="1"/>
    </font>
    <font>
      <sz val="10"/>
      <color rgb="FF000000"/>
      <name val="Arial"/>
      <family val="0"/>
      <charset val="1"/>
    </font>
    <font>
      <b val="true"/>
      <sz val="9"/>
      <color rgb="FF006100"/>
      <name val="Arial"/>
      <family val="0"/>
      <charset val="1"/>
    </font>
    <font>
      <b val="true"/>
      <sz val="9"/>
      <color rgb="FF1F4E78"/>
      <name val="Arial"/>
      <family val="0"/>
      <charset val="1"/>
    </font>
    <font>
      <b val="true"/>
      <sz val="9"/>
      <color rgb="FF9C6500"/>
      <name val="Arial"/>
      <family val="0"/>
      <charset val="1"/>
    </font>
    <font>
      <b val="true"/>
      <sz val="9"/>
      <color rgb="FF9C0006"/>
      <name val="Arial"/>
      <family val="0"/>
      <charset val="1"/>
    </font>
    <font>
      <b val="true"/>
      <sz val="9"/>
      <color rgb="FF3F3F3F"/>
      <name val="Arial"/>
      <family val="0"/>
      <charset val="1"/>
    </font>
    <font>
      <sz val="9"/>
      <color rgb="FF1F4E78"/>
      <name val="Arial"/>
      <family val="0"/>
      <charset val="1"/>
    </font>
    <font>
      <b val="true"/>
      <sz val="11"/>
      <color rgb="FFFFFFFF"/>
      <name val="Arial"/>
      <family val="0"/>
      <charset val="1"/>
    </font>
    <font>
      <b val="true"/>
      <sz val="18"/>
      <color rgb="FF000000"/>
      <name val="Calibri"/>
      <family val="2"/>
    </font>
    <font>
      <sz val="10"/>
      <color rgb="FF000000"/>
      <name val="Calibri"/>
      <family val="2"/>
    </font>
    <font>
      <b val="true"/>
      <sz val="8"/>
      <color rgb="FFFFFFFF"/>
      <name val="Arial"/>
      <family val="0"/>
      <charset val="1"/>
    </font>
    <font>
      <b val="true"/>
      <sz val="15"/>
      <color rgb="FF1F4E3D"/>
      <name val="Arial"/>
      <family val="0"/>
      <charset val="1"/>
    </font>
    <font>
      <b val="true"/>
      <sz val="9"/>
      <color rgb="FF1F4E3D"/>
      <name val="Arial"/>
      <family val="0"/>
      <charset val="1"/>
    </font>
    <font>
      <b val="true"/>
      <sz val="10"/>
      <color rgb="FFFFFFFF"/>
      <name val="Arial"/>
      <family val="0"/>
      <charset val="1"/>
    </font>
    <font>
      <b val="true"/>
      <sz val="9"/>
      <color rgb="FF1F7A3D"/>
      <name val="Arial"/>
      <family val="0"/>
      <charset val="1"/>
    </font>
    <font>
      <b val="true"/>
      <sz val="13"/>
      <color rgb="FFFFFFFF"/>
      <name val="Arial"/>
      <family val="0"/>
      <charset val="1"/>
    </font>
    <font>
      <b val="true"/>
      <sz val="12"/>
      <color rgb="FFFFFFFF"/>
      <name val="Arial"/>
      <family val="0"/>
      <charset val="1"/>
    </font>
    <font>
      <b val="true"/>
      <sz val="10"/>
      <color rgb="FF1F4E3D"/>
      <name val="Arial"/>
      <family val="0"/>
      <charset val="1"/>
    </font>
  </fonts>
  <fills count="16">
    <fill>
      <patternFill patternType="none"/>
    </fill>
    <fill>
      <patternFill patternType="gray125"/>
    </fill>
    <fill>
      <patternFill patternType="solid">
        <fgColor rgb="FF1F4E3D"/>
        <bgColor rgb="FF1F4E78"/>
      </patternFill>
    </fill>
    <fill>
      <patternFill patternType="solid">
        <fgColor rgb="FF2E7D52"/>
        <bgColor rgb="FF1F7A3D"/>
      </patternFill>
    </fill>
    <fill>
      <patternFill patternType="solid">
        <fgColor rgb="FFF4F8F5"/>
        <bgColor rgb="FFFFFFFF"/>
      </patternFill>
    </fill>
    <fill>
      <patternFill patternType="solid">
        <fgColor rgb="FFFFF8E1"/>
        <bgColor rgb="FFF4F8F5"/>
      </patternFill>
    </fill>
    <fill>
      <patternFill patternType="solid">
        <fgColor rgb="FFFFFFFF"/>
        <bgColor rgb="FFF4F8F5"/>
      </patternFill>
    </fill>
    <fill>
      <patternFill patternType="solid">
        <fgColor rgb="FFC6EFCE"/>
        <bgColor rgb="FFD9D9D9"/>
      </patternFill>
    </fill>
    <fill>
      <patternFill patternType="solid">
        <fgColor rgb="FFBDD7EE"/>
        <bgColor rgb="FFD9D9D9"/>
      </patternFill>
    </fill>
    <fill>
      <patternFill patternType="solid">
        <fgColor rgb="FFFFEB9C"/>
        <bgColor rgb="FFFFF8E1"/>
      </patternFill>
    </fill>
    <fill>
      <patternFill patternType="solid">
        <fgColor rgb="FFFFC7CE"/>
        <bgColor rgb="FFD9D9D9"/>
      </patternFill>
    </fill>
    <fill>
      <patternFill patternType="solid">
        <fgColor rgb="FFD9D9D9"/>
        <bgColor rgb="FFBDD7EE"/>
      </patternFill>
    </fill>
    <fill>
      <patternFill patternType="solid">
        <fgColor rgb="FFE8F0EB"/>
        <bgColor rgb="FFF4F8F5"/>
      </patternFill>
    </fill>
    <fill>
      <patternFill patternType="solid">
        <fgColor rgb="FF9C6500"/>
        <bgColor rgb="FF993300"/>
      </patternFill>
    </fill>
    <fill>
      <patternFill patternType="solid">
        <fgColor rgb="FF1F7A3D"/>
        <bgColor rgb="FF2E7D52"/>
      </patternFill>
    </fill>
    <fill>
      <patternFill patternType="solid">
        <fgColor rgb="FF9C0006"/>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1" shrinkToFit="false"/>
      <protection locked="true" hidden="false"/>
    </xf>
    <xf numFmtId="164" fontId="17" fillId="3" borderId="0" xfId="0" applyFont="true" applyBorder="true" applyAlignment="true" applyProtection="false">
      <alignment horizontal="left" vertical="center" textRotation="0" wrapText="false" indent="1"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21" fillId="7"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22" fillId="8" borderId="1" xfId="0" applyFont="true" applyBorder="true" applyAlignment="true" applyProtection="false">
      <alignment horizontal="center" vertical="bottom" textRotation="0" wrapText="false" indent="0" shrinkToFit="false"/>
      <protection locked="true" hidden="false"/>
    </xf>
    <xf numFmtId="164" fontId="23" fillId="9" borderId="1" xfId="0" applyFont="true" applyBorder="true" applyAlignment="true" applyProtection="false">
      <alignment horizontal="center" vertical="bottom" textRotation="0" wrapText="false" indent="0" shrinkToFit="false"/>
      <protection locked="true" hidden="false"/>
    </xf>
    <xf numFmtId="164" fontId="24" fillId="10" borderId="1" xfId="0" applyFont="true" applyBorder="true" applyAlignment="true" applyProtection="false">
      <alignment horizontal="center" vertical="bottom" textRotation="0" wrapText="false" indent="0" shrinkToFit="false"/>
      <protection locked="true" hidden="false"/>
    </xf>
    <xf numFmtId="164" fontId="25" fillId="11"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bottom" textRotation="0" wrapText="false" indent="0" shrinkToFit="false"/>
      <protection locked="true" hidden="false"/>
    </xf>
    <xf numFmtId="168" fontId="26" fillId="5" borderId="1" xfId="0" applyFont="true" applyBorder="true" applyAlignment="true" applyProtection="false">
      <alignment horizontal="general" vertical="bottom" textRotation="0" wrapText="false" indent="0" shrinkToFit="false"/>
      <protection locked="true" hidden="false"/>
    </xf>
    <xf numFmtId="165" fontId="26" fillId="5" borderId="1" xfId="0" applyFont="true" applyBorder="true" applyAlignment="tru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general" vertical="bottom" textRotation="0" wrapText="false" indent="0" shrinkToFit="false"/>
      <protection locked="true" hidden="false"/>
    </xf>
    <xf numFmtId="168" fontId="13" fillId="0" borderId="1" xfId="0" applyFont="true" applyBorder="tru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9" fontId="13" fillId="4" borderId="1" xfId="0" applyFont="true" applyBorder="true" applyAlignment="true" applyProtection="false">
      <alignment horizontal="general" vertical="bottom" textRotation="0" wrapText="false" indent="0" shrinkToFit="false"/>
      <protection locked="true" hidden="false"/>
    </xf>
    <xf numFmtId="168" fontId="13" fillId="4" borderId="1" xfId="0" applyFont="true" applyBorder="true" applyAlignment="true" applyProtection="false">
      <alignment horizontal="general" vertical="bottom" textRotation="0" wrapText="false" indent="0" shrinkToFit="false"/>
      <protection locked="true" hidden="false"/>
    </xf>
    <xf numFmtId="168" fontId="14" fillId="4" borderId="1" xfId="0" applyFont="true" applyBorder="true" applyAlignment="true" applyProtection="false">
      <alignment horizontal="general" vertical="bottom" textRotation="0" wrapText="false" indent="0" shrinkToFit="false"/>
      <protection locked="true" hidden="false"/>
    </xf>
    <xf numFmtId="170" fontId="13" fillId="0" borderId="1" xfId="0" applyFont="true" applyBorder="true" applyAlignment="true" applyProtection="false">
      <alignment horizontal="general" vertical="bottom" textRotation="0" wrapText="false" indent="0" shrinkToFit="false"/>
      <protection locked="true" hidden="false"/>
    </xf>
    <xf numFmtId="170" fontId="14" fillId="0" borderId="1" xfId="0" applyFont="true" applyBorder="true" applyAlignment="true" applyProtection="false">
      <alignment horizontal="general" vertical="bottom" textRotation="0" wrapText="false" indent="0" shrinkToFit="false"/>
      <protection locked="true" hidden="false"/>
    </xf>
    <xf numFmtId="170" fontId="26" fillId="5" borderId="1" xfId="0" applyFont="true" applyBorder="true" applyAlignment="true" applyProtection="false">
      <alignment horizontal="general" vertical="bottom" textRotation="0" wrapText="false" indent="0" shrinkToFit="false"/>
      <protection locked="true" hidden="false"/>
    </xf>
    <xf numFmtId="171" fontId="26" fillId="5" borderId="1" xfId="0" applyFont="true" applyBorder="true" applyAlignment="true" applyProtection="false">
      <alignment horizontal="general" vertical="bottom" textRotation="0" wrapText="false" indent="0" shrinkToFit="false"/>
      <protection locked="true" hidden="false"/>
    </xf>
    <xf numFmtId="167" fontId="26" fillId="5" borderId="1" xfId="0" applyFont="true" applyBorder="tru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70" fontId="13" fillId="4" borderId="1" xfId="0" applyFont="true" applyBorder="true" applyAlignment="true" applyProtection="false">
      <alignment horizontal="general" vertical="bottom" textRotation="0" wrapText="false" indent="0" shrinkToFit="false"/>
      <protection locked="true" hidden="false"/>
    </xf>
    <xf numFmtId="170" fontId="14" fillId="4" borderId="1" xfId="0" applyFont="true" applyBorder="true" applyAlignment="true" applyProtection="false">
      <alignment horizontal="general" vertical="bottom" textRotation="0" wrapText="false" indent="0" shrinkToFit="false"/>
      <protection locked="true" hidden="false"/>
    </xf>
    <xf numFmtId="166" fontId="13" fillId="4"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72" fontId="26" fillId="5" borderId="1" xfId="0" applyFont="true" applyBorder="true" applyAlignment="true" applyProtection="false">
      <alignment horizontal="general" vertical="bottom" textRotation="0" wrapText="false" indent="0" shrinkToFit="false"/>
      <protection locked="true" hidden="false"/>
    </xf>
    <xf numFmtId="166" fontId="26" fillId="5" borderId="1" xfId="0" applyFont="true" applyBorder="true" applyAlignment="true" applyProtection="false">
      <alignment horizontal="general" vertical="bottom" textRotation="0" wrapText="false" indent="0" shrinkToFit="false"/>
      <protection locked="true" hidden="false"/>
    </xf>
    <xf numFmtId="173" fontId="13"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73" fontId="13" fillId="4" borderId="1" xfId="0" applyFont="true" applyBorder="tru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27" fillId="3" borderId="0" xfId="0" applyFont="true" applyBorder="true" applyAlignment="true" applyProtection="false">
      <alignment horizontal="left" vertical="center" textRotation="0" wrapText="false" indent="1" shrinkToFit="false"/>
      <protection locked="true" hidden="false"/>
    </xf>
    <xf numFmtId="170" fontId="8" fillId="0" borderId="1" xfId="0" applyFont="true" applyBorder="true" applyAlignment="true" applyProtection="false">
      <alignment horizontal="right" vertical="bottom" textRotation="0" wrapText="false" indent="0" shrinkToFit="false"/>
      <protection locked="true" hidden="false"/>
    </xf>
    <xf numFmtId="164" fontId="7" fillId="12" borderId="1" xfId="0" applyFont="true" applyBorder="true" applyAlignment="true" applyProtection="false">
      <alignment horizontal="general" vertical="bottom" textRotation="0" wrapText="false" indent="0" shrinkToFit="false"/>
      <protection locked="true" hidden="false"/>
    </xf>
    <xf numFmtId="170" fontId="7" fillId="12" borderId="1" xfId="0" applyFont="true" applyBorder="true" applyAlignment="true" applyProtection="false">
      <alignment horizontal="right" vertical="bottom" textRotation="0" wrapText="false" indent="0" shrinkToFit="false"/>
      <protection locked="true" hidden="false"/>
    </xf>
    <xf numFmtId="170" fontId="7" fillId="0" borderId="1" xfId="0" applyFont="true" applyBorder="true" applyAlignment="true" applyProtection="false">
      <alignment horizontal="right" vertical="bottom" textRotation="0" wrapText="false" indent="0" shrinkToFit="false"/>
      <protection locked="true" hidden="false"/>
    </xf>
    <xf numFmtId="164" fontId="27" fillId="2" borderId="1" xfId="0" applyFont="true" applyBorder="true" applyAlignment="true" applyProtection="false">
      <alignment horizontal="general" vertical="bottom" textRotation="0" wrapText="false" indent="0" shrinkToFit="false"/>
      <protection locked="true" hidden="false"/>
    </xf>
    <xf numFmtId="170" fontId="27" fillId="2" borderId="1" xfId="0" applyFont="true" applyBorder="true" applyAlignment="true" applyProtection="false">
      <alignment horizontal="right"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0" fontId="10" fillId="5" borderId="1" xfId="0" applyFont="true" applyBorder="true" applyAlignment="true" applyProtection="false">
      <alignment horizontal="right" vertical="bottom" textRotation="0" wrapText="false" indent="0" shrinkToFit="false"/>
      <protection locked="true" hidden="false"/>
    </xf>
    <xf numFmtId="165" fontId="26" fillId="5" borderId="1" xfId="0" applyFont="true" applyBorder="true" applyAlignment="true" applyProtection="false">
      <alignment horizontal="right" vertical="bottom" textRotation="0" wrapText="false" indent="0" shrinkToFit="false"/>
      <protection locked="true" hidden="false"/>
    </xf>
    <xf numFmtId="169" fontId="7" fillId="0" borderId="1" xfId="0" applyFont="true" applyBorder="true" applyAlignment="true" applyProtection="false">
      <alignment horizontal="right" vertical="bottom" textRotation="0" wrapText="false" indent="0" shrinkToFit="false"/>
      <protection locked="true" hidden="false"/>
    </xf>
    <xf numFmtId="164" fontId="30" fillId="2" borderId="1"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center" vertical="center" textRotation="0" wrapText="true" indent="0" shrinkToFit="false"/>
      <protection locked="true" hidden="false"/>
    </xf>
    <xf numFmtId="164" fontId="30" fillId="13" borderId="1" xfId="0" applyFont="true" applyBorder="true" applyAlignment="true" applyProtection="false">
      <alignment horizontal="center" vertical="center" textRotation="0" wrapText="true" indent="0" shrinkToFit="false"/>
      <protection locked="true" hidden="false"/>
    </xf>
    <xf numFmtId="164" fontId="30" fillId="14" borderId="1" xfId="0" applyFont="true" applyBorder="true" applyAlignment="true" applyProtection="false">
      <alignment horizontal="center" vertical="center" textRotation="0" wrapText="true" indent="0" shrinkToFit="false"/>
      <protection locked="true" hidden="false"/>
    </xf>
    <xf numFmtId="169" fontId="31" fillId="6" borderId="1" xfId="0" applyFont="true" applyBorder="true" applyAlignment="true" applyProtection="false">
      <alignment horizontal="center" vertical="center" textRotation="0" wrapText="false" indent="0" shrinkToFit="false"/>
      <protection locked="true" hidden="false"/>
    </xf>
    <xf numFmtId="164" fontId="30" fillId="15" borderId="1" xfId="0" applyFont="true" applyBorder="true" applyAlignment="true" applyProtection="false">
      <alignment horizontal="center" vertical="center" textRotation="0" wrapText="true" indent="0" shrinkToFit="false"/>
      <protection locked="true" hidden="false"/>
    </xf>
    <xf numFmtId="168" fontId="31" fillId="6" borderId="1" xfId="0" applyFont="true" applyBorder="true" applyAlignment="true" applyProtection="false">
      <alignment horizontal="center" vertical="center"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bottom" textRotation="0" wrapText="false" indent="0" shrinkToFit="false"/>
      <protection locked="true" hidden="false"/>
    </xf>
    <xf numFmtId="165" fontId="13" fillId="4"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33" fillId="2" borderId="1" xfId="0" applyFont="true" applyBorder="true" applyAlignment="true" applyProtection="false">
      <alignment horizontal="general" vertical="bottom" textRotation="0" wrapText="false" indent="0" shrinkToFit="false"/>
      <protection locked="true" hidden="false"/>
    </xf>
    <xf numFmtId="170" fontId="33" fillId="2" borderId="1" xfId="0" applyFont="true" applyBorder="true" applyAlignment="true" applyProtection="false">
      <alignment horizontal="right"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center" vertical="center" textRotation="0" wrapText="false" indent="0" shrinkToFit="false"/>
      <protection locked="true" hidden="false"/>
    </xf>
    <xf numFmtId="164" fontId="20" fillId="0" borderId="2"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top" textRotation="0" wrapText="true" indent="0" shrinkToFit="false"/>
      <protection locked="true" hidden="false"/>
    </xf>
    <xf numFmtId="164" fontId="36" fillId="3" borderId="0" xfId="0" applyFont="true" applyBorder="false" applyAlignment="true" applyProtection="false">
      <alignment horizontal="left" vertical="center" textRotation="0" wrapText="true" indent="1" shrinkToFit="false"/>
      <protection locked="true" hidden="false"/>
    </xf>
    <xf numFmtId="164" fontId="20" fillId="0" borderId="0" xfId="0" applyFont="true" applyBorder="false" applyAlignment="true" applyProtection="false">
      <alignment horizontal="left" vertical="top" textRotation="0" wrapText="true" indent="1" shrinkToFit="false"/>
      <protection locked="true" hidden="false"/>
    </xf>
    <xf numFmtId="164" fontId="37"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9C0006"/>
        <sz val="9"/>
      </font>
      <fill>
        <patternFill>
          <bgColor rgb="FFFFC7CE"/>
        </patternFill>
      </fill>
    </dxf>
    <dxf>
      <font>
        <name val="Arial"/>
        <charset val="1"/>
        <family val="0"/>
        <b val="1"/>
        <color rgb="FF006100"/>
        <sz val="9"/>
      </font>
      <fill>
        <patternFill>
          <bgColor rgb="FFC6EFCE"/>
        </patternFill>
      </fill>
    </dxf>
    <dxf>
      <font>
        <name val="Arial"/>
        <charset val="1"/>
        <family val="0"/>
        <b val="1"/>
        <color rgb="FF1F4E78"/>
        <sz val="9"/>
      </font>
      <fill>
        <patternFill>
          <bgColor rgb="FFBDD7EE"/>
        </patternFill>
      </fill>
    </dxf>
    <dxf>
      <font>
        <name val="Arial"/>
        <charset val="1"/>
        <family val="0"/>
        <b val="1"/>
        <color rgb="FF9C6500"/>
        <sz val="9"/>
      </font>
      <fill>
        <patternFill>
          <bgColor rgb="FFFFEB9C"/>
        </patternFill>
      </fill>
    </dxf>
    <dxf>
      <font>
        <name val="Arial"/>
        <charset val="1"/>
        <family val="0"/>
        <b val="1"/>
        <color rgb="FF3F3F3F"/>
        <sz val="9"/>
      </font>
      <fill>
        <patternFill>
          <bgColor rgb="FFD9D9D9"/>
        </patternFill>
      </fill>
    </dxf>
    <dxf>
      <font>
        <name val="Arial"/>
        <charset val="1"/>
        <family val="0"/>
        <b val="1"/>
        <color rgb="FF006100"/>
        <sz val="13"/>
      </font>
      <fill>
        <patternFill>
          <bgColor rgb="FFC6EFCE"/>
        </patternFill>
      </fill>
    </dxf>
    <dxf>
      <font>
        <name val="Arial"/>
        <charset val="1"/>
        <family val="0"/>
        <b val="1"/>
        <color rgb="FF9C6500"/>
        <sz val="13"/>
      </font>
      <fill>
        <patternFill>
          <bgColor rgb="FFFFEB9C"/>
        </patternFill>
      </fill>
    </dxf>
    <dxf>
      <font>
        <name val="Arial"/>
        <charset val="1"/>
        <family val="0"/>
        <b val="1"/>
        <color rgb="FF9C0006"/>
        <sz val="13"/>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7A3D"/>
      <rgbColor rgb="FFBFBFBF"/>
      <rgbColor rgb="FF878787"/>
      <rgbColor rgb="FF9999FF"/>
      <rgbColor rgb="FF993366"/>
      <rgbColor rgb="FFFFF8E1"/>
      <rgbColor rgb="FFE8F0E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4F8F5"/>
      <rgbColor rgb="FFC6EFCE"/>
      <rgbColor rgb="FFFFEB9C"/>
      <rgbColor rgb="FFD9D9D9"/>
      <rgbColor rgb="FFFF99CC"/>
      <rgbColor rgb="FFCC99FF"/>
      <rgbColor rgb="FFFFC7CE"/>
      <rgbColor rgb="FF4F81BD"/>
      <rgbColor rgb="FF33CCCC"/>
      <rgbColor rgb="FF99CC00"/>
      <rgbColor rgb="FFFFCC00"/>
      <rgbColor rgb="FFFF9900"/>
      <rgbColor rgb="FFFF6600"/>
      <rgbColor rgb="FF595959"/>
      <rgbColor rgb="FF969696"/>
      <rgbColor rgb="FF1F4E3D"/>
      <rgbColor rgb="FF2E7D52"/>
      <rgbColor rgb="FF003300"/>
      <rgbColor rgb="FF333300"/>
      <rgbColor rgb="FF993300"/>
      <rgbColor rgb="FF993366"/>
      <rgbColor rgb="FF1F4E78"/>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VAT: Output vs Input vs Net</a:t>
            </a:r>
          </a:p>
        </c:rich>
      </c:tx>
      <c:overlay val="0"/>
      <c:spPr>
        <a:noFill/>
        <a:ln w="0">
          <a:noFill/>
        </a:ln>
      </c:spPr>
    </c:title>
    <c:autoTitleDeleted val="0"/>
    <c:plotArea>
      <c:barChart>
        <c:barDir val="col"/>
        <c:grouping val="clustered"/>
        <c:varyColors val="0"/>
        <c:ser>
          <c:idx val="0"/>
          <c:order val="0"/>
          <c:tx>
            <c:strRef>
              <c:f>TaxDashboard!G4</c:f>
              <c:strCache>
                <c:ptCount val="1"/>
                <c:pt idx="0">
                  <c:v>$</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TaxDashboard!$F$5:$F$7</c:f>
              <c:strCache>
                <c:ptCount val="3"/>
                <c:pt idx="0">
                  <c:v>Output VAT</c:v>
                </c:pt>
                <c:pt idx="1">
                  <c:v>Input VAT</c:v>
                </c:pt>
                <c:pt idx="2">
                  <c:v>Net VAT Payable</c:v>
                </c:pt>
              </c:strCache>
            </c:strRef>
          </c:cat>
          <c:val>
            <c:numRef>
              <c:f>TaxDashboard!$G$5:$G$7</c:f>
              <c:numCache>
                <c:formatCode>\$#,##0;"($"#,##0\);\-</c:formatCode>
                <c:ptCount val="3"/>
                <c:pt idx="0">
                  <c:v>57892.5</c:v>
                </c:pt>
                <c:pt idx="1">
                  <c:v>8705.7</c:v>
                </c:pt>
                <c:pt idx="2">
                  <c:v>37361.8</c:v>
                </c:pt>
              </c:numCache>
            </c:numRef>
          </c:val>
        </c:ser>
        <c:gapWidth val="150"/>
        <c:overlap val="0"/>
        <c:axId val="29570423"/>
        <c:axId val="84769514"/>
      </c:barChart>
      <c:catAx>
        <c:axId val="2957042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69514"/>
        <c:crosses val="autoZero"/>
        <c:auto val="1"/>
        <c:lblAlgn val="ctr"/>
        <c:lblOffset val="100"/>
        <c:noMultiLvlLbl val="0"/>
      </c:catAx>
      <c:valAx>
        <c:axId val="84769514"/>
        <c:scaling>
          <c:orientation val="minMax"/>
        </c:scaling>
        <c:delete val="0"/>
        <c:axPos val="l"/>
        <c:majorGridlines>
          <c:spPr>
            <a:ln w="9360">
              <a:solidFill>
                <a:srgbClr val="878787"/>
              </a:solidFill>
              <a:round/>
            </a:ln>
          </c:spPr>
        </c:majorGridlines>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704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Orders by Health Status</a:t>
            </a:r>
          </a:p>
        </c:rich>
      </c:tx>
      <c:overlay val="0"/>
      <c:spPr>
        <a:noFill/>
        <a:ln w="0">
          <a:noFill/>
        </a:ln>
      </c:spPr>
    </c:title>
    <c:autoTitleDeleted val="0"/>
    <c:plotArea>
      <c:pieChart>
        <c:varyColors val="1"/>
        <c:ser>
          <c:idx val="0"/>
          <c:order val="0"/>
          <c:spPr>
            <a:solidFill>
              <a:srgbClr val="4f81bd"/>
            </a:solidFill>
            <a:ln w="0">
              <a:noFill/>
            </a:ln>
          </c:spPr>
          <c:explosion val="0"/>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Order Financials (USD)</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ser>
        <c:gapWidth val="150"/>
        <c:overlap val="0"/>
        <c:axId val="52459620"/>
        <c:axId val="9975052"/>
      </c:barChart>
      <c:catAx>
        <c:axId val="52459620"/>
        <c:scaling>
          <c:orientation val="minMax"/>
        </c:scaling>
        <c:delete val="0"/>
        <c:axPos val="b"/>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75052"/>
        <c:crosses val="autoZero"/>
        <c:auto val="1"/>
        <c:lblAlgn val="ctr"/>
        <c:lblOffset val="100"/>
        <c:noMultiLvlLbl val="0"/>
      </c:catAx>
      <c:valAx>
        <c:axId val="9975052"/>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45962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Income vs Expenses vs Profit</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ser>
        <c:gapWidth val="150"/>
        <c:overlap val="0"/>
        <c:axId val="41093926"/>
        <c:axId val="79743255"/>
      </c:barChart>
      <c:catAx>
        <c:axId val="41093926"/>
        <c:scaling>
          <c:orientation val="minMax"/>
        </c:scaling>
        <c:delete val="0"/>
        <c:axPos val="b"/>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743255"/>
        <c:crosses val="autoZero"/>
        <c:auto val="1"/>
        <c:lblAlgn val="ctr"/>
        <c:lblOffset val="100"/>
        <c:noMultiLvlLbl val="0"/>
      </c:catAx>
      <c:valAx>
        <c:axId val="79743255"/>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0939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Expense Breakdown</a:t>
            </a:r>
          </a:p>
        </c:rich>
      </c:tx>
      <c:overlay val="0"/>
      <c:spPr>
        <a:noFill/>
        <a:ln w="0">
          <a:noFill/>
        </a:ln>
      </c:spPr>
    </c:title>
    <c:autoTitleDeleted val="0"/>
    <c:plotArea>
      <c:pieChart>
        <c:varyColors val="1"/>
        <c:ser>
          <c:idx val="0"/>
          <c:order val="0"/>
          <c:spPr>
            <a:solidFill>
              <a:srgbClr val="4f81bd"/>
            </a:solidFill>
            <a:ln w="0">
              <a:noFill/>
            </a:ln>
          </c:spPr>
          <c:explosion val="0"/>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8</xdr:row>
      <xdr:rowOff>0</xdr:rowOff>
    </xdr:from>
    <xdr:to>
      <xdr:col>12</xdr:col>
      <xdr:colOff>38520</xdr:colOff>
      <xdr:row>20</xdr:row>
      <xdr:rowOff>118800</xdr:rowOff>
    </xdr:to>
    <xdr:graphicFrame>
      <xdr:nvGraphicFramePr>
        <xdr:cNvPr id="0" name="Chart 1"/>
        <xdr:cNvGraphicFramePr/>
      </xdr:nvGraphicFramePr>
      <xdr:xfrm>
        <a:off x="8787600" y="1752480"/>
        <a:ext cx="431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0</xdr:rowOff>
    </xdr:from>
    <xdr:to>
      <xdr:col>2</xdr:col>
      <xdr:colOff>717120</xdr:colOff>
      <xdr:row>24</xdr:row>
      <xdr:rowOff>32400</xdr:rowOff>
    </xdr:to>
    <xdr:graphicFrame>
      <xdr:nvGraphicFramePr>
        <xdr:cNvPr id="1" name="Chart 1"/>
        <xdr:cNvGraphicFramePr/>
      </xdr:nvGraphicFramePr>
      <xdr:xfrm>
        <a:off x="0" y="2629080"/>
        <a:ext cx="3959280" cy="26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10</xdr:row>
      <xdr:rowOff>0</xdr:rowOff>
    </xdr:from>
    <xdr:to>
      <xdr:col>9</xdr:col>
      <xdr:colOff>294120</xdr:colOff>
      <xdr:row>24</xdr:row>
      <xdr:rowOff>32400</xdr:rowOff>
    </xdr:to>
    <xdr:graphicFrame>
      <xdr:nvGraphicFramePr>
        <xdr:cNvPr id="2" name="Chart 2"/>
        <xdr:cNvGraphicFramePr/>
      </xdr:nvGraphicFramePr>
      <xdr:xfrm>
        <a:off x="5991120" y="2629080"/>
        <a:ext cx="3959280" cy="26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xdr:row>
      <xdr:rowOff>0</xdr:rowOff>
    </xdr:from>
    <xdr:to>
      <xdr:col>5</xdr:col>
      <xdr:colOff>716760</xdr:colOff>
      <xdr:row>15</xdr:row>
      <xdr:rowOff>119160</xdr:rowOff>
    </xdr:to>
    <xdr:graphicFrame>
      <xdr:nvGraphicFramePr>
        <xdr:cNvPr id="3" name="Chart 1"/>
        <xdr:cNvGraphicFramePr/>
      </xdr:nvGraphicFramePr>
      <xdr:xfrm>
        <a:off x="4651920" y="743040"/>
        <a:ext cx="3959280" cy="25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19</xdr:row>
      <xdr:rowOff>0</xdr:rowOff>
    </xdr:from>
    <xdr:to>
      <xdr:col>5</xdr:col>
      <xdr:colOff>716760</xdr:colOff>
      <xdr:row>31</xdr:row>
      <xdr:rowOff>119160</xdr:rowOff>
    </xdr:to>
    <xdr:graphicFrame>
      <xdr:nvGraphicFramePr>
        <xdr:cNvPr id="4" name="Chart 2"/>
        <xdr:cNvGraphicFramePr/>
      </xdr:nvGraphicFramePr>
      <xdr:xfrm>
        <a:off x="4651920" y="3962520"/>
        <a:ext cx="3959280" cy="25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_rels/sheet14.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60"/>
    <col collapsed="false" customWidth="true" hidden="false" outlineLevel="0" max="4" min="4" style="1" width="3"/>
  </cols>
  <sheetData>
    <row r="2" customFormat="false" ht="39.75" hidden="false" customHeight="true" outlineLevel="0" collapsed="false">
      <c r="B2" s="2" t="s">
        <v>0</v>
      </c>
      <c r="C2" s="2"/>
    </row>
    <row r="3" customFormat="false" ht="21.75" hidden="false" customHeight="true" outlineLevel="0" collapsed="false">
      <c r="B3" s="3" t="s">
        <v>1</v>
      </c>
      <c r="C3" s="3"/>
    </row>
    <row r="5" customFormat="false" ht="15" hidden="false" customHeight="true" outlineLevel="0" collapsed="false">
      <c r="B5" s="4" t="s">
        <v>2</v>
      </c>
      <c r="C5" s="4"/>
    </row>
    <row r="6" customFormat="false" ht="15" hidden="false" customHeight="true" outlineLevel="0" collapsed="false">
      <c r="B6" s="5" t="s">
        <v>3</v>
      </c>
      <c r="C6" s="6" t="n">
        <f aca="false">RptDate</f>
        <v>46227</v>
      </c>
    </row>
    <row r="8" customFormat="false" ht="15" hidden="false" customHeight="true" outlineLevel="0" collapsed="false">
      <c r="B8" s="7" t="s">
        <v>4</v>
      </c>
    </row>
    <row r="9" customFormat="false" ht="15" hidden="false" customHeight="true" outlineLevel="0" collapsed="false">
      <c r="B9" s="8" t="str">
        <f aca="false">HYPERLINK("#Settings!A1","Settings")</f>
        <v>Settings</v>
      </c>
      <c r="C9" s="9" t="s">
        <v>5</v>
      </c>
    </row>
    <row r="10" customFormat="false" ht="15" hidden="false" customHeight="true" outlineLevel="0" collapsed="false">
      <c r="B10" s="10" t="str">
        <f aca="false">HYPERLINK("#Clients!A1","Clients")</f>
        <v>Clients</v>
      </c>
      <c r="C10" s="11" t="s">
        <v>6</v>
      </c>
    </row>
    <row r="11" customFormat="false" ht="15" hidden="false" customHeight="true" outlineLevel="0" collapsed="false">
      <c r="B11" s="8" t="str">
        <f aca="false">HYPERLINK("#Contracts!A1","Contracts")</f>
        <v>Contracts</v>
      </c>
      <c r="C11" s="9" t="s">
        <v>7</v>
      </c>
    </row>
    <row r="12" customFormat="false" ht="15" hidden="false" customHeight="true" outlineLevel="0" collapsed="false">
      <c r="B12" s="10" t="str">
        <f aca="false">HYPERLINK("#Orders!A1","Orders")</f>
        <v>Orders</v>
      </c>
      <c r="C12" s="11" t="s">
        <v>8</v>
      </c>
    </row>
    <row r="13" customFormat="false" ht="15" hidden="false" customHeight="true" outlineLevel="0" collapsed="false">
      <c r="B13" s="8" t="str">
        <f aca="false">HYPERLINK("#OrderExpenses!A1","OrderExpenses")</f>
        <v>OrderExpenses</v>
      </c>
      <c r="C13" s="9" t="s">
        <v>9</v>
      </c>
    </row>
    <row r="14" customFormat="false" ht="15" hidden="false" customHeight="true" outlineLevel="0" collapsed="false">
      <c r="B14" s="10" t="str">
        <f aca="false">HYPERLINK("#GeneralExpenses!A1","GeneralExpenses")</f>
        <v>GeneralExpenses</v>
      </c>
      <c r="C14" s="11" t="s">
        <v>10</v>
      </c>
    </row>
    <row r="15" customFormat="false" ht="15" hidden="false" customHeight="true" outlineLevel="0" collapsed="false">
      <c r="B15" s="8" t="str">
        <f aca="false">HYPERLINK("#Overheads!A1","Overheads")</f>
        <v>Overheads</v>
      </c>
      <c r="C15" s="9" t="s">
        <v>11</v>
      </c>
    </row>
    <row r="16" customFormat="false" ht="15" hidden="false" customHeight="true" outlineLevel="0" collapsed="false">
      <c r="B16" s="10" t="str">
        <f aca="false">HYPERLINK("#Loans!A1","Loans")</f>
        <v>Loans</v>
      </c>
      <c r="C16" s="11" t="s">
        <v>12</v>
      </c>
    </row>
    <row r="17" customFormat="false" ht="15" hidden="false" customHeight="true" outlineLevel="0" collapsed="false">
      <c r="B17" s="8" t="str">
        <f aca="false">HYPERLINK("#ContractPayments!A1","ContractPayments")</f>
        <v>ContractPayments</v>
      </c>
      <c r="C17" s="9" t="s">
        <v>13</v>
      </c>
    </row>
    <row r="18" customFormat="false" ht="15" hidden="false" customHeight="true" outlineLevel="0" collapsed="false">
      <c r="B18" s="10" t="str">
        <f aca="false">HYPERLINK("#OtherTaxDebt!A1","OtherTaxDebt")</f>
        <v>OtherTaxDebt</v>
      </c>
      <c r="C18" s="11" t="s">
        <v>14</v>
      </c>
    </row>
    <row r="19" customFormat="false" ht="15" hidden="false" customHeight="true" outlineLevel="0" collapsed="false">
      <c r="B19" s="8" t="str">
        <f aca="false">HYPERLINK("#Tax!A1","Tax")</f>
        <v>Tax</v>
      </c>
      <c r="C19" s="9" t="s">
        <v>15</v>
      </c>
    </row>
    <row r="20" customFormat="false" ht="15" hidden="false" customHeight="true" outlineLevel="0" collapsed="false">
      <c r="B20" s="10" t="str">
        <f aca="false">HYPERLINK("#TaxDashboard!A1","TaxDashboard")</f>
        <v>TaxDashboard</v>
      </c>
      <c r="C20" s="11" t="s">
        <v>16</v>
      </c>
    </row>
    <row r="21" customFormat="false" ht="15" hidden="false" customHeight="true" outlineLevel="0" collapsed="false">
      <c r="B21" s="8" t="str">
        <f aca="false">HYPERLINK("#OrdersDashboard!A1","OrdersDashboard")</f>
        <v>OrdersDashboard</v>
      </c>
      <c r="C21" s="9" t="s">
        <v>17</v>
      </c>
    </row>
    <row r="22" customFormat="false" ht="15" hidden="false" customHeight="true" outlineLevel="0" collapsed="false">
      <c r="B22" s="10" t="str">
        <f aca="false">HYPERLINK("#Receivables!A1","Receivables")</f>
        <v>Receivables</v>
      </c>
      <c r="C22" s="11" t="s">
        <v>18</v>
      </c>
    </row>
    <row r="23" customFormat="false" ht="15" hidden="false" customHeight="true" outlineLevel="0" collapsed="false">
      <c r="B23" s="8" t="str">
        <f aca="false">HYPERLINK("#VAT_Paid!A1","VAT_Paid")</f>
        <v>VAT_Paid</v>
      </c>
      <c r="C23" s="9" t="s">
        <v>19</v>
      </c>
    </row>
    <row r="24" customFormat="false" ht="15" hidden="false" customHeight="true" outlineLevel="0" collapsed="false">
      <c r="B24" s="10" t="str">
        <f aca="false">HYPERLINK("#Performance!A1","Performance")</f>
        <v>Performance</v>
      </c>
      <c r="C24" s="11" t="s">
        <v>20</v>
      </c>
    </row>
    <row r="25" customFormat="false" ht="15" hidden="false" customHeight="true" outlineLevel="0" collapsed="false">
      <c r="B25" s="8" t="str">
        <f aca="false">HYPERLINK("#FinancialSummary!A1","FinancialSummary")</f>
        <v>FinancialSummary</v>
      </c>
      <c r="C25" s="9" t="s">
        <v>21</v>
      </c>
    </row>
    <row r="26" customFormat="false" ht="15" hidden="false" customHeight="true" outlineLevel="0" collapsed="false">
      <c r="B26" s="10" t="str">
        <f aca="false">HYPERLINK("#Manual!A1","Manual")</f>
        <v>Manual</v>
      </c>
      <c r="C26" s="11" t="s">
        <v>22</v>
      </c>
    </row>
    <row r="28" customFormat="false" ht="15" hidden="false" customHeight="true" outlineLevel="0" collapsed="false">
      <c r="B28" s="12" t="s">
        <v>23</v>
      </c>
    </row>
    <row r="29" customFormat="false" ht="15" hidden="false" customHeight="true" outlineLevel="0" collapsed="false">
      <c r="B29" s="13" t="s">
        <v>24</v>
      </c>
      <c r="C29" s="13"/>
    </row>
    <row r="30" customFormat="false" ht="15" hidden="false" customHeight="true" outlineLevel="0" collapsed="false">
      <c r="B30" s="14" t="s">
        <v>25</v>
      </c>
      <c r="C30" s="14"/>
    </row>
    <row r="31" customFormat="false" ht="15" hidden="false" customHeight="true" outlineLevel="0" collapsed="false">
      <c r="B31" s="15" t="s">
        <v>26</v>
      </c>
      <c r="C31" s="15"/>
    </row>
    <row r="33" customFormat="false" ht="15" hidden="false" customHeight="true" outlineLevel="0" collapsed="false">
      <c r="B33" s="16" t="s">
        <v>27</v>
      </c>
    </row>
  </sheetData>
  <mergeCells count="6">
    <mergeCell ref="B2:C2"/>
    <mergeCell ref="B3:C3"/>
    <mergeCell ref="B5:C5"/>
    <mergeCell ref="B29:C29"/>
    <mergeCell ref="B30:C30"/>
    <mergeCell ref="B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6"/>
    <col collapsed="false" customWidth="true" hidden="false" outlineLevel="0" max="4" min="4" style="1" width="60"/>
  </cols>
  <sheetData>
    <row r="1" customFormat="false" ht="27.75" hidden="false" customHeight="true" outlineLevel="0" collapsed="false">
      <c r="A1" s="17" t="s">
        <v>28</v>
      </c>
      <c r="B1" s="17"/>
      <c r="C1" s="17"/>
      <c r="D1" s="17"/>
    </row>
    <row r="2" customFormat="false" ht="15.75" hidden="false" customHeight="true" outlineLevel="0" collapsed="false">
      <c r="A2" s="18" t="s">
        <v>29</v>
      </c>
      <c r="B2" s="18"/>
      <c r="C2" s="18"/>
      <c r="D2" s="18"/>
    </row>
    <row r="4" customFormat="false" ht="15" hidden="false" customHeight="true" outlineLevel="0" collapsed="false">
      <c r="A4" s="19" t="s">
        <v>30</v>
      </c>
    </row>
    <row r="5" customFormat="false" ht="30" hidden="false" customHeight="true" outlineLevel="0" collapsed="false">
      <c r="A5" s="20" t="s">
        <v>31</v>
      </c>
      <c r="B5" s="20" t="s">
        <v>32</v>
      </c>
      <c r="C5" s="20"/>
      <c r="D5" s="20" t="s">
        <v>33</v>
      </c>
    </row>
    <row r="6" customFormat="false" ht="15" hidden="false" customHeight="true" outlineLevel="0" collapsed="false">
      <c r="A6" s="21" t="s">
        <v>34</v>
      </c>
      <c r="B6" s="22" t="n">
        <v>0.155</v>
      </c>
      <c r="C6" s="23"/>
      <c r="D6" s="24" t="s">
        <v>35</v>
      </c>
    </row>
    <row r="7" customFormat="false" ht="15" hidden="false" customHeight="true" outlineLevel="0" collapsed="false">
      <c r="A7" s="21" t="s">
        <v>36</v>
      </c>
      <c r="B7" s="25" t="n">
        <v>26.5</v>
      </c>
      <c r="C7" s="23"/>
      <c r="D7" s="24" t="s">
        <v>37</v>
      </c>
    </row>
    <row r="8" customFormat="false" ht="15" hidden="false" customHeight="true" outlineLevel="0" collapsed="false">
      <c r="A8" s="21" t="s">
        <v>38</v>
      </c>
      <c r="B8" s="25" t="n">
        <v>33</v>
      </c>
      <c r="C8" s="23"/>
      <c r="D8" s="24" t="s">
        <v>39</v>
      </c>
    </row>
    <row r="9" customFormat="false" ht="15" hidden="false" customHeight="true" outlineLevel="0" collapsed="false">
      <c r="A9" s="21" t="s">
        <v>40</v>
      </c>
      <c r="B9" s="22" t="n">
        <v>0.1</v>
      </c>
      <c r="C9" s="23"/>
      <c r="D9" s="24" t="s">
        <v>41</v>
      </c>
    </row>
    <row r="10" customFormat="false" ht="15" hidden="false" customHeight="true" outlineLevel="0" collapsed="false">
      <c r="A10" s="21" t="s">
        <v>42</v>
      </c>
      <c r="B10" s="22" t="n">
        <v>0.05</v>
      </c>
      <c r="C10" s="23"/>
      <c r="D10" s="24" t="s">
        <v>43</v>
      </c>
    </row>
    <row r="11" customFormat="false" ht="15" hidden="false" customHeight="true" outlineLevel="0" collapsed="false">
      <c r="A11" s="21" t="s">
        <v>44</v>
      </c>
      <c r="B11" s="26" t="n">
        <f aca="true">TODAY()</f>
        <v>46227</v>
      </c>
      <c r="C11" s="23"/>
      <c r="D11" s="24" t="s">
        <v>45</v>
      </c>
    </row>
    <row r="13" customFormat="false" ht="15" hidden="false" customHeight="true" outlineLevel="0" collapsed="false">
      <c r="A13" s="19" t="s">
        <v>46</v>
      </c>
    </row>
    <row r="14" customFormat="false" ht="15" hidden="false" customHeight="true" outlineLevel="0" collapsed="false">
      <c r="A14" s="5" t="s">
        <v>47</v>
      </c>
      <c r="B14" s="27" t="s">
        <v>48</v>
      </c>
      <c r="C14" s="27"/>
      <c r="D14" s="27"/>
    </row>
    <row r="15" customFormat="false" ht="15" hidden="false" customHeight="true" outlineLevel="0" collapsed="false">
      <c r="A15" s="5" t="s">
        <v>49</v>
      </c>
      <c r="B15" s="27" t="s">
        <v>50</v>
      </c>
      <c r="C15" s="27"/>
      <c r="D15" s="27"/>
    </row>
    <row r="16" customFormat="false" ht="15" hidden="false" customHeight="true" outlineLevel="0" collapsed="false">
      <c r="A16" s="5" t="s">
        <v>51</v>
      </c>
      <c r="B16" s="27" t="s">
        <v>2</v>
      </c>
      <c r="C16" s="27"/>
      <c r="D16" s="27"/>
    </row>
    <row r="17" customFormat="false" ht="15" hidden="false" customHeight="true" outlineLevel="0" collapsed="false">
      <c r="A17" s="5" t="s">
        <v>52</v>
      </c>
      <c r="B17" s="27" t="s">
        <v>53</v>
      </c>
      <c r="C17" s="27"/>
      <c r="D17" s="27"/>
    </row>
    <row r="19" customFormat="false" ht="15" hidden="false" customHeight="true" outlineLevel="0" collapsed="false">
      <c r="A19" s="19" t="s">
        <v>54</v>
      </c>
    </row>
    <row r="20" customFormat="false" ht="15" hidden="false" customHeight="true" outlineLevel="0" collapsed="false">
      <c r="A20" s="12" t="s">
        <v>55</v>
      </c>
      <c r="B20" s="12" t="s">
        <v>56</v>
      </c>
      <c r="C20" s="12" t="s">
        <v>57</v>
      </c>
      <c r="D20" s="12" t="s">
        <v>58</v>
      </c>
    </row>
    <row r="21" customFormat="false" ht="15" hidden="false" customHeight="true" outlineLevel="0" collapsed="false">
      <c r="A21" s="28" t="s">
        <v>59</v>
      </c>
      <c r="B21" s="28" t="s">
        <v>60</v>
      </c>
      <c r="C21" s="28" t="s">
        <v>61</v>
      </c>
      <c r="D21" s="28" t="s">
        <v>62</v>
      </c>
    </row>
    <row r="22" customFormat="false" ht="15" hidden="false" customHeight="true" outlineLevel="0" collapsed="false">
      <c r="A22" s="28" t="s">
        <v>63</v>
      </c>
      <c r="B22" s="28" t="s">
        <v>64</v>
      </c>
      <c r="C22" s="28" t="s">
        <v>65</v>
      </c>
      <c r="D22" s="28" t="s">
        <v>66</v>
      </c>
    </row>
    <row r="23" customFormat="false" ht="15" hidden="false" customHeight="true" outlineLevel="0" collapsed="false">
      <c r="B23" s="28" t="s">
        <v>67</v>
      </c>
      <c r="C23" s="28" t="s">
        <v>68</v>
      </c>
    </row>
    <row r="24" customFormat="false" ht="15" hidden="false" customHeight="true" outlineLevel="0" collapsed="false">
      <c r="B24" s="28" t="s">
        <v>69</v>
      </c>
      <c r="C24" s="28" t="s">
        <v>70</v>
      </c>
    </row>
    <row r="25" customFormat="false" ht="15" hidden="false" customHeight="true" outlineLevel="0" collapsed="false">
      <c r="B25" s="28" t="s">
        <v>71</v>
      </c>
      <c r="C25" s="28" t="s">
        <v>72</v>
      </c>
    </row>
    <row r="26" customFormat="false" ht="15" hidden="false" customHeight="true" outlineLevel="0" collapsed="false">
      <c r="B26" s="28" t="s">
        <v>73</v>
      </c>
      <c r="C26" s="28" t="s">
        <v>74</v>
      </c>
    </row>
    <row r="27" customFormat="false" ht="15" hidden="false" customHeight="true" outlineLevel="0" collapsed="false">
      <c r="C27" s="28" t="s">
        <v>75</v>
      </c>
    </row>
    <row r="28" customFormat="false" ht="15" hidden="false" customHeight="true" outlineLevel="0" collapsed="false">
      <c r="C28" s="28" t="s">
        <v>76</v>
      </c>
    </row>
    <row r="30" customFormat="false" ht="15" hidden="false" customHeight="true" outlineLevel="0" collapsed="false">
      <c r="A30" s="19" t="s">
        <v>77</v>
      </c>
    </row>
    <row r="31" customFormat="false" ht="15" hidden="false" customHeight="true" outlineLevel="0" collapsed="false">
      <c r="A31" s="29" t="s">
        <v>73</v>
      </c>
      <c r="B31" s="30" t="s">
        <v>78</v>
      </c>
      <c r="C31" s="30"/>
      <c r="D31" s="30"/>
    </row>
    <row r="32" customFormat="false" ht="15" hidden="false" customHeight="true" outlineLevel="0" collapsed="false">
      <c r="A32" s="31" t="s">
        <v>71</v>
      </c>
      <c r="B32" s="30" t="s">
        <v>79</v>
      </c>
      <c r="C32" s="30"/>
      <c r="D32" s="30"/>
    </row>
    <row r="33" customFormat="false" ht="15" hidden="false" customHeight="true" outlineLevel="0" collapsed="false">
      <c r="A33" s="32" t="s">
        <v>64</v>
      </c>
      <c r="B33" s="30" t="s">
        <v>80</v>
      </c>
      <c r="C33" s="30"/>
      <c r="D33" s="30"/>
    </row>
    <row r="34" customFormat="false" ht="15" hidden="false" customHeight="true" outlineLevel="0" collapsed="false">
      <c r="A34" s="33" t="s">
        <v>67</v>
      </c>
      <c r="B34" s="30" t="s">
        <v>81</v>
      </c>
      <c r="C34" s="30"/>
      <c r="D34" s="30"/>
    </row>
    <row r="35" customFormat="false" ht="15" hidden="false" customHeight="true" outlineLevel="0" collapsed="false">
      <c r="A35" s="33" t="s">
        <v>69</v>
      </c>
      <c r="B35" s="30" t="s">
        <v>82</v>
      </c>
      <c r="C35" s="30"/>
      <c r="D35" s="30"/>
    </row>
    <row r="36" customFormat="false" ht="15" hidden="false" customHeight="true" outlineLevel="0" collapsed="false">
      <c r="A36" s="34" t="s">
        <v>60</v>
      </c>
      <c r="B36" s="30" t="s">
        <v>83</v>
      </c>
      <c r="C36" s="30"/>
      <c r="D36" s="30"/>
    </row>
  </sheetData>
  <mergeCells count="12">
    <mergeCell ref="A1:D1"/>
    <mergeCell ref="A2:D2"/>
    <mergeCell ref="B14:D14"/>
    <mergeCell ref="B15:D15"/>
    <mergeCell ref="B16:D16"/>
    <mergeCell ref="B17:D17"/>
    <mergeCell ref="B31:D31"/>
    <mergeCell ref="B32:D32"/>
    <mergeCell ref="B33:D33"/>
    <mergeCell ref="B34:D34"/>
    <mergeCell ref="B35:D35"/>
    <mergeCell ref="B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16"/>
    <col collapsed="false" customWidth="true" hidden="false" outlineLevel="0" max="4" min="4" style="1" width="26"/>
    <col collapsed="false" customWidth="true" hidden="false" outlineLevel="0" max="5" min="5" style="1" width="30"/>
    <col collapsed="false" customWidth="true" hidden="false" outlineLevel="0" max="7" min="6" style="1" width="14"/>
    <col collapsed="false" customWidth="true" hidden="false" outlineLevel="0" max="8" min="8" style="1" width="24"/>
  </cols>
  <sheetData>
    <row r="1" customFormat="false" ht="27.75" hidden="false" customHeight="true" outlineLevel="0" collapsed="false">
      <c r="A1" s="17" t="s">
        <v>84</v>
      </c>
      <c r="B1" s="17"/>
      <c r="C1" s="17"/>
      <c r="D1" s="17"/>
      <c r="E1" s="17"/>
      <c r="F1" s="17"/>
      <c r="G1" s="17"/>
      <c r="H1" s="17"/>
    </row>
    <row r="2" customFormat="false" ht="15.75" hidden="false" customHeight="true" outlineLevel="0" collapsed="false">
      <c r="A2" s="18" t="s">
        <v>85</v>
      </c>
      <c r="B2" s="18"/>
      <c r="C2" s="18"/>
      <c r="D2" s="18"/>
      <c r="E2" s="18"/>
      <c r="F2" s="18"/>
      <c r="G2" s="18"/>
      <c r="H2" s="18"/>
    </row>
    <row r="4" customFormat="false" ht="30" hidden="false" customHeight="true" outlineLevel="0" collapsed="false">
      <c r="A4" s="20" t="s">
        <v>86</v>
      </c>
      <c r="B4" s="20" t="s">
        <v>87</v>
      </c>
      <c r="C4" s="20" t="s">
        <v>88</v>
      </c>
      <c r="D4" s="20" t="s">
        <v>89</v>
      </c>
      <c r="E4" s="20" t="s">
        <v>90</v>
      </c>
      <c r="F4" s="20" t="s">
        <v>91</v>
      </c>
      <c r="G4" s="20" t="s">
        <v>92</v>
      </c>
      <c r="H4" s="20" t="s">
        <v>33</v>
      </c>
    </row>
    <row r="5" customFormat="false" ht="15" hidden="false" customHeight="true" outlineLevel="0" collapsed="false">
      <c r="A5" s="35" t="s">
        <v>93</v>
      </c>
      <c r="B5" s="36" t="s">
        <v>94</v>
      </c>
      <c r="C5" s="36" t="s">
        <v>95</v>
      </c>
      <c r="D5" s="36" t="s">
        <v>96</v>
      </c>
      <c r="E5" s="36" t="s">
        <v>97</v>
      </c>
      <c r="F5" s="36" t="s">
        <v>98</v>
      </c>
      <c r="G5" s="36" t="s">
        <v>99</v>
      </c>
      <c r="H5" s="36" t="s">
        <v>100</v>
      </c>
    </row>
    <row r="6" customFormat="false" ht="15" hidden="false" customHeight="true" outlineLevel="0" collapsed="false">
      <c r="A6" s="37" t="s">
        <v>101</v>
      </c>
      <c r="B6" s="38" t="s">
        <v>102</v>
      </c>
      <c r="C6" s="38" t="s">
        <v>103</v>
      </c>
      <c r="D6" s="38" t="s">
        <v>104</v>
      </c>
      <c r="E6" s="38" t="s">
        <v>105</v>
      </c>
      <c r="F6" s="38" t="s">
        <v>106</v>
      </c>
      <c r="G6" s="38" t="s">
        <v>107</v>
      </c>
      <c r="H6" s="38" t="s">
        <v>108</v>
      </c>
    </row>
    <row r="7" customFormat="false" ht="15" hidden="false" customHeight="true" outlineLevel="0" collapsed="false">
      <c r="A7" s="35" t="s">
        <v>109</v>
      </c>
      <c r="B7" s="36" t="s">
        <v>110</v>
      </c>
      <c r="C7" s="36" t="s">
        <v>111</v>
      </c>
      <c r="D7" s="36" t="s">
        <v>112</v>
      </c>
      <c r="E7" s="36" t="s">
        <v>113</v>
      </c>
      <c r="F7" s="36" t="s">
        <v>114</v>
      </c>
      <c r="G7" s="36" t="s">
        <v>115</v>
      </c>
      <c r="H7" s="36" t="s">
        <v>116</v>
      </c>
    </row>
    <row r="8" customFormat="false" ht="15" hidden="false" customHeight="true" outlineLevel="0" collapsed="false">
      <c r="A8" s="38" t="s">
        <v>117</v>
      </c>
      <c r="B8" s="38" t="s">
        <v>118</v>
      </c>
      <c r="C8" s="38" t="s">
        <v>119</v>
      </c>
      <c r="D8" s="38" t="s">
        <v>120</v>
      </c>
      <c r="E8" s="38" t="s">
        <v>121</v>
      </c>
      <c r="F8" s="38" t="s">
        <v>122</v>
      </c>
      <c r="G8" s="38" t="s">
        <v>123</v>
      </c>
      <c r="H8" s="38" t="s">
        <v>124</v>
      </c>
    </row>
    <row r="9" customFormat="false" ht="15" hidden="false" customHeight="true" outlineLevel="0" collapsed="false">
      <c r="A9" s="36" t="s">
        <v>125</v>
      </c>
      <c r="B9" s="36" t="s">
        <v>126</v>
      </c>
      <c r="C9" s="36" t="s">
        <v>127</v>
      </c>
      <c r="D9" s="36" t="s">
        <v>128</v>
      </c>
      <c r="E9" s="36" t="s">
        <v>113</v>
      </c>
      <c r="F9" s="36" t="s">
        <v>129</v>
      </c>
      <c r="G9" s="36" t="s">
        <v>130</v>
      </c>
      <c r="H9" s="36" t="s">
        <v>131</v>
      </c>
    </row>
    <row r="10" customFormat="false" ht="15" hidden="false" customHeight="true" outlineLevel="0" collapsed="false">
      <c r="A10" s="38"/>
      <c r="B10" s="38"/>
      <c r="C10" s="38"/>
      <c r="D10" s="38"/>
      <c r="E10" s="38"/>
      <c r="F10" s="38"/>
      <c r="G10" s="38"/>
      <c r="H10" s="38"/>
    </row>
    <row r="11" customFormat="false" ht="15" hidden="false" customHeight="true" outlineLevel="0" collapsed="false">
      <c r="A11" s="36"/>
      <c r="B11" s="36"/>
      <c r="C11" s="36"/>
      <c r="D11" s="36"/>
      <c r="E11" s="36"/>
      <c r="F11" s="36"/>
      <c r="G11" s="36"/>
      <c r="H11" s="36"/>
    </row>
    <row r="12" customFormat="false" ht="15" hidden="false" customHeight="true" outlineLevel="0" collapsed="false">
      <c r="A12" s="38"/>
      <c r="B12" s="38"/>
      <c r="C12" s="38"/>
      <c r="D12" s="38"/>
      <c r="E12" s="38"/>
      <c r="F12" s="38"/>
      <c r="G12" s="38"/>
      <c r="H12" s="38"/>
    </row>
    <row r="13" customFormat="false" ht="15" hidden="false" customHeight="true" outlineLevel="0" collapsed="false">
      <c r="A13" s="36"/>
      <c r="B13" s="36"/>
      <c r="C13" s="36"/>
      <c r="D13" s="36"/>
      <c r="E13" s="36"/>
      <c r="F13" s="36"/>
      <c r="G13" s="36"/>
      <c r="H13" s="36"/>
    </row>
    <row r="14" customFormat="false" ht="15" hidden="false" customHeight="true" outlineLevel="0" collapsed="false">
      <c r="A14" s="38"/>
      <c r="B14" s="38"/>
      <c r="C14" s="38"/>
      <c r="D14" s="38"/>
      <c r="E14" s="38"/>
      <c r="F14" s="38"/>
      <c r="G14" s="38"/>
      <c r="H14" s="38"/>
    </row>
    <row r="15" customFormat="false" ht="15" hidden="false" customHeight="true" outlineLevel="0" collapsed="false">
      <c r="A15" s="36"/>
      <c r="B15" s="36"/>
      <c r="C15" s="36"/>
      <c r="D15" s="36"/>
      <c r="E15" s="36"/>
      <c r="F15" s="36"/>
      <c r="G15" s="36"/>
      <c r="H15" s="36"/>
    </row>
    <row r="16" customFormat="false" ht="15" hidden="false" customHeight="true" outlineLevel="0" collapsed="false">
      <c r="A16" s="38"/>
      <c r="B16" s="38"/>
      <c r="C16" s="38"/>
      <c r="D16" s="38"/>
      <c r="E16" s="38"/>
      <c r="F16" s="38"/>
      <c r="G16" s="38"/>
      <c r="H16" s="38"/>
    </row>
    <row r="17" customFormat="false" ht="15" hidden="false" customHeight="true" outlineLevel="0" collapsed="false">
      <c r="A17" s="36"/>
      <c r="B17" s="36"/>
      <c r="C17" s="36"/>
      <c r="D17" s="36"/>
      <c r="E17" s="36"/>
      <c r="F17" s="36"/>
      <c r="G17" s="36"/>
      <c r="H17" s="36"/>
    </row>
    <row r="18" customFormat="false" ht="15" hidden="false" customHeight="true" outlineLevel="0" collapsed="false">
      <c r="A18" s="38"/>
      <c r="B18" s="38"/>
      <c r="C18" s="38"/>
      <c r="D18" s="38"/>
      <c r="E18" s="38"/>
      <c r="F18" s="38"/>
      <c r="G18" s="38"/>
      <c r="H18" s="38"/>
    </row>
    <row r="19" customFormat="false" ht="15" hidden="false" customHeight="true" outlineLevel="0" collapsed="false">
      <c r="A19" s="36"/>
      <c r="B19" s="36"/>
      <c r="C19" s="36"/>
      <c r="D19" s="36"/>
      <c r="E19" s="36"/>
      <c r="F19" s="36"/>
      <c r="G19" s="36"/>
      <c r="H19" s="36"/>
    </row>
    <row r="20" customFormat="false" ht="15" hidden="false" customHeight="true" outlineLevel="0" collapsed="false">
      <c r="A20" s="38"/>
      <c r="B20" s="38"/>
      <c r="C20" s="38"/>
      <c r="D20" s="38"/>
      <c r="E20" s="38"/>
      <c r="F20" s="38"/>
      <c r="G20" s="38"/>
      <c r="H20" s="38"/>
    </row>
    <row r="21" customFormat="false" ht="15" hidden="false" customHeight="true" outlineLevel="0" collapsed="false">
      <c r="A21" s="36"/>
      <c r="B21" s="36"/>
      <c r="C21" s="36"/>
      <c r="D21" s="36"/>
      <c r="E21" s="36"/>
      <c r="F21" s="36"/>
      <c r="G21" s="36"/>
      <c r="H21" s="36"/>
    </row>
    <row r="22" customFormat="false" ht="15" hidden="false" customHeight="true" outlineLevel="0" collapsed="false">
      <c r="A22" s="38"/>
      <c r="B22" s="38"/>
      <c r="C22" s="38"/>
      <c r="D22" s="38"/>
      <c r="E22" s="38"/>
      <c r="F22" s="38"/>
      <c r="G22" s="38"/>
      <c r="H22" s="38"/>
    </row>
    <row r="23" customFormat="false" ht="15" hidden="false" customHeight="true" outlineLevel="0" collapsed="false">
      <c r="A23" s="36"/>
      <c r="B23" s="36"/>
      <c r="C23" s="36"/>
      <c r="D23" s="36"/>
      <c r="E23" s="36"/>
      <c r="F23" s="36"/>
      <c r="G23" s="36"/>
      <c r="H23" s="36"/>
    </row>
    <row r="24" customFormat="false" ht="15" hidden="false" customHeight="true" outlineLevel="0" collapsed="false">
      <c r="A24" s="38"/>
      <c r="B24" s="38"/>
      <c r="C24" s="38"/>
      <c r="D24" s="38"/>
      <c r="E24" s="38"/>
      <c r="F24" s="38"/>
      <c r="G24" s="38"/>
      <c r="H24" s="38"/>
    </row>
    <row r="25" customFormat="false" ht="15" hidden="false" customHeight="true" outlineLevel="0" collapsed="false">
      <c r="A25" s="36"/>
      <c r="B25" s="36"/>
      <c r="C25" s="36"/>
      <c r="D25" s="36"/>
      <c r="E25" s="36"/>
      <c r="F25" s="36"/>
      <c r="G25" s="36"/>
      <c r="H25" s="36"/>
    </row>
    <row r="26" customFormat="false" ht="15" hidden="false" customHeight="true" outlineLevel="0" collapsed="false">
      <c r="A26" s="38"/>
      <c r="B26" s="38"/>
      <c r="C26" s="38"/>
      <c r="D26" s="38"/>
      <c r="E26" s="38"/>
      <c r="F26" s="38"/>
      <c r="G26" s="38"/>
      <c r="H26" s="38"/>
    </row>
    <row r="27" customFormat="false" ht="15" hidden="false" customHeight="true" outlineLevel="0" collapsed="false">
      <c r="A27" s="36"/>
      <c r="B27" s="36"/>
      <c r="C27" s="36"/>
      <c r="D27" s="36"/>
      <c r="E27" s="36"/>
      <c r="F27" s="36"/>
      <c r="G27" s="36"/>
      <c r="H27" s="36"/>
    </row>
    <row r="28" customFormat="false" ht="15" hidden="false" customHeight="true" outlineLevel="0" collapsed="false">
      <c r="A28" s="38"/>
      <c r="B28" s="38"/>
      <c r="C28" s="38"/>
      <c r="D28" s="38"/>
      <c r="E28" s="38"/>
      <c r="F28" s="38"/>
      <c r="G28" s="38"/>
      <c r="H28" s="38"/>
    </row>
    <row r="29" customFormat="false" ht="15" hidden="false" customHeight="true" outlineLevel="0" collapsed="false">
      <c r="A29" s="36"/>
      <c r="B29" s="36"/>
      <c r="C29" s="36"/>
      <c r="D29" s="36"/>
      <c r="E29" s="36"/>
      <c r="F29" s="36"/>
      <c r="G29" s="36"/>
      <c r="H29" s="36"/>
    </row>
    <row r="30" customFormat="false" ht="15" hidden="false" customHeight="true" outlineLevel="0" collapsed="false">
      <c r="A30" s="38"/>
      <c r="B30" s="38"/>
      <c r="C30" s="38"/>
      <c r="D30" s="38"/>
      <c r="E30" s="38"/>
      <c r="F30" s="38"/>
      <c r="G30" s="38"/>
      <c r="H30" s="38"/>
    </row>
    <row r="31" customFormat="false" ht="15" hidden="false" customHeight="true" outlineLevel="0" collapsed="false">
      <c r="A31" s="36"/>
      <c r="B31" s="36"/>
      <c r="C31" s="36"/>
      <c r="D31" s="36"/>
      <c r="E31" s="36"/>
      <c r="F31" s="36"/>
      <c r="G31" s="36"/>
      <c r="H31" s="36"/>
    </row>
    <row r="32" customFormat="false" ht="15" hidden="false" customHeight="true" outlineLevel="0" collapsed="false">
      <c r="A32" s="38"/>
      <c r="B32" s="38"/>
      <c r="C32" s="38"/>
      <c r="D32" s="38"/>
      <c r="E32" s="38"/>
      <c r="F32" s="38"/>
      <c r="G32" s="38"/>
      <c r="H32" s="38"/>
    </row>
    <row r="33" customFormat="false" ht="15" hidden="false" customHeight="true" outlineLevel="0" collapsed="false">
      <c r="A33" s="36"/>
      <c r="B33" s="36"/>
      <c r="C33" s="36"/>
      <c r="D33" s="36"/>
      <c r="E33" s="36"/>
      <c r="F33" s="36"/>
      <c r="G33" s="36"/>
      <c r="H33" s="36"/>
    </row>
    <row r="34" customFormat="false" ht="15" hidden="false" customHeight="true" outlineLevel="0" collapsed="false">
      <c r="A34" s="38"/>
      <c r="B34" s="38"/>
      <c r="C34" s="38"/>
      <c r="D34" s="38"/>
      <c r="E34" s="38"/>
      <c r="F34" s="38"/>
      <c r="G34" s="38"/>
      <c r="H34" s="38"/>
    </row>
    <row r="35" customFormat="false" ht="15" hidden="false" customHeight="true" outlineLevel="0" collapsed="false">
      <c r="A35" s="36"/>
      <c r="B35" s="36"/>
      <c r="C35" s="36"/>
      <c r="D35" s="36"/>
      <c r="E35" s="36"/>
      <c r="F35" s="36"/>
      <c r="G35" s="36"/>
      <c r="H35" s="36"/>
    </row>
    <row r="36" customFormat="false" ht="15" hidden="false" customHeight="true" outlineLevel="0" collapsed="false">
      <c r="A36" s="38"/>
      <c r="B36" s="38"/>
      <c r="C36" s="38"/>
      <c r="D36" s="38"/>
      <c r="E36" s="38"/>
      <c r="F36" s="38"/>
      <c r="G36" s="38"/>
      <c r="H36" s="38"/>
    </row>
    <row r="37" customFormat="false" ht="15" hidden="false" customHeight="true" outlineLevel="0" collapsed="false">
      <c r="A37" s="36"/>
      <c r="B37" s="36"/>
      <c r="C37" s="36"/>
      <c r="D37" s="36"/>
      <c r="E37" s="36"/>
      <c r="F37" s="36"/>
      <c r="G37" s="36"/>
      <c r="H37" s="36"/>
    </row>
    <row r="38" customFormat="false" ht="15" hidden="false" customHeight="true" outlineLevel="0" collapsed="false">
      <c r="A38" s="38"/>
      <c r="B38" s="38"/>
      <c r="C38" s="38"/>
      <c r="D38" s="38"/>
      <c r="E38" s="38"/>
      <c r="F38" s="38"/>
      <c r="G38" s="38"/>
      <c r="H38" s="38"/>
    </row>
    <row r="39" customFormat="false" ht="15" hidden="false" customHeight="true" outlineLevel="0" collapsed="false">
      <c r="A39" s="36"/>
      <c r="B39" s="36"/>
      <c r="C39" s="36"/>
      <c r="D39" s="36"/>
      <c r="E39" s="36"/>
      <c r="F39" s="36"/>
      <c r="G39" s="36"/>
      <c r="H39" s="36"/>
    </row>
    <row r="40" customFormat="false" ht="15" hidden="false" customHeight="true" outlineLevel="0" collapsed="false">
      <c r="A40" s="38"/>
      <c r="B40" s="38"/>
      <c r="C40" s="38"/>
      <c r="D40" s="38"/>
      <c r="E40" s="38"/>
      <c r="F40" s="38"/>
      <c r="G40" s="38"/>
      <c r="H40" s="38"/>
    </row>
    <row r="41" customFormat="false" ht="15" hidden="false" customHeight="true" outlineLevel="0" collapsed="false">
      <c r="A41" s="36"/>
      <c r="B41" s="36"/>
      <c r="C41" s="36"/>
      <c r="D41" s="36"/>
      <c r="E41" s="36"/>
      <c r="F41" s="36"/>
      <c r="G41" s="36"/>
      <c r="H41" s="36"/>
    </row>
    <row r="42" customFormat="false" ht="15" hidden="false" customHeight="true" outlineLevel="0" collapsed="false">
      <c r="A42" s="38"/>
      <c r="B42" s="38"/>
      <c r="C42" s="38"/>
      <c r="D42" s="38"/>
      <c r="E42" s="38"/>
      <c r="F42" s="38"/>
      <c r="G42" s="38"/>
      <c r="H42" s="38"/>
    </row>
    <row r="43" customFormat="false" ht="15" hidden="false" customHeight="true" outlineLevel="0" collapsed="false">
      <c r="A43" s="36"/>
      <c r="B43" s="36"/>
      <c r="C43" s="36"/>
      <c r="D43" s="36"/>
      <c r="E43" s="36"/>
      <c r="F43" s="36"/>
      <c r="G43" s="36"/>
      <c r="H43" s="36"/>
    </row>
    <row r="44" customFormat="false" ht="15" hidden="false" customHeight="true" outlineLevel="0" collapsed="false">
      <c r="A44" s="38"/>
      <c r="B44" s="38"/>
      <c r="C44" s="38"/>
      <c r="D44" s="38"/>
      <c r="E44" s="38"/>
      <c r="F44" s="38"/>
      <c r="G44" s="38"/>
      <c r="H44" s="3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6"/>
    <col collapsed="false" customWidth="true" hidden="false" outlineLevel="0" max="3" min="3" style="1" width="30"/>
    <col collapsed="false" customWidth="true" hidden="false" outlineLevel="0" max="4" min="4" style="1" width="15"/>
    <col collapsed="false" customWidth="true" hidden="false" outlineLevel="0" max="6" min="5" style="1" width="12"/>
    <col collapsed="false" customWidth="true" hidden="false" outlineLevel="0" max="7" min="7" style="1" width="10"/>
    <col collapsed="false" customWidth="true" hidden="false" outlineLevel="0" max="8" min="8" style="1" width="14"/>
    <col collapsed="false" customWidth="true" hidden="false" outlineLevel="0" max="9" min="9" style="1" width="15"/>
    <col collapsed="false" customWidth="true" hidden="false" outlineLevel="0" max="10" min="10" style="1" width="10"/>
    <col collapsed="false" customWidth="true" hidden="false" outlineLevel="0" max="11" min="11" style="1" width="15"/>
    <col collapsed="false" customWidth="true" hidden="false" outlineLevel="0" max="12" min="12" style="1" width="16"/>
    <col collapsed="false" customWidth="true" hidden="false" outlineLevel="0" max="13" min="13" style="1" width="12"/>
    <col collapsed="false" customWidth="true" hidden="false" outlineLevel="0" max="14" min="14" style="1" width="22"/>
  </cols>
  <sheetData>
    <row r="1" customFormat="false" ht="27.75" hidden="false" customHeight="true" outlineLevel="0" collapsed="false">
      <c r="A1" s="17" t="s">
        <v>132</v>
      </c>
      <c r="B1" s="17"/>
      <c r="C1" s="17"/>
      <c r="D1" s="17"/>
      <c r="E1" s="17"/>
      <c r="F1" s="17"/>
      <c r="G1" s="17"/>
      <c r="H1" s="17"/>
      <c r="I1" s="17"/>
      <c r="J1" s="17"/>
      <c r="K1" s="17"/>
      <c r="L1" s="17"/>
      <c r="M1" s="17"/>
      <c r="N1" s="17"/>
    </row>
    <row r="2" customFormat="false" ht="15.75" hidden="false" customHeight="true" outlineLevel="0" collapsed="false">
      <c r="A2" s="18" t="s">
        <v>133</v>
      </c>
      <c r="B2" s="18"/>
      <c r="C2" s="18"/>
      <c r="D2" s="18"/>
      <c r="E2" s="18"/>
      <c r="F2" s="18"/>
      <c r="G2" s="18"/>
      <c r="H2" s="18"/>
      <c r="I2" s="18"/>
      <c r="J2" s="18"/>
      <c r="K2" s="18"/>
      <c r="L2" s="18"/>
      <c r="M2" s="18"/>
      <c r="N2" s="18"/>
    </row>
    <row r="4" customFormat="false" ht="30" hidden="false" customHeight="true" outlineLevel="0" collapsed="false">
      <c r="A4" s="20" t="s">
        <v>134</v>
      </c>
      <c r="B4" s="20" t="s">
        <v>135</v>
      </c>
      <c r="C4" s="20" t="s">
        <v>136</v>
      </c>
      <c r="D4" s="20" t="s">
        <v>137</v>
      </c>
      <c r="E4" s="20" t="s">
        <v>138</v>
      </c>
      <c r="F4" s="20" t="s">
        <v>139</v>
      </c>
      <c r="G4" s="20" t="s">
        <v>140</v>
      </c>
      <c r="H4" s="20" t="s">
        <v>141</v>
      </c>
      <c r="I4" s="20" t="s">
        <v>142</v>
      </c>
      <c r="J4" s="20" t="s">
        <v>143</v>
      </c>
      <c r="K4" s="20" t="s">
        <v>144</v>
      </c>
      <c r="L4" s="20" t="s">
        <v>145</v>
      </c>
      <c r="M4" s="20" t="s">
        <v>146</v>
      </c>
      <c r="N4" s="20" t="s">
        <v>33</v>
      </c>
    </row>
    <row r="5" customFormat="false" ht="15" hidden="false" customHeight="true" outlineLevel="0" collapsed="false">
      <c r="A5" s="35" t="s">
        <v>147</v>
      </c>
      <c r="B5" s="36" t="s">
        <v>109</v>
      </c>
      <c r="C5" s="36" t="s">
        <v>148</v>
      </c>
      <c r="D5" s="39" t="n">
        <v>480000</v>
      </c>
      <c r="E5" s="40" t="n">
        <v>46023</v>
      </c>
      <c r="F5" s="40" t="n">
        <v>46387</v>
      </c>
      <c r="G5" s="41" t="n">
        <f aca="false">IF(OR($E5="",$F5=""),"",DATEDIF($E5,$F5,"m")+1)</f>
        <v>12</v>
      </c>
      <c r="H5" s="42" t="n">
        <f aca="false">IF(OR($D5="",$G5="",$G5=0),"",$D5/$G5)</f>
        <v>40000</v>
      </c>
      <c r="I5" s="43" t="n">
        <f aca="false">IF($A5="","",SUMIFS(ContractPayments!$F$5:$F$64,ContractPayments!$B$5:$B$64,$A5))</f>
        <v>165000</v>
      </c>
      <c r="J5" s="41" t="n">
        <f aca="true">IF($E5="","",IF(TODAY()&lt;$E5,0,MIN($G5,DATEDIF($E5,TODAY(),"m")+1)))</f>
        <v>7</v>
      </c>
      <c r="K5" s="42" t="n">
        <f aca="false">IF(OR($H5="",$J5=""),"",$H5*$J5)</f>
        <v>280000</v>
      </c>
      <c r="L5" s="42" t="n">
        <f aca="false">IF(OR($I5="",$K5=""),"",$I5-$K5)</f>
        <v>-115000</v>
      </c>
      <c r="M5" s="36" t="str">
        <f aca="true">IF($A5="","",IF(TODAY()&lt;$E5,"Upcoming",IF(TODAY()&gt;$F5,"Completed","Active")))</f>
        <v>Active</v>
      </c>
      <c r="N5" s="36"/>
    </row>
    <row r="6" customFormat="false" ht="15" hidden="false" customHeight="true" outlineLevel="0" collapsed="false">
      <c r="A6" s="37" t="s">
        <v>149</v>
      </c>
      <c r="B6" s="38" t="s">
        <v>101</v>
      </c>
      <c r="C6" s="38" t="s">
        <v>150</v>
      </c>
      <c r="D6" s="39" t="n">
        <v>360000</v>
      </c>
      <c r="E6" s="40" t="n">
        <v>46054</v>
      </c>
      <c r="F6" s="40" t="n">
        <v>46356</v>
      </c>
      <c r="G6" s="44" t="n">
        <f aca="false">IF(OR($E6="",$F6=""),"",DATEDIF($E6,$F6,"m")+1)</f>
        <v>10</v>
      </c>
      <c r="H6" s="45" t="n">
        <f aca="false">IF(OR($D6="",$G6="",$G6=0),"",$D6/$G6)</f>
        <v>36000</v>
      </c>
      <c r="I6" s="46" t="n">
        <f aca="false">IF($A6="","",SUMIFS(ContractPayments!$F$5:$F$64,ContractPayments!$B$5:$B$64,$A6))</f>
        <v>35000</v>
      </c>
      <c r="J6" s="44" t="n">
        <f aca="true">IF($E6="","",IF(TODAY()&lt;$E6,0,MIN($G6,DATEDIF($E6,TODAY(),"m")+1)))</f>
        <v>6</v>
      </c>
      <c r="K6" s="45" t="n">
        <f aca="false">IF(OR($H6="",$J6=""),"",$H6*$J6)</f>
        <v>216000</v>
      </c>
      <c r="L6" s="45" t="n">
        <f aca="false">IF(OR($I6="",$K6=""),"",$I6-$K6)</f>
        <v>-181000</v>
      </c>
      <c r="M6" s="38" t="str">
        <f aca="true">IF($A6="","",IF(TODAY()&lt;$E6,"Upcoming",IF(TODAY()&gt;$F6,"Completed","Active")))</f>
        <v>Active</v>
      </c>
      <c r="N6" s="38"/>
    </row>
    <row r="7" customFormat="false" ht="15" hidden="false" customHeight="true" outlineLevel="0" collapsed="false">
      <c r="A7" s="35" t="s">
        <v>151</v>
      </c>
      <c r="B7" s="36" t="s">
        <v>101</v>
      </c>
      <c r="C7" s="36" t="s">
        <v>152</v>
      </c>
      <c r="D7" s="39" t="n">
        <v>300000</v>
      </c>
      <c r="E7" s="40" t="n">
        <v>46082</v>
      </c>
      <c r="F7" s="40" t="n">
        <v>46387</v>
      </c>
      <c r="G7" s="41" t="n">
        <f aca="false">IF(OR($E7="",$F7=""),"",DATEDIF($E7,$F7,"m")+1)</f>
        <v>10</v>
      </c>
      <c r="H7" s="42" t="n">
        <f aca="false">IF(OR($D7="",$G7="",$G7=0),"",$D7/$G7)</f>
        <v>30000</v>
      </c>
      <c r="I7" s="43" t="n">
        <f aca="false">IF($A7="","",SUMIFS(ContractPayments!$F$5:$F$64,ContractPayments!$B$5:$B$64,$A7))</f>
        <v>47000</v>
      </c>
      <c r="J7" s="41" t="n">
        <f aca="true">IF($E7="","",IF(TODAY()&lt;$E7,0,MIN($G7,DATEDIF($E7,TODAY(),"m")+1)))</f>
        <v>5</v>
      </c>
      <c r="K7" s="42" t="n">
        <f aca="false">IF(OR($H7="",$J7=""),"",$H7*$J7)</f>
        <v>150000</v>
      </c>
      <c r="L7" s="42" t="n">
        <f aca="false">IF(OR($I7="",$K7=""),"",$I7-$K7)</f>
        <v>-103000</v>
      </c>
      <c r="M7" s="36" t="str">
        <f aca="true">IF($A7="","",IF(TODAY()&lt;$E7,"Upcoming",IF(TODAY()&gt;$F7,"Completed","Active")))</f>
        <v>Active</v>
      </c>
      <c r="N7" s="36"/>
    </row>
    <row r="8" customFormat="false" ht="15" hidden="false" customHeight="true" outlineLevel="0" collapsed="false">
      <c r="A8" s="35" t="s">
        <v>151</v>
      </c>
      <c r="B8" s="36" t="s">
        <v>101</v>
      </c>
      <c r="C8" s="36" t="s">
        <v>153</v>
      </c>
      <c r="D8" s="39" t="n">
        <v>264000</v>
      </c>
      <c r="E8" s="40" t="n">
        <v>46082</v>
      </c>
      <c r="F8" s="40" t="n">
        <v>46387</v>
      </c>
      <c r="G8" s="41" t="n">
        <f aca="false">IF(OR($E8="",$F8=""),"",DATEDIF($E8,$F8,"m")+1)</f>
        <v>10</v>
      </c>
      <c r="H8" s="42" t="n">
        <f aca="false">IF(OR($D8="",$G8="",$G8=0),"",$D8/$G8)</f>
        <v>26400</v>
      </c>
      <c r="I8" s="43" t="n">
        <f aca="false">IF($A8="","",SUMIFS(ContractPayments!$F$5:$F$64,ContractPayments!$B$5:$B$64,$A8))</f>
        <v>47000</v>
      </c>
      <c r="J8" s="41" t="n">
        <f aca="true">IF($E8="","",IF(TODAY()&lt;$E8,0,MIN($G8,DATEDIF($E8,TODAY(),"m")+1)))</f>
        <v>5</v>
      </c>
      <c r="K8" s="42" t="n">
        <f aca="false">IF(OR($H8="",$J8=""),"",$H8*$J8)</f>
        <v>132000</v>
      </c>
      <c r="L8" s="42" t="n">
        <f aca="false">IF(OR($I8="",$K8=""),"",$I8-$K8)</f>
        <v>-85000</v>
      </c>
      <c r="M8" s="36" t="str">
        <f aca="true">IF($A8="","",IF(TODAY()&lt;$E8,"Upcoming",IF(TODAY()&gt;$F8,"Completed","Active")))</f>
        <v>Active</v>
      </c>
      <c r="N8" s="36" t="s">
        <v>154</v>
      </c>
    </row>
    <row r="9" customFormat="false" ht="15" hidden="false" customHeight="true" outlineLevel="0" collapsed="false">
      <c r="A9" s="36"/>
      <c r="B9" s="36"/>
      <c r="C9" s="36"/>
      <c r="D9" s="36"/>
      <c r="E9" s="36"/>
      <c r="F9" s="36"/>
      <c r="G9" s="41" t="str">
        <f aca="false">IF(OR($E9="",$F9=""),"",DATEDIF($E9,$F9,"m")+1)</f>
        <v/>
      </c>
      <c r="H9" s="42" t="str">
        <f aca="false">IF(OR($D9="",$G9="",$G9=0),"",$D9/$G9)</f>
        <v/>
      </c>
      <c r="I9" s="43" t="str">
        <f aca="false">IF($A9="","",SUMIFS(ContractPayments!$F$5:$F$64,ContractPayments!$B$5:$B$64,$A9))</f>
        <v/>
      </c>
      <c r="J9" s="41" t="str">
        <f aca="true">IF($E9="","",IF(TODAY()&lt;$E9,0,MIN($G9,DATEDIF($E9,TODAY(),"m")+1)))</f>
        <v/>
      </c>
      <c r="K9" s="42" t="str">
        <f aca="false">IF(OR($H9="",$J9=""),"",$H9*$J9)</f>
        <v/>
      </c>
      <c r="L9" s="42" t="str">
        <f aca="false">IF(OR($I9="",$K9=""),"",$I9-$K9)</f>
        <v/>
      </c>
      <c r="M9" s="36" t="str">
        <f aca="true">IF($A9="","",IF(TODAY()&lt;$E9,"Upcoming",IF(TODAY()&gt;$F9,"Completed","Active")))</f>
        <v/>
      </c>
      <c r="N9" s="36"/>
    </row>
    <row r="10" customFormat="false" ht="15" hidden="false" customHeight="true" outlineLevel="0" collapsed="false">
      <c r="A10" s="38"/>
      <c r="B10" s="38"/>
      <c r="C10" s="38"/>
      <c r="D10" s="38"/>
      <c r="E10" s="38"/>
      <c r="F10" s="38"/>
      <c r="G10" s="44" t="str">
        <f aca="false">IF(OR($E10="",$F10=""),"",DATEDIF($E10,$F10,"m")+1)</f>
        <v/>
      </c>
      <c r="H10" s="45" t="str">
        <f aca="false">IF(OR($D10="",$G10="",$G10=0),"",$D10/$G10)</f>
        <v/>
      </c>
      <c r="I10" s="46" t="str">
        <f aca="false">IF($A10="","",SUMIFS(ContractPayments!$F$5:$F$64,ContractPayments!$B$5:$B$64,$A10))</f>
        <v/>
      </c>
      <c r="J10" s="44" t="str">
        <f aca="true">IF($E10="","",IF(TODAY()&lt;$E10,0,MIN($G10,DATEDIF($E10,TODAY(),"m")+1)))</f>
        <v/>
      </c>
      <c r="K10" s="45" t="str">
        <f aca="false">IF(OR($H10="",$J10=""),"",$H10*$J10)</f>
        <v/>
      </c>
      <c r="L10" s="45" t="str">
        <f aca="false">IF(OR($I10="",$K10=""),"",$I10-$K10)</f>
        <v/>
      </c>
      <c r="M10" s="38" t="str">
        <f aca="true">IF($A10="","",IF(TODAY()&lt;$E10,"Upcoming",IF(TODAY()&gt;$F10,"Completed","Active")))</f>
        <v/>
      </c>
      <c r="N10" s="38"/>
    </row>
    <row r="11" customFormat="false" ht="15" hidden="false" customHeight="true" outlineLevel="0" collapsed="false">
      <c r="A11" s="36"/>
      <c r="B11" s="36"/>
      <c r="C11" s="36"/>
      <c r="D11" s="36"/>
      <c r="E11" s="36"/>
      <c r="F11" s="36"/>
      <c r="G11" s="41" t="str">
        <f aca="false">IF(OR($E11="",$F11=""),"",DATEDIF($E11,$F11,"m")+1)</f>
        <v/>
      </c>
      <c r="H11" s="42" t="str">
        <f aca="false">IF(OR($D11="",$G11="",$G11=0),"",$D11/$G11)</f>
        <v/>
      </c>
      <c r="I11" s="43" t="str">
        <f aca="false">IF($A11="","",SUMIFS(ContractPayments!$F$5:$F$64,ContractPayments!$B$5:$B$64,$A11))</f>
        <v/>
      </c>
      <c r="J11" s="41" t="str">
        <f aca="true">IF($E11="","",IF(TODAY()&lt;$E11,0,MIN($G11,DATEDIF($E11,TODAY(),"m")+1)))</f>
        <v/>
      </c>
      <c r="K11" s="42" t="str">
        <f aca="false">IF(OR($H11="",$J11=""),"",$H11*$J11)</f>
        <v/>
      </c>
      <c r="L11" s="42" t="str">
        <f aca="false">IF(OR($I11="",$K11=""),"",$I11-$K11)</f>
        <v/>
      </c>
      <c r="M11" s="36" t="str">
        <f aca="true">IF($A11="","",IF(TODAY()&lt;$E11,"Upcoming",IF(TODAY()&gt;$F11,"Completed","Active")))</f>
        <v/>
      </c>
      <c r="N11" s="36"/>
    </row>
    <row r="12" customFormat="false" ht="15" hidden="false" customHeight="true" outlineLevel="0" collapsed="false">
      <c r="A12" s="38"/>
      <c r="B12" s="38"/>
      <c r="C12" s="38"/>
      <c r="D12" s="38"/>
      <c r="E12" s="38"/>
      <c r="F12" s="38"/>
      <c r="G12" s="44" t="str">
        <f aca="false">IF(OR($E12="",$F12=""),"",DATEDIF($E12,$F12,"m")+1)</f>
        <v/>
      </c>
      <c r="H12" s="45" t="str">
        <f aca="false">IF(OR($D12="",$G12="",$G12=0),"",$D12/$G12)</f>
        <v/>
      </c>
      <c r="I12" s="46" t="str">
        <f aca="false">IF($A12="","",SUMIFS(ContractPayments!$F$5:$F$64,ContractPayments!$B$5:$B$64,$A12))</f>
        <v/>
      </c>
      <c r="J12" s="44" t="str">
        <f aca="true">IF($E12="","",IF(TODAY()&lt;$E12,0,MIN($G12,DATEDIF($E12,TODAY(),"m")+1)))</f>
        <v/>
      </c>
      <c r="K12" s="45" t="str">
        <f aca="false">IF(OR($H12="",$J12=""),"",$H12*$J12)</f>
        <v/>
      </c>
      <c r="L12" s="45" t="str">
        <f aca="false">IF(OR($I12="",$K12=""),"",$I12-$K12)</f>
        <v/>
      </c>
      <c r="M12" s="38" t="str">
        <f aca="true">IF($A12="","",IF(TODAY()&lt;$E12,"Upcoming",IF(TODAY()&gt;$F12,"Completed","Active")))</f>
        <v/>
      </c>
      <c r="N12" s="38"/>
    </row>
    <row r="13" customFormat="false" ht="15" hidden="false" customHeight="true" outlineLevel="0" collapsed="false">
      <c r="A13" s="36"/>
      <c r="B13" s="36"/>
      <c r="C13" s="36"/>
      <c r="D13" s="36"/>
      <c r="E13" s="36"/>
      <c r="F13" s="36"/>
      <c r="G13" s="41" t="str">
        <f aca="false">IF(OR($E13="",$F13=""),"",DATEDIF($E13,$F13,"m")+1)</f>
        <v/>
      </c>
      <c r="H13" s="42" t="str">
        <f aca="false">IF(OR($D13="",$G13="",$G13=0),"",$D13/$G13)</f>
        <v/>
      </c>
      <c r="I13" s="43" t="str">
        <f aca="false">IF($A13="","",SUMIFS(ContractPayments!$F$5:$F$64,ContractPayments!$B$5:$B$64,$A13))</f>
        <v/>
      </c>
      <c r="J13" s="41" t="str">
        <f aca="true">IF($E13="","",IF(TODAY()&lt;$E13,0,MIN($G13,DATEDIF($E13,TODAY(),"m")+1)))</f>
        <v/>
      </c>
      <c r="K13" s="42" t="str">
        <f aca="false">IF(OR($H13="",$J13=""),"",$H13*$J13)</f>
        <v/>
      </c>
      <c r="L13" s="42" t="str">
        <f aca="false">IF(OR($I13="",$K13=""),"",$I13-$K13)</f>
        <v/>
      </c>
      <c r="M13" s="36" t="str">
        <f aca="true">IF($A13="","",IF(TODAY()&lt;$E13,"Upcoming",IF(TODAY()&gt;$F13,"Completed","Active")))</f>
        <v/>
      </c>
      <c r="N13" s="36"/>
    </row>
    <row r="14" customFormat="false" ht="15" hidden="false" customHeight="true" outlineLevel="0" collapsed="false">
      <c r="A14" s="38"/>
      <c r="B14" s="38"/>
      <c r="C14" s="38"/>
      <c r="D14" s="38"/>
      <c r="E14" s="38"/>
      <c r="F14" s="38"/>
      <c r="G14" s="44" t="str">
        <f aca="false">IF(OR($E14="",$F14=""),"",DATEDIF($E14,$F14,"m")+1)</f>
        <v/>
      </c>
      <c r="H14" s="45" t="str">
        <f aca="false">IF(OR($D14="",$G14="",$G14=0),"",$D14/$G14)</f>
        <v/>
      </c>
      <c r="I14" s="46" t="str">
        <f aca="false">IF($A14="","",SUMIFS(ContractPayments!$F$5:$F$64,ContractPayments!$B$5:$B$64,$A14))</f>
        <v/>
      </c>
      <c r="J14" s="44" t="str">
        <f aca="true">IF($E14="","",IF(TODAY()&lt;$E14,0,MIN($G14,DATEDIF($E14,TODAY(),"m")+1)))</f>
        <v/>
      </c>
      <c r="K14" s="45" t="str">
        <f aca="false">IF(OR($H14="",$J14=""),"",$H14*$J14)</f>
        <v/>
      </c>
      <c r="L14" s="45" t="str">
        <f aca="false">IF(OR($I14="",$K14=""),"",$I14-$K14)</f>
        <v/>
      </c>
      <c r="M14" s="38" t="str">
        <f aca="true">IF($A14="","",IF(TODAY()&lt;$E14,"Upcoming",IF(TODAY()&gt;$F14,"Completed","Active")))</f>
        <v/>
      </c>
      <c r="N14" s="38"/>
    </row>
    <row r="15" customFormat="false" ht="15" hidden="false" customHeight="true" outlineLevel="0" collapsed="false">
      <c r="A15" s="36"/>
      <c r="B15" s="36"/>
      <c r="C15" s="36"/>
      <c r="D15" s="36"/>
      <c r="E15" s="36"/>
      <c r="F15" s="36"/>
      <c r="G15" s="41" t="str">
        <f aca="false">IF(OR($E15="",$F15=""),"",DATEDIF($E15,$F15,"m")+1)</f>
        <v/>
      </c>
      <c r="H15" s="42" t="str">
        <f aca="false">IF(OR($D15="",$G15="",$G15=0),"",$D15/$G15)</f>
        <v/>
      </c>
      <c r="I15" s="43" t="str">
        <f aca="false">IF($A15="","",SUMIFS(ContractPayments!$F$5:$F$64,ContractPayments!$B$5:$B$64,$A15))</f>
        <v/>
      </c>
      <c r="J15" s="41" t="str">
        <f aca="true">IF($E15="","",IF(TODAY()&lt;$E15,0,MIN($G15,DATEDIF($E15,TODAY(),"m")+1)))</f>
        <v/>
      </c>
      <c r="K15" s="42" t="str">
        <f aca="false">IF(OR($H15="",$J15=""),"",$H15*$J15)</f>
        <v/>
      </c>
      <c r="L15" s="42" t="str">
        <f aca="false">IF(OR($I15="",$K15=""),"",$I15-$K15)</f>
        <v/>
      </c>
      <c r="M15" s="36" t="str">
        <f aca="true">IF($A15="","",IF(TODAY()&lt;$E15,"Upcoming",IF(TODAY()&gt;$F15,"Completed","Active")))</f>
        <v/>
      </c>
      <c r="N15" s="36"/>
    </row>
    <row r="16" customFormat="false" ht="15" hidden="false" customHeight="true" outlineLevel="0" collapsed="false">
      <c r="A16" s="38"/>
      <c r="B16" s="38"/>
      <c r="C16" s="38"/>
      <c r="D16" s="38"/>
      <c r="E16" s="38"/>
      <c r="F16" s="38"/>
      <c r="G16" s="44" t="str">
        <f aca="false">IF(OR($E16="",$F16=""),"",DATEDIF($E16,$F16,"m")+1)</f>
        <v/>
      </c>
      <c r="H16" s="45" t="str">
        <f aca="false">IF(OR($D16="",$G16="",$G16=0),"",$D16/$G16)</f>
        <v/>
      </c>
      <c r="I16" s="46" t="str">
        <f aca="false">IF($A16="","",SUMIFS(ContractPayments!$F$5:$F$64,ContractPayments!$B$5:$B$64,$A16))</f>
        <v/>
      </c>
      <c r="J16" s="44" t="str">
        <f aca="true">IF($E16="","",IF(TODAY()&lt;$E16,0,MIN($G16,DATEDIF($E16,TODAY(),"m")+1)))</f>
        <v/>
      </c>
      <c r="K16" s="45" t="str">
        <f aca="false">IF(OR($H16="",$J16=""),"",$H16*$J16)</f>
        <v/>
      </c>
      <c r="L16" s="45" t="str">
        <f aca="false">IF(OR($I16="",$K16=""),"",$I16-$K16)</f>
        <v/>
      </c>
      <c r="M16" s="38" t="str">
        <f aca="true">IF($A16="","",IF(TODAY()&lt;$E16,"Upcoming",IF(TODAY()&gt;$F16,"Completed","Active")))</f>
        <v/>
      </c>
      <c r="N16" s="38"/>
    </row>
    <row r="17" customFormat="false" ht="15" hidden="false" customHeight="true" outlineLevel="0" collapsed="false">
      <c r="A17" s="36"/>
      <c r="B17" s="36"/>
      <c r="C17" s="36"/>
      <c r="D17" s="36"/>
      <c r="E17" s="36"/>
      <c r="F17" s="36"/>
      <c r="G17" s="41" t="str">
        <f aca="false">IF(OR($E17="",$F17=""),"",DATEDIF($E17,$F17,"m")+1)</f>
        <v/>
      </c>
      <c r="H17" s="42" t="str">
        <f aca="false">IF(OR($D17="",$G17="",$G17=0),"",$D17/$G17)</f>
        <v/>
      </c>
      <c r="I17" s="43" t="str">
        <f aca="false">IF($A17="","",SUMIFS(ContractPayments!$F$5:$F$64,ContractPayments!$B$5:$B$64,$A17))</f>
        <v/>
      </c>
      <c r="J17" s="41" t="str">
        <f aca="true">IF($E17="","",IF(TODAY()&lt;$E17,0,MIN($G17,DATEDIF($E17,TODAY(),"m")+1)))</f>
        <v/>
      </c>
      <c r="K17" s="42" t="str">
        <f aca="false">IF(OR($H17="",$J17=""),"",$H17*$J17)</f>
        <v/>
      </c>
      <c r="L17" s="42" t="str">
        <f aca="false">IF(OR($I17="",$K17=""),"",$I17-$K17)</f>
        <v/>
      </c>
      <c r="M17" s="36" t="str">
        <f aca="true">IF($A17="","",IF(TODAY()&lt;$E17,"Upcoming",IF(TODAY()&gt;$F17,"Completed","Active")))</f>
        <v/>
      </c>
      <c r="N17" s="36"/>
    </row>
    <row r="18" customFormat="false" ht="15" hidden="false" customHeight="true" outlineLevel="0" collapsed="false">
      <c r="A18" s="38"/>
      <c r="B18" s="38"/>
      <c r="C18" s="38"/>
      <c r="D18" s="38"/>
      <c r="E18" s="38"/>
      <c r="F18" s="38"/>
      <c r="G18" s="44" t="str">
        <f aca="false">IF(OR($E18="",$F18=""),"",DATEDIF($E18,$F18,"m")+1)</f>
        <v/>
      </c>
      <c r="H18" s="45" t="str">
        <f aca="false">IF(OR($D18="",$G18="",$G18=0),"",$D18/$G18)</f>
        <v/>
      </c>
      <c r="I18" s="46" t="str">
        <f aca="false">IF($A18="","",SUMIFS(ContractPayments!$F$5:$F$64,ContractPayments!$B$5:$B$64,$A18))</f>
        <v/>
      </c>
      <c r="J18" s="44" t="str">
        <f aca="true">IF($E18="","",IF(TODAY()&lt;$E18,0,MIN($G18,DATEDIF($E18,TODAY(),"m")+1)))</f>
        <v/>
      </c>
      <c r="K18" s="45" t="str">
        <f aca="false">IF(OR($H18="",$J18=""),"",$H18*$J18)</f>
        <v/>
      </c>
      <c r="L18" s="45" t="str">
        <f aca="false">IF(OR($I18="",$K18=""),"",$I18-$K18)</f>
        <v/>
      </c>
      <c r="M18" s="38" t="str">
        <f aca="true">IF($A18="","",IF(TODAY()&lt;$E18,"Upcoming",IF(TODAY()&gt;$F18,"Completed","Active")))</f>
        <v/>
      </c>
      <c r="N18" s="38"/>
    </row>
    <row r="19" customFormat="false" ht="15" hidden="false" customHeight="true" outlineLevel="0" collapsed="false">
      <c r="A19" s="36"/>
      <c r="B19" s="36"/>
      <c r="C19" s="36"/>
      <c r="D19" s="36"/>
      <c r="E19" s="36"/>
      <c r="F19" s="36"/>
      <c r="G19" s="41" t="str">
        <f aca="false">IF(OR($E19="",$F19=""),"",DATEDIF($E19,$F19,"m")+1)</f>
        <v/>
      </c>
      <c r="H19" s="42" t="str">
        <f aca="false">IF(OR($D19="",$G19="",$G19=0),"",$D19/$G19)</f>
        <v/>
      </c>
      <c r="I19" s="43" t="str">
        <f aca="false">IF($A19="","",SUMIFS(ContractPayments!$F$5:$F$64,ContractPayments!$B$5:$B$64,$A19))</f>
        <v/>
      </c>
      <c r="J19" s="41" t="str">
        <f aca="true">IF($E19="","",IF(TODAY()&lt;$E19,0,MIN($G19,DATEDIF($E19,TODAY(),"m")+1)))</f>
        <v/>
      </c>
      <c r="K19" s="42" t="str">
        <f aca="false">IF(OR($H19="",$J19=""),"",$H19*$J19)</f>
        <v/>
      </c>
      <c r="L19" s="42" t="str">
        <f aca="false">IF(OR($I19="",$K19=""),"",$I19-$K19)</f>
        <v/>
      </c>
      <c r="M19" s="36" t="str">
        <f aca="true">IF($A19="","",IF(TODAY()&lt;$E19,"Upcoming",IF(TODAY()&gt;$F19,"Completed","Active")))</f>
        <v/>
      </c>
      <c r="N19" s="36"/>
    </row>
    <row r="20" customFormat="false" ht="15" hidden="false" customHeight="true" outlineLevel="0" collapsed="false">
      <c r="A20" s="38"/>
      <c r="B20" s="38"/>
      <c r="C20" s="38"/>
      <c r="D20" s="38"/>
      <c r="E20" s="38"/>
      <c r="F20" s="38"/>
      <c r="G20" s="44" t="str">
        <f aca="false">IF(OR($E20="",$F20=""),"",DATEDIF($E20,$F20,"m")+1)</f>
        <v/>
      </c>
      <c r="H20" s="45" t="str">
        <f aca="false">IF(OR($D20="",$G20="",$G20=0),"",$D20/$G20)</f>
        <v/>
      </c>
      <c r="I20" s="46" t="str">
        <f aca="false">IF($A20="","",SUMIFS(ContractPayments!$F$5:$F$64,ContractPayments!$B$5:$B$64,$A20))</f>
        <v/>
      </c>
      <c r="J20" s="44" t="str">
        <f aca="true">IF($E20="","",IF(TODAY()&lt;$E20,0,MIN($G20,DATEDIF($E20,TODAY(),"m")+1)))</f>
        <v/>
      </c>
      <c r="K20" s="45" t="str">
        <f aca="false">IF(OR($H20="",$J20=""),"",$H20*$J20)</f>
        <v/>
      </c>
      <c r="L20" s="45" t="str">
        <f aca="false">IF(OR($I20="",$K20=""),"",$I20-$K20)</f>
        <v/>
      </c>
      <c r="M20" s="38" t="str">
        <f aca="true">IF($A20="","",IF(TODAY()&lt;$E20,"Upcoming",IF(TODAY()&gt;$F20,"Completed","Active")))</f>
        <v/>
      </c>
      <c r="N20" s="38"/>
    </row>
    <row r="21" customFormat="false" ht="15" hidden="false" customHeight="true" outlineLevel="0" collapsed="false">
      <c r="A21" s="36"/>
      <c r="B21" s="36"/>
      <c r="C21" s="36"/>
      <c r="D21" s="36"/>
      <c r="E21" s="36"/>
      <c r="F21" s="36"/>
      <c r="G21" s="41" t="str">
        <f aca="false">IF(OR($E21="",$F21=""),"",DATEDIF($E21,$F21,"m")+1)</f>
        <v/>
      </c>
      <c r="H21" s="42" t="str">
        <f aca="false">IF(OR($D21="",$G21="",$G21=0),"",$D21/$G21)</f>
        <v/>
      </c>
      <c r="I21" s="43" t="str">
        <f aca="false">IF($A21="","",SUMIFS(ContractPayments!$F$5:$F$64,ContractPayments!$B$5:$B$64,$A21))</f>
        <v/>
      </c>
      <c r="J21" s="41" t="str">
        <f aca="true">IF($E21="","",IF(TODAY()&lt;$E21,0,MIN($G21,DATEDIF($E21,TODAY(),"m")+1)))</f>
        <v/>
      </c>
      <c r="K21" s="42" t="str">
        <f aca="false">IF(OR($H21="",$J21=""),"",$H21*$J21)</f>
        <v/>
      </c>
      <c r="L21" s="42" t="str">
        <f aca="false">IF(OR($I21="",$K21=""),"",$I21-$K21)</f>
        <v/>
      </c>
      <c r="M21" s="36" t="str">
        <f aca="true">IF($A21="","",IF(TODAY()&lt;$E21,"Upcoming",IF(TODAY()&gt;$F21,"Completed","Active")))</f>
        <v/>
      </c>
      <c r="N21" s="36"/>
    </row>
    <row r="22" customFormat="false" ht="15" hidden="false" customHeight="true" outlineLevel="0" collapsed="false">
      <c r="A22" s="38"/>
      <c r="B22" s="38"/>
      <c r="C22" s="38"/>
      <c r="D22" s="38"/>
      <c r="E22" s="38"/>
      <c r="F22" s="38"/>
      <c r="G22" s="44" t="str">
        <f aca="false">IF(OR($E22="",$F22=""),"",DATEDIF($E22,$F22,"m")+1)</f>
        <v/>
      </c>
      <c r="H22" s="45" t="str">
        <f aca="false">IF(OR($D22="",$G22="",$G22=0),"",$D22/$G22)</f>
        <v/>
      </c>
      <c r="I22" s="46" t="str">
        <f aca="false">IF($A22="","",SUMIFS(ContractPayments!$F$5:$F$64,ContractPayments!$B$5:$B$64,$A22))</f>
        <v/>
      </c>
      <c r="J22" s="44" t="str">
        <f aca="true">IF($E22="","",IF(TODAY()&lt;$E22,0,MIN($G22,DATEDIF($E22,TODAY(),"m")+1)))</f>
        <v/>
      </c>
      <c r="K22" s="45" t="str">
        <f aca="false">IF(OR($H22="",$J22=""),"",$H22*$J22)</f>
        <v/>
      </c>
      <c r="L22" s="45" t="str">
        <f aca="false">IF(OR($I22="",$K22=""),"",$I22-$K22)</f>
        <v/>
      </c>
      <c r="M22" s="38" t="str">
        <f aca="true">IF($A22="","",IF(TODAY()&lt;$E22,"Upcoming",IF(TODAY()&gt;$F22,"Completed","Active")))</f>
        <v/>
      </c>
      <c r="N22" s="38"/>
    </row>
    <row r="23" customFormat="false" ht="15" hidden="false" customHeight="true" outlineLevel="0" collapsed="false">
      <c r="A23" s="36"/>
      <c r="B23" s="36"/>
      <c r="C23" s="36"/>
      <c r="D23" s="36"/>
      <c r="E23" s="36"/>
      <c r="F23" s="36"/>
      <c r="G23" s="41" t="str">
        <f aca="false">IF(OR($E23="",$F23=""),"",DATEDIF($E23,$F23,"m")+1)</f>
        <v/>
      </c>
      <c r="H23" s="42" t="str">
        <f aca="false">IF(OR($D23="",$G23="",$G23=0),"",$D23/$G23)</f>
        <v/>
      </c>
      <c r="I23" s="43" t="str">
        <f aca="false">IF($A23="","",SUMIFS(ContractPayments!$F$5:$F$64,ContractPayments!$B$5:$B$64,$A23))</f>
        <v/>
      </c>
      <c r="J23" s="41" t="str">
        <f aca="true">IF($E23="","",IF(TODAY()&lt;$E23,0,MIN($G23,DATEDIF($E23,TODAY(),"m")+1)))</f>
        <v/>
      </c>
      <c r="K23" s="42" t="str">
        <f aca="false">IF(OR($H23="",$J23=""),"",$H23*$J23)</f>
        <v/>
      </c>
      <c r="L23" s="42" t="str">
        <f aca="false">IF(OR($I23="",$K23=""),"",$I23-$K23)</f>
        <v/>
      </c>
      <c r="M23" s="36" t="str">
        <f aca="true">IF($A23="","",IF(TODAY()&lt;$E23,"Upcoming",IF(TODAY()&gt;$F23,"Completed","Active")))</f>
        <v/>
      </c>
      <c r="N23" s="36"/>
    </row>
    <row r="24" customFormat="false" ht="15" hidden="false" customHeight="true" outlineLevel="0" collapsed="false">
      <c r="A24" s="38"/>
      <c r="B24" s="38"/>
      <c r="C24" s="38"/>
      <c r="D24" s="38"/>
      <c r="E24" s="38"/>
      <c r="F24" s="38"/>
      <c r="G24" s="44" t="str">
        <f aca="false">IF(OR($E24="",$F24=""),"",DATEDIF($E24,$F24,"m")+1)</f>
        <v/>
      </c>
      <c r="H24" s="45" t="str">
        <f aca="false">IF(OR($D24="",$G24="",$G24=0),"",$D24/$G24)</f>
        <v/>
      </c>
      <c r="I24" s="46" t="str">
        <f aca="false">IF($A24="","",SUMIFS(ContractPayments!$F$5:$F$64,ContractPayments!$B$5:$B$64,$A24))</f>
        <v/>
      </c>
      <c r="J24" s="44" t="str">
        <f aca="true">IF($E24="","",IF(TODAY()&lt;$E24,0,MIN($G24,DATEDIF($E24,TODAY(),"m")+1)))</f>
        <v/>
      </c>
      <c r="K24" s="45" t="str">
        <f aca="false">IF(OR($H24="",$J24=""),"",$H24*$J24)</f>
        <v/>
      </c>
      <c r="L24" s="45" t="str">
        <f aca="false">IF(OR($I24="",$K24=""),"",$I24-$K24)</f>
        <v/>
      </c>
      <c r="M24" s="38" t="str">
        <f aca="true">IF($A24="","",IF(TODAY()&lt;$E24,"Upcoming",IF(TODAY()&gt;$F24,"Completed","Active")))</f>
        <v/>
      </c>
      <c r="N24" s="38"/>
    </row>
    <row r="25" customFormat="false" ht="15" hidden="false" customHeight="true" outlineLevel="0" collapsed="false">
      <c r="A25" s="36"/>
      <c r="B25" s="36"/>
      <c r="C25" s="36"/>
      <c r="D25" s="36"/>
      <c r="E25" s="36"/>
      <c r="F25" s="36"/>
      <c r="G25" s="41" t="str">
        <f aca="false">IF(OR($E25="",$F25=""),"",DATEDIF($E25,$F25,"m")+1)</f>
        <v/>
      </c>
      <c r="H25" s="42" t="str">
        <f aca="false">IF(OR($D25="",$G25="",$G25=0),"",$D25/$G25)</f>
        <v/>
      </c>
      <c r="I25" s="43" t="str">
        <f aca="false">IF($A25="","",SUMIFS(ContractPayments!$F$5:$F$64,ContractPayments!$B$5:$B$64,$A25))</f>
        <v/>
      </c>
      <c r="J25" s="41" t="str">
        <f aca="true">IF($E25="","",IF(TODAY()&lt;$E25,0,MIN($G25,DATEDIF($E25,TODAY(),"m")+1)))</f>
        <v/>
      </c>
      <c r="K25" s="42" t="str">
        <f aca="false">IF(OR($H25="",$J25=""),"",$H25*$J25)</f>
        <v/>
      </c>
      <c r="L25" s="42" t="str">
        <f aca="false">IF(OR($I25="",$K25=""),"",$I25-$K25)</f>
        <v/>
      </c>
      <c r="M25" s="36" t="str">
        <f aca="true">IF($A25="","",IF(TODAY()&lt;$E25,"Upcoming",IF(TODAY()&gt;$F25,"Completed","Active")))</f>
        <v/>
      </c>
      <c r="N25" s="36"/>
    </row>
    <row r="26" customFormat="false" ht="15" hidden="false" customHeight="true" outlineLevel="0" collapsed="false">
      <c r="A26" s="38"/>
      <c r="B26" s="38"/>
      <c r="C26" s="38"/>
      <c r="D26" s="38"/>
      <c r="E26" s="38"/>
      <c r="F26" s="38"/>
      <c r="G26" s="44" t="str">
        <f aca="false">IF(OR($E26="",$F26=""),"",DATEDIF($E26,$F26,"m")+1)</f>
        <v/>
      </c>
      <c r="H26" s="45" t="str">
        <f aca="false">IF(OR($D26="",$G26="",$G26=0),"",$D26/$G26)</f>
        <v/>
      </c>
      <c r="I26" s="46" t="str">
        <f aca="false">IF($A26="","",SUMIFS(ContractPayments!$F$5:$F$64,ContractPayments!$B$5:$B$64,$A26))</f>
        <v/>
      </c>
      <c r="J26" s="44" t="str">
        <f aca="true">IF($E26="","",IF(TODAY()&lt;$E26,0,MIN($G26,DATEDIF($E26,TODAY(),"m")+1)))</f>
        <v/>
      </c>
      <c r="K26" s="45" t="str">
        <f aca="false">IF(OR($H26="",$J26=""),"",$H26*$J26)</f>
        <v/>
      </c>
      <c r="L26" s="45" t="str">
        <f aca="false">IF(OR($I26="",$K26=""),"",$I26-$K26)</f>
        <v/>
      </c>
      <c r="M26" s="38" t="str">
        <f aca="true">IF($A26="","",IF(TODAY()&lt;$E26,"Upcoming",IF(TODAY()&gt;$F26,"Completed","Active")))</f>
        <v/>
      </c>
      <c r="N26" s="38"/>
    </row>
    <row r="27" customFormat="false" ht="15" hidden="false" customHeight="true" outlineLevel="0" collapsed="false">
      <c r="A27" s="36"/>
      <c r="B27" s="36"/>
      <c r="C27" s="36"/>
      <c r="D27" s="36"/>
      <c r="E27" s="36"/>
      <c r="F27" s="36"/>
      <c r="G27" s="41" t="str">
        <f aca="false">IF(OR($E27="",$F27=""),"",DATEDIF($E27,$F27,"m")+1)</f>
        <v/>
      </c>
      <c r="H27" s="42" t="str">
        <f aca="false">IF(OR($D27="",$G27="",$G27=0),"",$D27/$G27)</f>
        <v/>
      </c>
      <c r="I27" s="43" t="str">
        <f aca="false">IF($A27="","",SUMIFS(ContractPayments!$F$5:$F$64,ContractPayments!$B$5:$B$64,$A27))</f>
        <v/>
      </c>
      <c r="J27" s="41" t="str">
        <f aca="true">IF($E27="","",IF(TODAY()&lt;$E27,0,MIN($G27,DATEDIF($E27,TODAY(),"m")+1)))</f>
        <v/>
      </c>
      <c r="K27" s="42" t="str">
        <f aca="false">IF(OR($H27="",$J27=""),"",$H27*$J27)</f>
        <v/>
      </c>
      <c r="L27" s="42" t="str">
        <f aca="false">IF(OR($I27="",$K27=""),"",$I27-$K27)</f>
        <v/>
      </c>
      <c r="M27" s="36" t="str">
        <f aca="true">IF($A27="","",IF(TODAY()&lt;$E27,"Upcoming",IF(TODAY()&gt;$F27,"Completed","Active")))</f>
        <v/>
      </c>
      <c r="N27" s="36"/>
    </row>
    <row r="28" customFormat="false" ht="15" hidden="false" customHeight="true" outlineLevel="0" collapsed="false">
      <c r="A28" s="38"/>
      <c r="B28" s="38"/>
      <c r="C28" s="38"/>
      <c r="D28" s="38"/>
      <c r="E28" s="38"/>
      <c r="F28" s="38"/>
      <c r="G28" s="44" t="str">
        <f aca="false">IF(OR($E28="",$F28=""),"",DATEDIF($E28,$F28,"m")+1)</f>
        <v/>
      </c>
      <c r="H28" s="45" t="str">
        <f aca="false">IF(OR($D28="",$G28="",$G28=0),"",$D28/$G28)</f>
        <v/>
      </c>
      <c r="I28" s="46" t="str">
        <f aca="false">IF($A28="","",SUMIFS(ContractPayments!$F$5:$F$64,ContractPayments!$B$5:$B$64,$A28))</f>
        <v/>
      </c>
      <c r="J28" s="44" t="str">
        <f aca="true">IF($E28="","",IF(TODAY()&lt;$E28,0,MIN($G28,DATEDIF($E28,TODAY(),"m")+1)))</f>
        <v/>
      </c>
      <c r="K28" s="45" t="str">
        <f aca="false">IF(OR($H28="",$J28=""),"",$H28*$J28)</f>
        <v/>
      </c>
      <c r="L28" s="45" t="str">
        <f aca="false">IF(OR($I28="",$K28=""),"",$I28-$K28)</f>
        <v/>
      </c>
      <c r="M28" s="38" t="str">
        <f aca="true">IF($A28="","",IF(TODAY()&lt;$E28,"Upcoming",IF(TODAY()&gt;$F28,"Completed","Active")))</f>
        <v/>
      </c>
      <c r="N28" s="38"/>
    </row>
    <row r="29" customFormat="false" ht="15" hidden="false" customHeight="true" outlineLevel="0" collapsed="false">
      <c r="A29" s="36"/>
      <c r="B29" s="36"/>
      <c r="C29" s="36"/>
      <c r="D29" s="36"/>
      <c r="E29" s="36"/>
      <c r="F29" s="36"/>
      <c r="G29" s="41" t="str">
        <f aca="false">IF(OR($E29="",$F29=""),"",DATEDIF($E29,$F29,"m")+1)</f>
        <v/>
      </c>
      <c r="H29" s="42" t="str">
        <f aca="false">IF(OR($D29="",$G29="",$G29=0),"",$D29/$G29)</f>
        <v/>
      </c>
      <c r="I29" s="43" t="str">
        <f aca="false">IF($A29="","",SUMIFS(ContractPayments!$F$5:$F$64,ContractPayments!$B$5:$B$64,$A29))</f>
        <v/>
      </c>
      <c r="J29" s="41" t="str">
        <f aca="true">IF($E29="","",IF(TODAY()&lt;$E29,0,MIN($G29,DATEDIF($E29,TODAY(),"m")+1)))</f>
        <v/>
      </c>
      <c r="K29" s="42" t="str">
        <f aca="false">IF(OR($H29="",$J29=""),"",$H29*$J29)</f>
        <v/>
      </c>
      <c r="L29" s="42" t="str">
        <f aca="false">IF(OR($I29="",$K29=""),"",$I29-$K29)</f>
        <v/>
      </c>
      <c r="M29" s="36" t="str">
        <f aca="true">IF($A29="","",IF(TODAY()&lt;$E29,"Upcoming",IF(TODAY()&gt;$F29,"Completed","Active")))</f>
        <v/>
      </c>
      <c r="N29" s="36"/>
    </row>
    <row r="30" customFormat="false" ht="15" hidden="false" customHeight="true" outlineLevel="0" collapsed="false">
      <c r="A30" s="38"/>
      <c r="B30" s="38"/>
      <c r="C30" s="38"/>
      <c r="D30" s="38"/>
      <c r="E30" s="38"/>
      <c r="F30" s="38"/>
      <c r="G30" s="44" t="str">
        <f aca="false">IF(OR($E30="",$F30=""),"",DATEDIF($E30,$F30,"m")+1)</f>
        <v/>
      </c>
      <c r="H30" s="45" t="str">
        <f aca="false">IF(OR($D30="",$G30="",$G30=0),"",$D30/$G30)</f>
        <v/>
      </c>
      <c r="I30" s="46" t="str">
        <f aca="false">IF($A30="","",SUMIFS(ContractPayments!$F$5:$F$64,ContractPayments!$B$5:$B$64,$A30))</f>
        <v/>
      </c>
      <c r="J30" s="44" t="str">
        <f aca="true">IF($E30="","",IF(TODAY()&lt;$E30,0,MIN($G30,DATEDIF($E30,TODAY(),"m")+1)))</f>
        <v/>
      </c>
      <c r="K30" s="45" t="str">
        <f aca="false">IF(OR($H30="",$J30=""),"",$H30*$J30)</f>
        <v/>
      </c>
      <c r="L30" s="45" t="str">
        <f aca="false">IF(OR($I30="",$K30=""),"",$I30-$K30)</f>
        <v/>
      </c>
      <c r="M30" s="38" t="str">
        <f aca="true">IF($A30="","",IF(TODAY()&lt;$E30,"Upcoming",IF(TODAY()&gt;$F30,"Completed","Active")))</f>
        <v/>
      </c>
      <c r="N30" s="38"/>
    </row>
    <row r="31" customFormat="false" ht="15" hidden="false" customHeight="true" outlineLevel="0" collapsed="false">
      <c r="A31" s="36"/>
      <c r="B31" s="36"/>
      <c r="C31" s="36"/>
      <c r="D31" s="36"/>
      <c r="E31" s="36"/>
      <c r="F31" s="36"/>
      <c r="G31" s="41" t="str">
        <f aca="false">IF(OR($E31="",$F31=""),"",DATEDIF($E31,$F31,"m")+1)</f>
        <v/>
      </c>
      <c r="H31" s="42" t="str">
        <f aca="false">IF(OR($D31="",$G31="",$G31=0),"",$D31/$G31)</f>
        <v/>
      </c>
      <c r="I31" s="43" t="str">
        <f aca="false">IF($A31="","",SUMIFS(ContractPayments!$F$5:$F$64,ContractPayments!$B$5:$B$64,$A31))</f>
        <v/>
      </c>
      <c r="J31" s="41" t="str">
        <f aca="true">IF($E31="","",IF(TODAY()&lt;$E31,0,MIN($G31,DATEDIF($E31,TODAY(),"m")+1)))</f>
        <v/>
      </c>
      <c r="K31" s="42" t="str">
        <f aca="false">IF(OR($H31="",$J31=""),"",$H31*$J31)</f>
        <v/>
      </c>
      <c r="L31" s="42" t="str">
        <f aca="false">IF(OR($I31="",$K31=""),"",$I31-$K31)</f>
        <v/>
      </c>
      <c r="M31" s="36" t="str">
        <f aca="true">IF($A31="","",IF(TODAY()&lt;$E31,"Upcoming",IF(TODAY()&gt;$F31,"Completed","Active")))</f>
        <v/>
      </c>
      <c r="N31" s="36"/>
    </row>
    <row r="32" customFormat="false" ht="15" hidden="false" customHeight="true" outlineLevel="0" collapsed="false">
      <c r="A32" s="38"/>
      <c r="B32" s="38"/>
      <c r="C32" s="38"/>
      <c r="D32" s="38"/>
      <c r="E32" s="38"/>
      <c r="F32" s="38"/>
      <c r="G32" s="44" t="str">
        <f aca="false">IF(OR($E32="",$F32=""),"",DATEDIF($E32,$F32,"m")+1)</f>
        <v/>
      </c>
      <c r="H32" s="45" t="str">
        <f aca="false">IF(OR($D32="",$G32="",$G32=0),"",$D32/$G32)</f>
        <v/>
      </c>
      <c r="I32" s="46" t="str">
        <f aca="false">IF($A32="","",SUMIFS(ContractPayments!$F$5:$F$64,ContractPayments!$B$5:$B$64,$A32))</f>
        <v/>
      </c>
      <c r="J32" s="44" t="str">
        <f aca="true">IF($E32="","",IF(TODAY()&lt;$E32,0,MIN($G32,DATEDIF($E32,TODAY(),"m")+1)))</f>
        <v/>
      </c>
      <c r="K32" s="45" t="str">
        <f aca="false">IF(OR($H32="",$J32=""),"",$H32*$J32)</f>
        <v/>
      </c>
      <c r="L32" s="45" t="str">
        <f aca="false">IF(OR($I32="",$K32=""),"",$I32-$K32)</f>
        <v/>
      </c>
      <c r="M32" s="38" t="str">
        <f aca="true">IF($A32="","",IF(TODAY()&lt;$E32,"Upcoming",IF(TODAY()&gt;$F32,"Completed","Active")))</f>
        <v/>
      </c>
      <c r="N32" s="38"/>
    </row>
    <row r="33" customFormat="false" ht="15" hidden="false" customHeight="true" outlineLevel="0" collapsed="false">
      <c r="A33" s="36"/>
      <c r="B33" s="36"/>
      <c r="C33" s="36"/>
      <c r="D33" s="36"/>
      <c r="E33" s="36"/>
      <c r="F33" s="36"/>
      <c r="G33" s="41" t="str">
        <f aca="false">IF(OR($E33="",$F33=""),"",DATEDIF($E33,$F33,"m")+1)</f>
        <v/>
      </c>
      <c r="H33" s="42" t="str">
        <f aca="false">IF(OR($D33="",$G33="",$G33=0),"",$D33/$G33)</f>
        <v/>
      </c>
      <c r="I33" s="43" t="str">
        <f aca="false">IF($A33="","",SUMIFS(ContractPayments!$F$5:$F$64,ContractPayments!$B$5:$B$64,$A33))</f>
        <v/>
      </c>
      <c r="J33" s="41" t="str">
        <f aca="true">IF($E33="","",IF(TODAY()&lt;$E33,0,MIN($G33,DATEDIF($E33,TODAY(),"m")+1)))</f>
        <v/>
      </c>
      <c r="K33" s="42" t="str">
        <f aca="false">IF(OR($H33="",$J33=""),"",$H33*$J33)</f>
        <v/>
      </c>
      <c r="L33" s="42" t="str">
        <f aca="false">IF(OR($I33="",$K33=""),"",$I33-$K33)</f>
        <v/>
      </c>
      <c r="M33" s="36" t="str">
        <f aca="true">IF($A33="","",IF(TODAY()&lt;$E33,"Upcoming",IF(TODAY()&gt;$F33,"Completed","Active")))</f>
        <v/>
      </c>
      <c r="N33" s="36"/>
    </row>
    <row r="34" customFormat="false" ht="15" hidden="false" customHeight="true" outlineLevel="0" collapsed="false">
      <c r="A34" s="38"/>
      <c r="B34" s="38"/>
      <c r="C34" s="38"/>
      <c r="D34" s="38"/>
      <c r="E34" s="38"/>
      <c r="F34" s="38"/>
      <c r="G34" s="44" t="str">
        <f aca="false">IF(OR($E34="",$F34=""),"",DATEDIF($E34,$F34,"m")+1)</f>
        <v/>
      </c>
      <c r="H34" s="45" t="str">
        <f aca="false">IF(OR($D34="",$G34="",$G34=0),"",$D34/$G34)</f>
        <v/>
      </c>
      <c r="I34" s="46" t="str">
        <f aca="false">IF($A34="","",SUMIFS(ContractPayments!$F$5:$F$64,ContractPayments!$B$5:$B$64,$A34))</f>
        <v/>
      </c>
      <c r="J34" s="44" t="str">
        <f aca="true">IF($E34="","",IF(TODAY()&lt;$E34,0,MIN($G34,DATEDIF($E34,TODAY(),"m")+1)))</f>
        <v/>
      </c>
      <c r="K34" s="45" t="str">
        <f aca="false">IF(OR($H34="",$J34=""),"",$H34*$J34)</f>
        <v/>
      </c>
      <c r="L34" s="45" t="str">
        <f aca="false">IF(OR($I34="",$K34=""),"",$I34-$K34)</f>
        <v/>
      </c>
      <c r="M34" s="38" t="str">
        <f aca="true">IF($A34="","",IF(TODAY()&lt;$E34,"Upcoming",IF(TODAY()&gt;$F34,"Completed","Active")))</f>
        <v/>
      </c>
      <c r="N34" s="38"/>
    </row>
  </sheetData>
  <mergeCells count="2">
    <mergeCell ref="A1:N1"/>
    <mergeCell ref="A2:N2"/>
  </mergeCells>
  <conditionalFormatting sqref="L5:L34">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dataValidations count="1">
    <dataValidation allowBlank="true" error="Pick from the list" errorStyle="stop" errorTitle="Invalid entry" operator="between" showDropDown="false" showErrorMessage="false" showInputMessage="false" sqref="B5:B34" type="list">
      <formula1>ClientList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3" min="3" style="1" width="15"/>
    <col collapsed="false" customWidth="true" hidden="false" outlineLevel="0" max="5" min="4" style="1" width="11"/>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4"/>
    <col collapsed="false" customWidth="true" hidden="false" outlineLevel="0" max="10" min="10" style="1" width="9"/>
    <col collapsed="false" customWidth="true" hidden="false" outlineLevel="0" max="11" min="11" style="1" width="11"/>
    <col collapsed="false" customWidth="true" hidden="false" outlineLevel="0" max="12" min="12" style="1" width="9"/>
    <col collapsed="false" customWidth="true" hidden="false" outlineLevel="0" max="13" min="13" style="1" width="13"/>
    <col collapsed="false" customWidth="true" hidden="false" outlineLevel="0" max="14" min="14" style="1" width="12"/>
    <col collapsed="false" customWidth="true" hidden="false" outlineLevel="0" max="15" min="15" style="1" width="10"/>
    <col collapsed="false" customWidth="true" hidden="false" outlineLevel="0" max="16" min="16" style="1" width="13"/>
    <col collapsed="false" customWidth="true" hidden="false" outlineLevel="0" max="17" min="17" style="1" width="9"/>
    <col collapsed="false" customWidth="true" hidden="false" outlineLevel="0" max="18" min="18" style="1" width="12"/>
    <col collapsed="false" customWidth="true" hidden="false" outlineLevel="0" max="20" min="19" style="1" width="14"/>
    <col collapsed="false" customWidth="true" hidden="false" outlineLevel="0" max="21" min="21" style="1" width="12"/>
    <col collapsed="false" customWidth="true" hidden="false" outlineLevel="0" max="23" min="22" style="1" width="13"/>
    <col collapsed="false" customWidth="true" hidden="false" outlineLevel="0" max="24" min="24" style="1" width="15"/>
    <col collapsed="false" customWidth="true" hidden="false" outlineLevel="0" max="25" min="25" style="1" width="12"/>
    <col collapsed="false" customWidth="true" hidden="false" outlineLevel="0" max="26" min="26" style="1" width="15"/>
    <col collapsed="false" customWidth="true" hidden="false" outlineLevel="0" max="27" min="27" style="1" width="9"/>
    <col collapsed="false" customWidth="true" hidden="false" outlineLevel="0" max="28" min="28" style="1" width="16"/>
    <col collapsed="false" customWidth="true" hidden="false" outlineLevel="0" max="29" min="29" style="1" width="22"/>
  </cols>
  <sheetData>
    <row r="1" customFormat="false" ht="27.75" hidden="false" customHeight="true" outlineLevel="0" collapsed="false">
      <c r="A1" s="17" t="s">
        <v>155</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customFormat="false" ht="15.75" hidden="false" customHeight="true" outlineLevel="0" collapsed="false">
      <c r="A2" s="18" t="s">
        <v>156</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row>
    <row r="4" customFormat="false" ht="30" hidden="false" customHeight="true" outlineLevel="0" collapsed="false">
      <c r="A4" s="20" t="s">
        <v>157</v>
      </c>
      <c r="B4" s="20" t="s">
        <v>158</v>
      </c>
      <c r="C4" s="20" t="s">
        <v>135</v>
      </c>
      <c r="D4" s="20" t="s">
        <v>159</v>
      </c>
      <c r="E4" s="20" t="s">
        <v>160</v>
      </c>
      <c r="F4" s="20" t="s">
        <v>161</v>
      </c>
      <c r="G4" s="20" t="s">
        <v>162</v>
      </c>
      <c r="H4" s="20" t="s">
        <v>163</v>
      </c>
      <c r="I4" s="20" t="s">
        <v>164</v>
      </c>
      <c r="J4" s="20" t="s">
        <v>165</v>
      </c>
      <c r="K4" s="20" t="s">
        <v>166</v>
      </c>
      <c r="L4" s="20" t="s">
        <v>167</v>
      </c>
      <c r="M4" s="20" t="s">
        <v>168</v>
      </c>
      <c r="N4" s="20" t="s">
        <v>169</v>
      </c>
      <c r="O4" s="20" t="s">
        <v>170</v>
      </c>
      <c r="P4" s="20" t="s">
        <v>171</v>
      </c>
      <c r="Q4" s="20" t="s">
        <v>172</v>
      </c>
      <c r="R4" s="20" t="s">
        <v>173</v>
      </c>
      <c r="S4" s="20" t="s">
        <v>174</v>
      </c>
      <c r="T4" s="20" t="s">
        <v>175</v>
      </c>
      <c r="U4" s="20" t="s">
        <v>176</v>
      </c>
      <c r="V4" s="20" t="s">
        <v>177</v>
      </c>
      <c r="W4" s="20" t="s">
        <v>178</v>
      </c>
      <c r="X4" s="20" t="s">
        <v>179</v>
      </c>
      <c r="Y4" s="20" t="s">
        <v>180</v>
      </c>
      <c r="Z4" s="20" t="s">
        <v>181</v>
      </c>
      <c r="AA4" s="20" t="s">
        <v>182</v>
      </c>
      <c r="AB4" s="20" t="s">
        <v>183</v>
      </c>
      <c r="AC4" s="20" t="s">
        <v>33</v>
      </c>
    </row>
    <row r="5" customFormat="false" ht="15" hidden="false" customHeight="true" outlineLevel="0" collapsed="false">
      <c r="A5" s="35" t="s">
        <v>184</v>
      </c>
      <c r="B5" s="36" t="s">
        <v>185</v>
      </c>
      <c r="C5" s="36" t="s">
        <v>93</v>
      </c>
      <c r="D5" s="40" t="n">
        <v>46147</v>
      </c>
      <c r="E5" s="40" t="n">
        <v>46188</v>
      </c>
      <c r="F5" s="39" t="n">
        <v>18000</v>
      </c>
      <c r="G5" s="47" t="n">
        <f aca="false">IF($F5="","",$F5*VATRate)</f>
        <v>2790</v>
      </c>
      <c r="H5" s="47" t="n">
        <f aca="false">IF($F5="","",$F5+$G5)</f>
        <v>20790</v>
      </c>
      <c r="I5" s="48" t="n">
        <f aca="false">IF($A5="","",SUMIFS(OrderExpenses!$G$5:$G$84,OrderExpenses!$B$5:$B$84,$A5))</f>
        <v>8300</v>
      </c>
      <c r="J5" s="36" t="s">
        <v>59</v>
      </c>
      <c r="K5" s="40" t="n">
        <v>46174</v>
      </c>
      <c r="L5" s="36" t="s">
        <v>63</v>
      </c>
      <c r="M5" s="49" t="n">
        <v>10000</v>
      </c>
      <c r="N5" s="50" t="n">
        <v>120000</v>
      </c>
      <c r="O5" s="51" t="n">
        <f aca="false">OffRate</f>
        <v>26.5</v>
      </c>
      <c r="P5" s="47" t="n">
        <f aca="false">IF($N5="","",$N5/$O5)</f>
        <v>4528.30188679245</v>
      </c>
      <c r="Q5" s="51" t="n">
        <f aca="false">StreetRate</f>
        <v>33</v>
      </c>
      <c r="R5" s="47" t="n">
        <f aca="false">IF($N5="","",$N5/$Q5)</f>
        <v>3636.36363636364</v>
      </c>
      <c r="S5" s="47" t="n">
        <f aca="false">IF($A5="","",IF($M5="",0,$M5)+IF($N5="",0,$N5/$O5))</f>
        <v>14528.3018867925</v>
      </c>
      <c r="T5" s="47" t="n">
        <f aca="false">IF($A5="","",IF($M5="",0,$M5)+IF($N5="",0,$N5/$Q5))</f>
        <v>13636.3636363636</v>
      </c>
      <c r="U5" s="47" t="n">
        <f aca="false">IF($A5="","",$H5-$S5)</f>
        <v>6261.69811320755</v>
      </c>
      <c r="V5" s="49" t="n">
        <v>0</v>
      </c>
      <c r="W5" s="36" t="str">
        <f aca="false">IF($A5="","",IF($S5&gt;=$H5-0.01,"Paid",IF($S5&gt;0,"Partially Paid","Unpaid")))</f>
        <v>Partially Paid</v>
      </c>
      <c r="X5" s="47" t="n">
        <f aca="false">IF($A5="","",$F5-$I5)</f>
        <v>9700</v>
      </c>
      <c r="Y5" s="48" t="n">
        <f aca="false">IF($A5="","",SUMIFS(Loans!$H$5:$H$44,Loans!$B$5:$B$44,$A5))</f>
        <v>2750</v>
      </c>
      <c r="Z5" s="47" t="n">
        <f aca="false">IF($A5="","",$X5-$Y5)</f>
        <v>6950</v>
      </c>
      <c r="AA5" s="52" t="n">
        <f aca="false">IF(OR($A5="",$F5=0),"",$X5/$F5)</f>
        <v>0.538888888888889</v>
      </c>
      <c r="AB5" s="53" t="str">
        <f aca="true">IF($A5="","",IF($S5&gt;=$H5-0.01,"Paid",IF(AND($S5&gt;0,$J5&lt;&gt;"Yes"),"Advance Paid",IF($J5="Yes",IF(AND($E5&lt;&gt;"",TODAY()&gt;$E5),"Overdue Payment","Awaiting Payment"),IF(AND($E5&lt;&gt;"",TODAY()&gt;$E5),"Overdue Service","Open")))))</f>
        <v>Overdue Payment</v>
      </c>
      <c r="AC5" s="36"/>
    </row>
    <row r="6" customFormat="false" ht="15" hidden="false" customHeight="true" outlineLevel="0" collapsed="false">
      <c r="A6" s="37" t="s">
        <v>186</v>
      </c>
      <c r="B6" s="38" t="s">
        <v>187</v>
      </c>
      <c r="C6" s="38" t="s">
        <v>101</v>
      </c>
      <c r="D6" s="40" t="n">
        <v>46162</v>
      </c>
      <c r="E6" s="40" t="n">
        <v>46203</v>
      </c>
      <c r="F6" s="39" t="n">
        <v>9500</v>
      </c>
      <c r="G6" s="54" t="n">
        <f aca="false">IF($F6="","",$F6*VATRate)</f>
        <v>1472.5</v>
      </c>
      <c r="H6" s="54" t="n">
        <f aca="false">IF($F6="","",$F6+$G6)</f>
        <v>10972.5</v>
      </c>
      <c r="I6" s="55" t="n">
        <f aca="false">IF($A6="","",SUMIFS(OrderExpenses!$G$5:$G$84,OrderExpenses!$B$5:$B$84,$A6))</f>
        <v>3200</v>
      </c>
      <c r="J6" s="38" t="s">
        <v>59</v>
      </c>
      <c r="K6" s="40" t="n">
        <v>46183</v>
      </c>
      <c r="L6" s="38" t="s">
        <v>63</v>
      </c>
      <c r="M6" s="49" t="n">
        <v>0</v>
      </c>
      <c r="N6" s="50" t="n">
        <v>0</v>
      </c>
      <c r="O6" s="51" t="n">
        <f aca="false">OffRate</f>
        <v>26.5</v>
      </c>
      <c r="P6" s="54" t="n">
        <f aca="false">IF($N6="","",$N6/$O6)</f>
        <v>0</v>
      </c>
      <c r="Q6" s="51" t="n">
        <f aca="false">StreetRate</f>
        <v>33</v>
      </c>
      <c r="R6" s="54" t="n">
        <f aca="false">IF($N6="","",$N6/$Q6)</f>
        <v>0</v>
      </c>
      <c r="S6" s="54" t="n">
        <f aca="false">IF($A6="","",IF($M6="",0,$M6)+IF($N6="",0,$N6/$O6))</f>
        <v>0</v>
      </c>
      <c r="T6" s="54" t="n">
        <f aca="false">IF($A6="","",IF($M6="",0,$M6)+IF($N6="",0,$N6/$Q6))</f>
        <v>0</v>
      </c>
      <c r="U6" s="54" t="n">
        <f aca="false">IF($A6="","",$H6-$S6)</f>
        <v>10972.5</v>
      </c>
      <c r="V6" s="49" t="n">
        <v>0</v>
      </c>
      <c r="W6" s="38" t="str">
        <f aca="false">IF($A6="","",IF($S6&gt;=$H6-0.01,"Paid",IF($S6&gt;0,"Partially Paid","Unpaid")))</f>
        <v>Unpaid</v>
      </c>
      <c r="X6" s="54" t="n">
        <f aca="false">IF($A6="","",$F6-$I6)</f>
        <v>6300</v>
      </c>
      <c r="Y6" s="55" t="n">
        <f aca="false">IF($A6="","",SUMIFS(Loans!$H$5:$H$44,Loans!$B$5:$B$44,$A6))</f>
        <v>1350</v>
      </c>
      <c r="Z6" s="54" t="n">
        <f aca="false">IF($A6="","",$X6-$Y6)</f>
        <v>4950</v>
      </c>
      <c r="AA6" s="56" t="n">
        <f aca="false">IF(OR($A6="",$F6=0),"",$X6/$F6)</f>
        <v>0.663157894736842</v>
      </c>
      <c r="AB6" s="57" t="str">
        <f aca="true">IF($A6="","",IF($S6&gt;=$H6-0.01,"Paid",IF(AND($S6&gt;0,$J6&lt;&gt;"Yes"),"Advance Paid",IF($J6="Yes",IF(AND($E6&lt;&gt;"",TODAY()&gt;$E6),"Overdue Payment","Awaiting Payment"),IF(AND($E6&lt;&gt;"",TODAY()&gt;$E6),"Overdue Service","Open")))))</f>
        <v>Overdue Payment</v>
      </c>
      <c r="AC6" s="38"/>
    </row>
    <row r="7" customFormat="false" ht="15" hidden="false" customHeight="true" outlineLevel="0" collapsed="false">
      <c r="A7" s="35" t="s">
        <v>188</v>
      </c>
      <c r="B7" s="36" t="s">
        <v>189</v>
      </c>
      <c r="C7" s="36" t="s">
        <v>109</v>
      </c>
      <c r="D7" s="40" t="n">
        <v>46175</v>
      </c>
      <c r="E7" s="40" t="n">
        <v>46198</v>
      </c>
      <c r="F7" s="39" t="n">
        <v>6200</v>
      </c>
      <c r="G7" s="47" t="n">
        <f aca="false">IF($F7="","",$F7*VATRate)</f>
        <v>961</v>
      </c>
      <c r="H7" s="47" t="n">
        <f aca="false">IF($F7="","",$F7+$G7)</f>
        <v>7161</v>
      </c>
      <c r="I7" s="48" t="n">
        <f aca="false">IF($A7="","",SUMIFS(OrderExpenses!$G$5:$G$84,OrderExpenses!$B$5:$B$84,$A7))</f>
        <v>1500</v>
      </c>
      <c r="J7" s="36" t="s">
        <v>63</v>
      </c>
      <c r="K7" s="36"/>
      <c r="L7" s="36" t="s">
        <v>59</v>
      </c>
      <c r="M7" s="49" t="n">
        <v>3000</v>
      </c>
      <c r="N7" s="50" t="n">
        <v>0</v>
      </c>
      <c r="O7" s="51" t="n">
        <f aca="false">OffRate</f>
        <v>26.5</v>
      </c>
      <c r="P7" s="47" t="n">
        <f aca="false">IF($N7="","",$N7/$O7)</f>
        <v>0</v>
      </c>
      <c r="Q7" s="51" t="n">
        <f aca="false">StreetRate</f>
        <v>33</v>
      </c>
      <c r="R7" s="47" t="n">
        <f aca="false">IF($N7="","",$N7/$Q7)</f>
        <v>0</v>
      </c>
      <c r="S7" s="47" t="n">
        <f aca="false">IF($A7="","",IF($M7="",0,$M7)+IF($N7="",0,$N7/$O7))</f>
        <v>3000</v>
      </c>
      <c r="T7" s="47" t="n">
        <f aca="false">IF($A7="","",IF($M7="",0,$M7)+IF($N7="",0,$N7/$Q7))</f>
        <v>3000</v>
      </c>
      <c r="U7" s="47" t="n">
        <f aca="false">IF($A7="","",$H7-$S7)</f>
        <v>4161</v>
      </c>
      <c r="V7" s="49" t="n">
        <v>0</v>
      </c>
      <c r="W7" s="36" t="str">
        <f aca="false">IF($A7="","",IF($S7&gt;=$H7-0.01,"Paid",IF($S7&gt;0,"Partially Paid","Unpaid")))</f>
        <v>Partially Paid</v>
      </c>
      <c r="X7" s="47" t="n">
        <f aca="false">IF($A7="","",$F7-$I7)</f>
        <v>4700</v>
      </c>
      <c r="Y7" s="48" t="n">
        <f aca="false">IF($A7="","",SUMIFS(Loans!$H$5:$H$44,Loans!$B$5:$B$44,$A7))</f>
        <v>0</v>
      </c>
      <c r="Z7" s="47" t="n">
        <f aca="false">IF($A7="","",$X7-$Y7)</f>
        <v>4700</v>
      </c>
      <c r="AA7" s="52" t="n">
        <f aca="false">IF(OR($A7="",$F7=0),"",$X7/$F7)</f>
        <v>0.758064516129032</v>
      </c>
      <c r="AB7" s="53" t="str">
        <f aca="true">IF($A7="","",IF($S7&gt;=$H7-0.01,"Paid",IF(AND($S7&gt;0,$J7&lt;&gt;"Yes"),"Advance Paid",IF($J7="Yes",IF(AND($E7&lt;&gt;"",TODAY()&gt;$E7),"Overdue Payment","Awaiting Payment"),IF(AND($E7&lt;&gt;"",TODAY()&gt;$E7),"Overdue Service","Open")))))</f>
        <v>Advance Paid</v>
      </c>
      <c r="AC7" s="36"/>
    </row>
    <row r="8" customFormat="false" ht="15" hidden="false" customHeight="true" outlineLevel="0" collapsed="false">
      <c r="A8" s="37" t="s">
        <v>190</v>
      </c>
      <c r="B8" s="38" t="s">
        <v>191</v>
      </c>
      <c r="C8" s="38" t="s">
        <v>93</v>
      </c>
      <c r="D8" s="40" t="n">
        <v>46183</v>
      </c>
      <c r="E8" s="40" t="n">
        <v>46223</v>
      </c>
      <c r="F8" s="39" t="n">
        <v>15000</v>
      </c>
      <c r="G8" s="54" t="n">
        <f aca="false">IF($F8="","",$F8*VATRate)</f>
        <v>2325</v>
      </c>
      <c r="H8" s="54" t="n">
        <f aca="false">IF($F8="","",$F8+$G8)</f>
        <v>17325</v>
      </c>
      <c r="I8" s="55" t="n">
        <f aca="false">IF($A8="","",SUMIFS(OrderExpenses!$G$5:$G$84,OrderExpenses!$B$5:$B$84,$A8))</f>
        <v>0</v>
      </c>
      <c r="J8" s="38" t="s">
        <v>63</v>
      </c>
      <c r="K8" s="38"/>
      <c r="L8" s="38" t="s">
        <v>63</v>
      </c>
      <c r="M8" s="49" t="n">
        <v>0</v>
      </c>
      <c r="N8" s="50" t="n">
        <v>0</v>
      </c>
      <c r="O8" s="51" t="n">
        <f aca="false">OffRate</f>
        <v>26.5</v>
      </c>
      <c r="P8" s="54" t="n">
        <f aca="false">IF($N8="","",$N8/$O8)</f>
        <v>0</v>
      </c>
      <c r="Q8" s="51" t="n">
        <f aca="false">StreetRate</f>
        <v>33</v>
      </c>
      <c r="R8" s="54" t="n">
        <f aca="false">IF($N8="","",$N8/$Q8)</f>
        <v>0</v>
      </c>
      <c r="S8" s="54" t="n">
        <f aca="false">IF($A8="","",IF($M8="",0,$M8)+IF($N8="",0,$N8/$O8))</f>
        <v>0</v>
      </c>
      <c r="T8" s="54" t="n">
        <f aca="false">IF($A8="","",IF($M8="",0,$M8)+IF($N8="",0,$N8/$Q8))</f>
        <v>0</v>
      </c>
      <c r="U8" s="54" t="n">
        <f aca="false">IF($A8="","",$H8-$S8)</f>
        <v>17325</v>
      </c>
      <c r="V8" s="49" t="n">
        <v>0</v>
      </c>
      <c r="W8" s="38" t="str">
        <f aca="false">IF($A8="","",IF($S8&gt;=$H8-0.01,"Paid",IF($S8&gt;0,"Partially Paid","Unpaid")))</f>
        <v>Unpaid</v>
      </c>
      <c r="X8" s="54" t="n">
        <f aca="false">IF($A8="","",$F8-$I8)</f>
        <v>15000</v>
      </c>
      <c r="Y8" s="55" t="n">
        <f aca="false">IF($A8="","",SUMIFS(Loans!$H$5:$H$44,Loans!$B$5:$B$44,$A8))</f>
        <v>2011.42857142857</v>
      </c>
      <c r="Z8" s="54" t="n">
        <f aca="false">IF($A8="","",$X8-$Y8)</f>
        <v>12988.5714285714</v>
      </c>
      <c r="AA8" s="56" t="n">
        <f aca="false">IF(OR($A8="",$F8=0),"",$X8/$F8)</f>
        <v>1</v>
      </c>
      <c r="AB8" s="57" t="str">
        <f aca="true">IF($A8="","",IF($S8&gt;=$H8-0.01,"Paid",IF(AND($S8&gt;0,$J8&lt;&gt;"Yes"),"Advance Paid",IF($J8="Yes",IF(AND($E8&lt;&gt;"",TODAY()&gt;$E8),"Overdue Payment","Awaiting Payment"),IF(AND($E8&lt;&gt;"",TODAY()&gt;$E8),"Overdue Service","Open")))))</f>
        <v>Overdue Service</v>
      </c>
      <c r="AC8" s="38"/>
    </row>
    <row r="9" customFormat="false" ht="15" hidden="false" customHeight="true" outlineLevel="0" collapsed="false">
      <c r="A9" s="35" t="s">
        <v>192</v>
      </c>
      <c r="B9" s="36" t="s">
        <v>193</v>
      </c>
      <c r="C9" s="36" t="s">
        <v>93</v>
      </c>
      <c r="D9" s="40" t="n">
        <v>46118</v>
      </c>
      <c r="E9" s="40" t="n">
        <v>46172</v>
      </c>
      <c r="F9" s="39" t="n">
        <v>21600</v>
      </c>
      <c r="G9" s="47" t="n">
        <f aca="false">IF($F9="","",$F9*VATRate)</f>
        <v>3348</v>
      </c>
      <c r="H9" s="47" t="n">
        <f aca="false">IF($F9="","",$F9+$G9)</f>
        <v>24948</v>
      </c>
      <c r="I9" s="48" t="n">
        <f aca="false">IF($A9="","",SUMIFS(OrderExpenses!$G$5:$G$84,OrderExpenses!$B$5:$B$84,$A9))</f>
        <v>11300</v>
      </c>
      <c r="J9" s="36" t="s">
        <v>59</v>
      </c>
      <c r="K9" s="40" t="n">
        <v>46154</v>
      </c>
      <c r="L9" s="36" t="s">
        <v>63</v>
      </c>
      <c r="M9" s="49" t="n">
        <v>25000</v>
      </c>
      <c r="N9" s="50" t="n">
        <v>0</v>
      </c>
      <c r="O9" s="51" t="n">
        <f aca="false">OffRate</f>
        <v>26.5</v>
      </c>
      <c r="P9" s="47" t="n">
        <f aca="false">IF($N9="","",$N9/$O9)</f>
        <v>0</v>
      </c>
      <c r="Q9" s="51" t="n">
        <f aca="false">StreetRate</f>
        <v>33</v>
      </c>
      <c r="R9" s="47" t="n">
        <f aca="false">IF($N9="","",$N9/$Q9)</f>
        <v>0</v>
      </c>
      <c r="S9" s="47" t="n">
        <f aca="false">IF($A9="","",IF($M9="",0,$M9)+IF($N9="",0,$N9/$O9))</f>
        <v>25000</v>
      </c>
      <c r="T9" s="47" t="n">
        <f aca="false">IF($A9="","",IF($M9="",0,$M9)+IF($N9="",0,$N9/$Q9))</f>
        <v>25000</v>
      </c>
      <c r="U9" s="47" t="n">
        <f aca="false">IF($A9="","",$H9-$S9)</f>
        <v>-52</v>
      </c>
      <c r="V9" s="49" t="n">
        <v>1200</v>
      </c>
      <c r="W9" s="36" t="str">
        <f aca="false">IF($A9="","",IF($S9&gt;=$H9-0.01,"Paid",IF($S9&gt;0,"Partially Paid","Unpaid")))</f>
        <v>Paid</v>
      </c>
      <c r="X9" s="47" t="n">
        <f aca="false">IF($A9="","",$F9-$I9)</f>
        <v>10300</v>
      </c>
      <c r="Y9" s="48" t="n">
        <f aca="false">IF($A9="","",SUMIFS(Loans!$H$5:$H$44,Loans!$B$5:$B$44,$A9))</f>
        <v>0</v>
      </c>
      <c r="Z9" s="47" t="n">
        <f aca="false">IF($A9="","",$X9-$Y9)</f>
        <v>10300</v>
      </c>
      <c r="AA9" s="52" t="n">
        <f aca="false">IF(OR($A9="",$F9=0),"",$X9/$F9)</f>
        <v>0.476851851851852</v>
      </c>
      <c r="AB9" s="53" t="str">
        <f aca="true">IF($A9="","",IF($S9&gt;=$H9-0.01,"Paid",IF(AND($S9&gt;0,$J9&lt;&gt;"Yes"),"Advance Paid",IF($J9="Yes",IF(AND($E9&lt;&gt;"",TODAY()&gt;$E9),"Overdue Payment","Awaiting Payment"),IF(AND($E9&lt;&gt;"",TODAY()&gt;$E9),"Overdue Service","Open")))))</f>
        <v>Paid</v>
      </c>
      <c r="AC9" s="36" t="s">
        <v>154</v>
      </c>
    </row>
    <row r="10" customFormat="false" ht="15" hidden="false" customHeight="true" outlineLevel="0" collapsed="false">
      <c r="A10" s="35" t="s">
        <v>194</v>
      </c>
      <c r="B10" s="36" t="s">
        <v>195</v>
      </c>
      <c r="C10" s="36" t="s">
        <v>101</v>
      </c>
      <c r="D10" s="40" t="n">
        <v>46126</v>
      </c>
      <c r="E10" s="40" t="n">
        <v>46187</v>
      </c>
      <c r="F10" s="39" t="n">
        <v>7800</v>
      </c>
      <c r="G10" s="47" t="n">
        <f aca="false">IF($F10="","",$F10*VATRate)</f>
        <v>1209</v>
      </c>
      <c r="H10" s="47" t="n">
        <f aca="false">IF($F10="","",$F10+$G10)</f>
        <v>9009</v>
      </c>
      <c r="I10" s="48" t="n">
        <f aca="false">IF($A10="","",SUMIFS(OrderExpenses!$G$5:$G$84,OrderExpenses!$B$5:$B$84,$A10))</f>
        <v>1150</v>
      </c>
      <c r="J10" s="36" t="s">
        <v>59</v>
      </c>
      <c r="K10" s="40" t="n">
        <v>46175</v>
      </c>
      <c r="L10" s="36" t="s">
        <v>63</v>
      </c>
      <c r="M10" s="49" t="n">
        <v>0</v>
      </c>
      <c r="N10" s="50" t="n">
        <v>98000</v>
      </c>
      <c r="O10" s="51" t="n">
        <f aca="false">OffRate</f>
        <v>26.5</v>
      </c>
      <c r="P10" s="47" t="n">
        <f aca="false">IF($N10="","",$N10/$O10)</f>
        <v>3698.11320754717</v>
      </c>
      <c r="Q10" s="51" t="n">
        <f aca="false">StreetRate</f>
        <v>33</v>
      </c>
      <c r="R10" s="47" t="n">
        <f aca="false">IF($N10="","",$N10/$Q10)</f>
        <v>2969.69696969697</v>
      </c>
      <c r="S10" s="47" t="n">
        <f aca="false">IF($A10="","",IF($M10="",0,$M10)+IF($N10="",0,$N10/$O10))</f>
        <v>3698.11320754717</v>
      </c>
      <c r="T10" s="47" t="n">
        <f aca="false">IF($A10="","",IF($M10="",0,$M10)+IF($N10="",0,$N10/$Q10))</f>
        <v>2969.69696969697</v>
      </c>
      <c r="U10" s="47" t="n">
        <f aca="false">IF($A10="","",$H10-$S10)</f>
        <v>5310.88679245283</v>
      </c>
      <c r="V10" s="49" t="n">
        <v>0</v>
      </c>
      <c r="W10" s="36" t="str">
        <f aca="false">IF($A10="","",IF($S10&gt;=$H10-0.01,"Paid",IF($S10&gt;0,"Partially Paid","Unpaid")))</f>
        <v>Partially Paid</v>
      </c>
      <c r="X10" s="47" t="n">
        <f aca="false">IF($A10="","",$F10-$I10)</f>
        <v>6650</v>
      </c>
      <c r="Y10" s="48" t="n">
        <f aca="false">IF($A10="","",SUMIFS(Loans!$H$5:$H$44,Loans!$B$5:$B$44,$A10))</f>
        <v>0</v>
      </c>
      <c r="Z10" s="47" t="n">
        <f aca="false">IF($A10="","",$X10-$Y10)</f>
        <v>6650</v>
      </c>
      <c r="AA10" s="52" t="n">
        <f aca="false">IF(OR($A10="",$F10=0),"",$X10/$F10)</f>
        <v>0.852564102564103</v>
      </c>
      <c r="AB10" s="53" t="str">
        <f aca="true">IF($A10="","",IF($S10&gt;=$H10-0.01,"Paid",IF(AND($S10&gt;0,$J10&lt;&gt;"Yes"),"Advance Paid",IF($J10="Yes",IF(AND($E10&lt;&gt;"",TODAY()&gt;$E10),"Overdue Payment","Awaiting Payment"),IF(AND($E10&lt;&gt;"",TODAY()&gt;$E10),"Overdue Service","Open")))))</f>
        <v>Overdue Payment</v>
      </c>
      <c r="AC10" s="36" t="s">
        <v>154</v>
      </c>
    </row>
    <row r="11" customFormat="false" ht="15" hidden="false" customHeight="true" outlineLevel="0" collapsed="false">
      <c r="A11" s="35" t="s">
        <v>196</v>
      </c>
      <c r="B11" s="36" t="s">
        <v>197</v>
      </c>
      <c r="C11" s="36" t="s">
        <v>109</v>
      </c>
      <c r="D11" s="40" t="n">
        <v>46146</v>
      </c>
      <c r="E11" s="40" t="n">
        <v>46213</v>
      </c>
      <c r="F11" s="39" t="n">
        <v>30400</v>
      </c>
      <c r="G11" s="47" t="n">
        <f aca="false">IF($F11="","",$F11*VATRate)</f>
        <v>4712</v>
      </c>
      <c r="H11" s="47" t="n">
        <f aca="false">IF($F11="","",$F11+$G11)</f>
        <v>35112</v>
      </c>
      <c r="I11" s="48" t="n">
        <f aca="false">IF($A11="","",SUMIFS(OrderExpenses!$G$5:$G$84,OrderExpenses!$B$5:$B$84,$A11))</f>
        <v>17000</v>
      </c>
      <c r="J11" s="36" t="s">
        <v>59</v>
      </c>
      <c r="K11" s="40" t="n">
        <v>46205</v>
      </c>
      <c r="L11" s="36" t="s">
        <v>63</v>
      </c>
      <c r="M11" s="49" t="n">
        <v>0</v>
      </c>
      <c r="N11" s="50" t="n">
        <v>0</v>
      </c>
      <c r="O11" s="51" t="n">
        <f aca="false">OffRate</f>
        <v>26.5</v>
      </c>
      <c r="P11" s="47" t="n">
        <f aca="false">IF($N11="","",$N11/$O11)</f>
        <v>0</v>
      </c>
      <c r="Q11" s="51" t="n">
        <f aca="false">StreetRate</f>
        <v>33</v>
      </c>
      <c r="R11" s="47" t="n">
        <f aca="false">IF($N11="","",$N11/$Q11)</f>
        <v>0</v>
      </c>
      <c r="S11" s="47" t="n">
        <f aca="false">IF($A11="","",IF($M11="",0,$M11)+IF($N11="",0,$N11/$O11))</f>
        <v>0</v>
      </c>
      <c r="T11" s="47" t="n">
        <f aca="false">IF($A11="","",IF($M11="",0,$M11)+IF($N11="",0,$N11/$Q11))</f>
        <v>0</v>
      </c>
      <c r="U11" s="47" t="n">
        <f aca="false">IF($A11="","",$H11-$S11)</f>
        <v>35112</v>
      </c>
      <c r="V11" s="49" t="n">
        <v>0</v>
      </c>
      <c r="W11" s="36" t="str">
        <f aca="false">IF($A11="","",IF($S11&gt;=$H11-0.01,"Paid",IF($S11&gt;0,"Partially Paid","Unpaid")))</f>
        <v>Unpaid</v>
      </c>
      <c r="X11" s="47" t="n">
        <f aca="false">IF($A11="","",$F11-$I11)</f>
        <v>13400</v>
      </c>
      <c r="Y11" s="48" t="n">
        <f aca="false">IF($A11="","",SUMIFS(Loans!$H$5:$H$44,Loans!$B$5:$B$44,$A11))</f>
        <v>5142.85714285714</v>
      </c>
      <c r="Z11" s="47" t="n">
        <f aca="false">IF($A11="","",$X11-$Y11)</f>
        <v>8257.14285714286</v>
      </c>
      <c r="AA11" s="52" t="n">
        <f aca="false">IF(OR($A11="",$F11=0),"",$X11/$F11)</f>
        <v>0.440789473684211</v>
      </c>
      <c r="AB11" s="53" t="str">
        <f aca="true">IF($A11="","",IF($S11&gt;=$H11-0.01,"Paid",IF(AND($S11&gt;0,$J11&lt;&gt;"Yes"),"Advance Paid",IF($J11="Yes",IF(AND($E11&lt;&gt;"",TODAY()&gt;$E11),"Overdue Payment","Awaiting Payment"),IF(AND($E11&lt;&gt;"",TODAY()&gt;$E11),"Overdue Service","Open")))))</f>
        <v>Overdue Payment</v>
      </c>
      <c r="AC11" s="36" t="s">
        <v>154</v>
      </c>
    </row>
    <row r="12" customFormat="false" ht="15" hidden="false" customHeight="true" outlineLevel="0" collapsed="false">
      <c r="A12" s="35" t="s">
        <v>198</v>
      </c>
      <c r="B12" s="36" t="s">
        <v>199</v>
      </c>
      <c r="C12" s="36" t="s">
        <v>93</v>
      </c>
      <c r="D12" s="40" t="n">
        <v>46162</v>
      </c>
      <c r="E12" s="40" t="n">
        <v>46193</v>
      </c>
      <c r="F12" s="39" t="n">
        <v>5400</v>
      </c>
      <c r="G12" s="47" t="n">
        <f aca="false">IF($F12="","",$F12*VATRate)</f>
        <v>837</v>
      </c>
      <c r="H12" s="47" t="n">
        <f aca="false">IF($F12="","",$F12+$G12)</f>
        <v>6237</v>
      </c>
      <c r="I12" s="48" t="n">
        <f aca="false">IF($A12="","",SUMIFS(OrderExpenses!$G$5:$G$84,OrderExpenses!$B$5:$B$84,$A12))</f>
        <v>1900</v>
      </c>
      <c r="J12" s="36" t="s">
        <v>63</v>
      </c>
      <c r="K12" s="40"/>
      <c r="L12" s="36" t="s">
        <v>59</v>
      </c>
      <c r="M12" s="49" t="n">
        <v>6237</v>
      </c>
      <c r="N12" s="50" t="n">
        <v>0</v>
      </c>
      <c r="O12" s="51" t="n">
        <f aca="false">OffRate</f>
        <v>26.5</v>
      </c>
      <c r="P12" s="47" t="n">
        <f aca="false">IF($N12="","",$N12/$O12)</f>
        <v>0</v>
      </c>
      <c r="Q12" s="51" t="n">
        <f aca="false">StreetRate</f>
        <v>33</v>
      </c>
      <c r="R12" s="47" t="n">
        <f aca="false">IF($N12="","",$N12/$Q12)</f>
        <v>0</v>
      </c>
      <c r="S12" s="47" t="n">
        <f aca="false">IF($A12="","",IF($M12="",0,$M12)+IF($N12="",0,$N12/$O12))</f>
        <v>6237</v>
      </c>
      <c r="T12" s="47" t="n">
        <f aca="false">IF($A12="","",IF($M12="",0,$M12)+IF($N12="",0,$N12/$Q12))</f>
        <v>6237</v>
      </c>
      <c r="U12" s="47" t="n">
        <f aca="false">IF($A12="","",$H12-$S12)</f>
        <v>0</v>
      </c>
      <c r="V12" s="49" t="n">
        <v>0</v>
      </c>
      <c r="W12" s="36" t="str">
        <f aca="false">IF($A12="","",IF($S12&gt;=$H12-0.01,"Paid",IF($S12&gt;0,"Partially Paid","Unpaid")))</f>
        <v>Paid</v>
      </c>
      <c r="X12" s="47" t="n">
        <f aca="false">IF($A12="","",$F12-$I12)</f>
        <v>3500</v>
      </c>
      <c r="Y12" s="48" t="n">
        <f aca="false">IF($A12="","",SUMIFS(Loans!$H$5:$H$44,Loans!$B$5:$B$44,$A12))</f>
        <v>0</v>
      </c>
      <c r="Z12" s="47" t="n">
        <f aca="false">IF($A12="","",$X12-$Y12)</f>
        <v>3500</v>
      </c>
      <c r="AA12" s="52" t="n">
        <f aca="false">IF(OR($A12="",$F12=0),"",$X12/$F12)</f>
        <v>0.648148148148148</v>
      </c>
      <c r="AB12" s="53" t="str">
        <f aca="true">IF($A12="","",IF($S12&gt;=$H12-0.01,"Paid",IF(AND($S12&gt;0,$J12&lt;&gt;"Yes"),"Advance Paid",IF($J12="Yes",IF(AND($E12&lt;&gt;"",TODAY()&gt;$E12),"Overdue Payment","Awaiting Payment"),IF(AND($E12&lt;&gt;"",TODAY()&gt;$E12),"Overdue Service","Open")))))</f>
        <v>Paid</v>
      </c>
      <c r="AC12" s="36" t="s">
        <v>154</v>
      </c>
    </row>
    <row r="13" customFormat="false" ht="15" hidden="false" customHeight="true" outlineLevel="0" collapsed="false">
      <c r="A13" s="35" t="s">
        <v>200</v>
      </c>
      <c r="B13" s="36" t="s">
        <v>201</v>
      </c>
      <c r="C13" s="36" t="s">
        <v>101</v>
      </c>
      <c r="D13" s="40" t="n">
        <v>46174</v>
      </c>
      <c r="E13" s="40" t="n">
        <v>46249</v>
      </c>
      <c r="F13" s="39" t="n">
        <v>26000</v>
      </c>
      <c r="G13" s="47" t="n">
        <f aca="false">IF($F13="","",$F13*VATRate)</f>
        <v>4030</v>
      </c>
      <c r="H13" s="47" t="n">
        <f aca="false">IF($F13="","",$F13+$G13)</f>
        <v>30030</v>
      </c>
      <c r="I13" s="48" t="n">
        <f aca="false">IF($A13="","",SUMIFS(OrderExpenses!$G$5:$G$84,OrderExpenses!$B$5:$B$84,$A13))</f>
        <v>8600</v>
      </c>
      <c r="J13" s="36" t="s">
        <v>63</v>
      </c>
      <c r="K13" s="40"/>
      <c r="L13" s="36" t="s">
        <v>63</v>
      </c>
      <c r="M13" s="49" t="n">
        <v>0</v>
      </c>
      <c r="N13" s="50" t="n">
        <v>0</v>
      </c>
      <c r="O13" s="51" t="n">
        <f aca="false">OffRate</f>
        <v>26.5</v>
      </c>
      <c r="P13" s="47" t="n">
        <f aca="false">IF($N13="","",$N13/$O13)</f>
        <v>0</v>
      </c>
      <c r="Q13" s="51" t="n">
        <f aca="false">StreetRate</f>
        <v>33</v>
      </c>
      <c r="R13" s="47" t="n">
        <f aca="false">IF($N13="","",$N13/$Q13)</f>
        <v>0</v>
      </c>
      <c r="S13" s="47" t="n">
        <f aca="false">IF($A13="","",IF($M13="",0,$M13)+IF($N13="",0,$N13/$O13))</f>
        <v>0</v>
      </c>
      <c r="T13" s="47" t="n">
        <f aca="false">IF($A13="","",IF($M13="",0,$M13)+IF($N13="",0,$N13/$Q13))</f>
        <v>0</v>
      </c>
      <c r="U13" s="47" t="n">
        <f aca="false">IF($A13="","",$H13-$S13)</f>
        <v>30030</v>
      </c>
      <c r="V13" s="49" t="n">
        <v>0</v>
      </c>
      <c r="W13" s="36" t="str">
        <f aca="false">IF($A13="","",IF($S13&gt;=$H13-0.01,"Paid",IF($S13&gt;0,"Partially Paid","Unpaid")))</f>
        <v>Unpaid</v>
      </c>
      <c r="X13" s="47" t="n">
        <f aca="false">IF($A13="","",$F13-$I13)</f>
        <v>17400</v>
      </c>
      <c r="Y13" s="48" t="n">
        <f aca="false">IF($A13="","",SUMIFS(Loans!$H$5:$H$44,Loans!$B$5:$B$44,$A13))</f>
        <v>2800</v>
      </c>
      <c r="Z13" s="47" t="n">
        <f aca="false">IF($A13="","",$X13-$Y13)</f>
        <v>14600</v>
      </c>
      <c r="AA13" s="52" t="n">
        <f aca="false">IF(OR($A13="",$F13=0),"",$X13/$F13)</f>
        <v>0.669230769230769</v>
      </c>
      <c r="AB13" s="53" t="str">
        <f aca="true">IF($A13="","",IF($S13&gt;=$H13-0.01,"Paid",IF(AND($S13&gt;0,$J13&lt;&gt;"Yes"),"Advance Paid",IF($J13="Yes",IF(AND($E13&lt;&gt;"",TODAY()&gt;$E13),"Overdue Payment","Awaiting Payment"),IF(AND($E13&lt;&gt;"",TODAY()&gt;$E13),"Overdue Service","Open")))))</f>
        <v>Open</v>
      </c>
      <c r="AC13" s="36" t="s">
        <v>154</v>
      </c>
    </row>
    <row r="14" customFormat="false" ht="15" hidden="false" customHeight="true" outlineLevel="0" collapsed="false">
      <c r="A14" s="35" t="s">
        <v>202</v>
      </c>
      <c r="B14" s="36" t="s">
        <v>203</v>
      </c>
      <c r="C14" s="36" t="s">
        <v>117</v>
      </c>
      <c r="D14" s="40" t="n">
        <v>46182</v>
      </c>
      <c r="E14" s="40" t="n">
        <v>46208</v>
      </c>
      <c r="F14" s="39" t="n">
        <v>4200</v>
      </c>
      <c r="G14" s="47" t="n">
        <f aca="false">IF($F14="","",$F14*VATRate)</f>
        <v>651</v>
      </c>
      <c r="H14" s="47" t="n">
        <f aca="false">IF($F14="","",$F14+$G14)</f>
        <v>4851</v>
      </c>
      <c r="I14" s="48" t="n">
        <f aca="false">IF($A14="","",SUMIFS(OrderExpenses!$G$5:$G$84,OrderExpenses!$B$5:$B$84,$A14))</f>
        <v>900</v>
      </c>
      <c r="J14" s="36" t="s">
        <v>59</v>
      </c>
      <c r="K14" s="40" t="n">
        <v>46201</v>
      </c>
      <c r="L14" s="36" t="s">
        <v>63</v>
      </c>
      <c r="M14" s="49" t="n">
        <v>0</v>
      </c>
      <c r="N14" s="50" t="n">
        <v>0</v>
      </c>
      <c r="O14" s="51" t="n">
        <f aca="false">OffRate</f>
        <v>26.5</v>
      </c>
      <c r="P14" s="47" t="n">
        <f aca="false">IF($N14="","",$N14/$O14)</f>
        <v>0</v>
      </c>
      <c r="Q14" s="51" t="n">
        <f aca="false">StreetRate</f>
        <v>33</v>
      </c>
      <c r="R14" s="47" t="n">
        <f aca="false">IF($N14="","",$N14/$Q14)</f>
        <v>0</v>
      </c>
      <c r="S14" s="47" t="n">
        <f aca="false">IF($A14="","",IF($M14="",0,$M14)+IF($N14="",0,$N14/$O14))</f>
        <v>0</v>
      </c>
      <c r="T14" s="47" t="n">
        <f aca="false">IF($A14="","",IF($M14="",0,$M14)+IF($N14="",0,$N14/$Q14))</f>
        <v>0</v>
      </c>
      <c r="U14" s="47" t="n">
        <f aca="false">IF($A14="","",$H14-$S14)</f>
        <v>4851</v>
      </c>
      <c r="V14" s="49" t="n">
        <v>0</v>
      </c>
      <c r="W14" s="36" t="str">
        <f aca="false">IF($A14="","",IF($S14&gt;=$H14-0.01,"Paid",IF($S14&gt;0,"Partially Paid","Unpaid")))</f>
        <v>Unpaid</v>
      </c>
      <c r="X14" s="47" t="n">
        <f aca="false">IF($A14="","",$F14-$I14)</f>
        <v>3300</v>
      </c>
      <c r="Y14" s="48" t="n">
        <f aca="false">IF($A14="","",SUMIFS(Loans!$H$5:$H$44,Loans!$B$5:$B$44,$A14))</f>
        <v>0</v>
      </c>
      <c r="Z14" s="47" t="n">
        <f aca="false">IF($A14="","",$X14-$Y14)</f>
        <v>3300</v>
      </c>
      <c r="AA14" s="52" t="n">
        <f aca="false">IF(OR($A14="",$F14=0),"",$X14/$F14)</f>
        <v>0.785714285714286</v>
      </c>
      <c r="AB14" s="53" t="str">
        <f aca="true">IF($A14="","",IF($S14&gt;=$H14-0.01,"Paid",IF(AND($S14&gt;0,$J14&lt;&gt;"Yes"),"Advance Paid",IF($J14="Yes",IF(AND($E14&lt;&gt;"",TODAY()&gt;$E14),"Overdue Payment","Awaiting Payment"),IF(AND($E14&lt;&gt;"",TODAY()&gt;$E14),"Overdue Service","Open")))))</f>
        <v>Overdue Payment</v>
      </c>
      <c r="AC14" s="36" t="s">
        <v>154</v>
      </c>
    </row>
    <row r="15" customFormat="false" ht="15" hidden="false" customHeight="true" outlineLevel="0" collapsed="false">
      <c r="A15" s="36"/>
      <c r="B15" s="36"/>
      <c r="C15" s="36"/>
      <c r="D15" s="36"/>
      <c r="E15" s="36"/>
      <c r="F15" s="36"/>
      <c r="G15" s="47" t="str">
        <f aca="false">IF($F15="","",$F15*VATRate)</f>
        <v/>
      </c>
      <c r="H15" s="47" t="str">
        <f aca="false">IF($F15="","",$F15+$G15)</f>
        <v/>
      </c>
      <c r="I15" s="48" t="str">
        <f aca="false">IF($A15="","",SUMIFS(OrderExpenses!$G$5:$G$84,OrderExpenses!$B$5:$B$84,$A15))</f>
        <v/>
      </c>
      <c r="J15" s="36"/>
      <c r="K15" s="36"/>
      <c r="L15" s="36"/>
      <c r="M15" s="36"/>
      <c r="N15" s="36"/>
      <c r="O15" s="51" t="n">
        <f aca="false">OffRate</f>
        <v>26.5</v>
      </c>
      <c r="P15" s="47" t="str">
        <f aca="false">IF($N15="","",$N15/$O15)</f>
        <v/>
      </c>
      <c r="Q15" s="51" t="n">
        <f aca="false">StreetRate</f>
        <v>33</v>
      </c>
      <c r="R15" s="47" t="str">
        <f aca="false">IF($N15="","",$N15/$Q15)</f>
        <v/>
      </c>
      <c r="S15" s="47" t="str">
        <f aca="false">IF($A15="","",IF($M15="",0,$M15)+IF($N15="",0,$N15/$O15))</f>
        <v/>
      </c>
      <c r="T15" s="47" t="str">
        <f aca="false">IF($A15="","",IF($M15="",0,$M15)+IF($N15="",0,$N15/$Q15))</f>
        <v/>
      </c>
      <c r="U15" s="47" t="str">
        <f aca="false">IF($A15="","",$H15-$S15)</f>
        <v/>
      </c>
      <c r="V15" s="36"/>
      <c r="W15" s="36" t="str">
        <f aca="false">IF($A15="","",IF($S15&gt;=$H15-0.01,"Paid",IF($S15&gt;0,"Partially Paid","Unpaid")))</f>
        <v/>
      </c>
      <c r="X15" s="47" t="str">
        <f aca="false">IF($A15="","",$F15-$I15)</f>
        <v/>
      </c>
      <c r="Y15" s="48" t="str">
        <f aca="false">IF($A15="","",SUMIFS(Loans!$H$5:$H$44,Loans!$B$5:$B$44,$A15))</f>
        <v/>
      </c>
      <c r="Z15" s="47" t="str">
        <f aca="false">IF($A15="","",$X15-$Y15)</f>
        <v/>
      </c>
      <c r="AA15" s="52" t="str">
        <f aca="false">IF(OR($A15="",$F15=0),"",$X15/$F15)</f>
        <v/>
      </c>
      <c r="AB15" s="53" t="str">
        <f aca="true">IF($A15="","",IF($S15&gt;=$H15-0.01,"Paid",IF(AND($S15&gt;0,$J15&lt;&gt;"Yes"),"Advance Paid",IF($J15="Yes",IF(AND($E15&lt;&gt;"",TODAY()&gt;$E15),"Overdue Payment","Awaiting Payment"),IF(AND($E15&lt;&gt;"",TODAY()&gt;$E15),"Overdue Service","Open")))))</f>
        <v/>
      </c>
      <c r="AC15" s="36"/>
    </row>
    <row r="16" customFormat="false" ht="15" hidden="false" customHeight="true" outlineLevel="0" collapsed="false">
      <c r="A16" s="38"/>
      <c r="B16" s="38"/>
      <c r="C16" s="38"/>
      <c r="D16" s="38"/>
      <c r="E16" s="38"/>
      <c r="F16" s="38"/>
      <c r="G16" s="54" t="str">
        <f aca="false">IF($F16="","",$F16*VATRate)</f>
        <v/>
      </c>
      <c r="H16" s="54" t="str">
        <f aca="false">IF($F16="","",$F16+$G16)</f>
        <v/>
      </c>
      <c r="I16" s="55" t="str">
        <f aca="false">IF($A16="","",SUMIFS(OrderExpenses!$G$5:$G$84,OrderExpenses!$B$5:$B$84,$A16))</f>
        <v/>
      </c>
      <c r="J16" s="38"/>
      <c r="K16" s="38"/>
      <c r="L16" s="38"/>
      <c r="M16" s="38"/>
      <c r="N16" s="38"/>
      <c r="O16" s="51" t="n">
        <f aca="false">OffRate</f>
        <v>26.5</v>
      </c>
      <c r="P16" s="54" t="str">
        <f aca="false">IF($N16="","",$N16/$O16)</f>
        <v/>
      </c>
      <c r="Q16" s="51" t="n">
        <f aca="false">StreetRate</f>
        <v>33</v>
      </c>
      <c r="R16" s="54" t="str">
        <f aca="false">IF($N16="","",$N16/$Q16)</f>
        <v/>
      </c>
      <c r="S16" s="54" t="str">
        <f aca="false">IF($A16="","",IF($M16="",0,$M16)+IF($N16="",0,$N16/$O16))</f>
        <v/>
      </c>
      <c r="T16" s="54" t="str">
        <f aca="false">IF($A16="","",IF($M16="",0,$M16)+IF($N16="",0,$N16/$Q16))</f>
        <v/>
      </c>
      <c r="U16" s="54" t="str">
        <f aca="false">IF($A16="","",$H16-$S16)</f>
        <v/>
      </c>
      <c r="V16" s="38"/>
      <c r="W16" s="38" t="str">
        <f aca="false">IF($A16="","",IF($S16&gt;=$H16-0.01,"Paid",IF($S16&gt;0,"Partially Paid","Unpaid")))</f>
        <v/>
      </c>
      <c r="X16" s="54" t="str">
        <f aca="false">IF($A16="","",$F16-$I16)</f>
        <v/>
      </c>
      <c r="Y16" s="55" t="str">
        <f aca="false">IF($A16="","",SUMIFS(Loans!$H$5:$H$44,Loans!$B$5:$B$44,$A16))</f>
        <v/>
      </c>
      <c r="Z16" s="54" t="str">
        <f aca="false">IF($A16="","",$X16-$Y16)</f>
        <v/>
      </c>
      <c r="AA16" s="56" t="str">
        <f aca="false">IF(OR($A16="",$F16=0),"",$X16/$F16)</f>
        <v/>
      </c>
      <c r="AB16" s="57" t="str">
        <f aca="true">IF($A16="","",IF($S16&gt;=$H16-0.01,"Paid",IF(AND($S16&gt;0,$J16&lt;&gt;"Yes"),"Advance Paid",IF($J16="Yes",IF(AND($E16&lt;&gt;"",TODAY()&gt;$E16),"Overdue Payment","Awaiting Payment"),IF(AND($E16&lt;&gt;"",TODAY()&gt;$E16),"Overdue Service","Open")))))</f>
        <v/>
      </c>
      <c r="AC16" s="38"/>
    </row>
    <row r="17" customFormat="false" ht="15" hidden="false" customHeight="true" outlineLevel="0" collapsed="false">
      <c r="A17" s="36"/>
      <c r="B17" s="36"/>
      <c r="C17" s="36"/>
      <c r="D17" s="36"/>
      <c r="E17" s="36"/>
      <c r="F17" s="36"/>
      <c r="G17" s="47" t="str">
        <f aca="false">IF($F17="","",$F17*VATRate)</f>
        <v/>
      </c>
      <c r="H17" s="47" t="str">
        <f aca="false">IF($F17="","",$F17+$G17)</f>
        <v/>
      </c>
      <c r="I17" s="48" t="str">
        <f aca="false">IF($A17="","",SUMIFS(OrderExpenses!$G$5:$G$84,OrderExpenses!$B$5:$B$84,$A17))</f>
        <v/>
      </c>
      <c r="J17" s="36"/>
      <c r="K17" s="36"/>
      <c r="L17" s="36"/>
      <c r="M17" s="36"/>
      <c r="N17" s="36"/>
      <c r="O17" s="51" t="n">
        <f aca="false">OffRate</f>
        <v>26.5</v>
      </c>
      <c r="P17" s="47" t="str">
        <f aca="false">IF($N17="","",$N17/$O17)</f>
        <v/>
      </c>
      <c r="Q17" s="51" t="n">
        <f aca="false">StreetRate</f>
        <v>33</v>
      </c>
      <c r="R17" s="47" t="str">
        <f aca="false">IF($N17="","",$N17/$Q17)</f>
        <v/>
      </c>
      <c r="S17" s="47" t="str">
        <f aca="false">IF($A17="","",IF($M17="",0,$M17)+IF($N17="",0,$N17/$O17))</f>
        <v/>
      </c>
      <c r="T17" s="47" t="str">
        <f aca="false">IF($A17="","",IF($M17="",0,$M17)+IF($N17="",0,$N17/$Q17))</f>
        <v/>
      </c>
      <c r="U17" s="47" t="str">
        <f aca="false">IF($A17="","",$H17-$S17)</f>
        <v/>
      </c>
      <c r="V17" s="36"/>
      <c r="W17" s="36" t="str">
        <f aca="false">IF($A17="","",IF($S17&gt;=$H17-0.01,"Paid",IF($S17&gt;0,"Partially Paid","Unpaid")))</f>
        <v/>
      </c>
      <c r="X17" s="47" t="str">
        <f aca="false">IF($A17="","",$F17-$I17)</f>
        <v/>
      </c>
      <c r="Y17" s="48" t="str">
        <f aca="false">IF($A17="","",SUMIFS(Loans!$H$5:$H$44,Loans!$B$5:$B$44,$A17))</f>
        <v/>
      </c>
      <c r="Z17" s="47" t="str">
        <f aca="false">IF($A17="","",$X17-$Y17)</f>
        <v/>
      </c>
      <c r="AA17" s="52" t="str">
        <f aca="false">IF(OR($A17="",$F17=0),"",$X17/$F17)</f>
        <v/>
      </c>
      <c r="AB17" s="53" t="str">
        <f aca="true">IF($A17="","",IF($S17&gt;=$H17-0.01,"Paid",IF(AND($S17&gt;0,$J17&lt;&gt;"Yes"),"Advance Paid",IF($J17="Yes",IF(AND($E17&lt;&gt;"",TODAY()&gt;$E17),"Overdue Payment","Awaiting Payment"),IF(AND($E17&lt;&gt;"",TODAY()&gt;$E17),"Overdue Service","Open")))))</f>
        <v/>
      </c>
      <c r="AC17" s="36"/>
    </row>
    <row r="18" customFormat="false" ht="15" hidden="false" customHeight="true" outlineLevel="0" collapsed="false">
      <c r="A18" s="38"/>
      <c r="B18" s="38"/>
      <c r="C18" s="38"/>
      <c r="D18" s="38"/>
      <c r="E18" s="38"/>
      <c r="F18" s="38"/>
      <c r="G18" s="54" t="str">
        <f aca="false">IF($F18="","",$F18*VATRate)</f>
        <v/>
      </c>
      <c r="H18" s="54" t="str">
        <f aca="false">IF($F18="","",$F18+$G18)</f>
        <v/>
      </c>
      <c r="I18" s="55" t="str">
        <f aca="false">IF($A18="","",SUMIFS(OrderExpenses!$G$5:$G$84,OrderExpenses!$B$5:$B$84,$A18))</f>
        <v/>
      </c>
      <c r="J18" s="38"/>
      <c r="K18" s="38"/>
      <c r="L18" s="38"/>
      <c r="M18" s="38"/>
      <c r="N18" s="38"/>
      <c r="O18" s="51" t="n">
        <f aca="false">OffRate</f>
        <v>26.5</v>
      </c>
      <c r="P18" s="54" t="str">
        <f aca="false">IF($N18="","",$N18/$O18)</f>
        <v/>
      </c>
      <c r="Q18" s="51" t="n">
        <f aca="false">StreetRate</f>
        <v>33</v>
      </c>
      <c r="R18" s="54" t="str">
        <f aca="false">IF($N18="","",$N18/$Q18)</f>
        <v/>
      </c>
      <c r="S18" s="54" t="str">
        <f aca="false">IF($A18="","",IF($M18="",0,$M18)+IF($N18="",0,$N18/$O18))</f>
        <v/>
      </c>
      <c r="T18" s="54" t="str">
        <f aca="false">IF($A18="","",IF($M18="",0,$M18)+IF($N18="",0,$N18/$Q18))</f>
        <v/>
      </c>
      <c r="U18" s="54" t="str">
        <f aca="false">IF($A18="","",$H18-$S18)</f>
        <v/>
      </c>
      <c r="V18" s="38"/>
      <c r="W18" s="38" t="str">
        <f aca="false">IF($A18="","",IF($S18&gt;=$H18-0.01,"Paid",IF($S18&gt;0,"Partially Paid","Unpaid")))</f>
        <v/>
      </c>
      <c r="X18" s="54" t="str">
        <f aca="false">IF($A18="","",$F18-$I18)</f>
        <v/>
      </c>
      <c r="Y18" s="55" t="str">
        <f aca="false">IF($A18="","",SUMIFS(Loans!$H$5:$H$44,Loans!$B$5:$B$44,$A18))</f>
        <v/>
      </c>
      <c r="Z18" s="54" t="str">
        <f aca="false">IF($A18="","",$X18-$Y18)</f>
        <v/>
      </c>
      <c r="AA18" s="56" t="str">
        <f aca="false">IF(OR($A18="",$F18=0),"",$X18/$F18)</f>
        <v/>
      </c>
      <c r="AB18" s="57" t="str">
        <f aca="true">IF($A18="","",IF($S18&gt;=$H18-0.01,"Paid",IF(AND($S18&gt;0,$J18&lt;&gt;"Yes"),"Advance Paid",IF($J18="Yes",IF(AND($E18&lt;&gt;"",TODAY()&gt;$E18),"Overdue Payment","Awaiting Payment"),IF(AND($E18&lt;&gt;"",TODAY()&gt;$E18),"Overdue Service","Open")))))</f>
        <v/>
      </c>
      <c r="AC18" s="38"/>
    </row>
    <row r="19" customFormat="false" ht="15" hidden="false" customHeight="true" outlineLevel="0" collapsed="false">
      <c r="A19" s="36"/>
      <c r="B19" s="36"/>
      <c r="C19" s="36"/>
      <c r="D19" s="36"/>
      <c r="E19" s="36"/>
      <c r="F19" s="36"/>
      <c r="G19" s="47" t="str">
        <f aca="false">IF($F19="","",$F19*VATRate)</f>
        <v/>
      </c>
      <c r="H19" s="47" t="str">
        <f aca="false">IF($F19="","",$F19+$G19)</f>
        <v/>
      </c>
      <c r="I19" s="48" t="str">
        <f aca="false">IF($A19="","",SUMIFS(OrderExpenses!$G$5:$G$84,OrderExpenses!$B$5:$B$84,$A19))</f>
        <v/>
      </c>
      <c r="J19" s="36"/>
      <c r="K19" s="36"/>
      <c r="L19" s="36"/>
      <c r="M19" s="36"/>
      <c r="N19" s="36"/>
      <c r="O19" s="51" t="n">
        <f aca="false">OffRate</f>
        <v>26.5</v>
      </c>
      <c r="P19" s="47" t="str">
        <f aca="false">IF($N19="","",$N19/$O19)</f>
        <v/>
      </c>
      <c r="Q19" s="51" t="n">
        <f aca="false">StreetRate</f>
        <v>33</v>
      </c>
      <c r="R19" s="47" t="str">
        <f aca="false">IF($N19="","",$N19/$Q19)</f>
        <v/>
      </c>
      <c r="S19" s="47" t="str">
        <f aca="false">IF($A19="","",IF($M19="",0,$M19)+IF($N19="",0,$N19/$O19))</f>
        <v/>
      </c>
      <c r="T19" s="47" t="str">
        <f aca="false">IF($A19="","",IF($M19="",0,$M19)+IF($N19="",0,$N19/$Q19))</f>
        <v/>
      </c>
      <c r="U19" s="47" t="str">
        <f aca="false">IF($A19="","",$H19-$S19)</f>
        <v/>
      </c>
      <c r="V19" s="36"/>
      <c r="W19" s="36" t="str">
        <f aca="false">IF($A19="","",IF($S19&gt;=$H19-0.01,"Paid",IF($S19&gt;0,"Partially Paid","Unpaid")))</f>
        <v/>
      </c>
      <c r="X19" s="47" t="str">
        <f aca="false">IF($A19="","",$F19-$I19)</f>
        <v/>
      </c>
      <c r="Y19" s="48" t="str">
        <f aca="false">IF($A19="","",SUMIFS(Loans!$H$5:$H$44,Loans!$B$5:$B$44,$A19))</f>
        <v/>
      </c>
      <c r="Z19" s="47" t="str">
        <f aca="false">IF($A19="","",$X19-$Y19)</f>
        <v/>
      </c>
      <c r="AA19" s="52" t="str">
        <f aca="false">IF(OR($A19="",$F19=0),"",$X19/$F19)</f>
        <v/>
      </c>
      <c r="AB19" s="53" t="str">
        <f aca="true">IF($A19="","",IF($S19&gt;=$H19-0.01,"Paid",IF(AND($S19&gt;0,$J19&lt;&gt;"Yes"),"Advance Paid",IF($J19="Yes",IF(AND($E19&lt;&gt;"",TODAY()&gt;$E19),"Overdue Payment","Awaiting Payment"),IF(AND($E19&lt;&gt;"",TODAY()&gt;$E19),"Overdue Service","Open")))))</f>
        <v/>
      </c>
      <c r="AC19" s="36"/>
    </row>
    <row r="20" customFormat="false" ht="15" hidden="false" customHeight="true" outlineLevel="0" collapsed="false">
      <c r="A20" s="38"/>
      <c r="B20" s="38"/>
      <c r="C20" s="38"/>
      <c r="D20" s="38"/>
      <c r="E20" s="38"/>
      <c r="F20" s="38"/>
      <c r="G20" s="54" t="str">
        <f aca="false">IF($F20="","",$F20*VATRate)</f>
        <v/>
      </c>
      <c r="H20" s="54" t="str">
        <f aca="false">IF($F20="","",$F20+$G20)</f>
        <v/>
      </c>
      <c r="I20" s="55" t="str">
        <f aca="false">IF($A20="","",SUMIFS(OrderExpenses!$G$5:$G$84,OrderExpenses!$B$5:$B$84,$A20))</f>
        <v/>
      </c>
      <c r="J20" s="38"/>
      <c r="K20" s="38"/>
      <c r="L20" s="38"/>
      <c r="M20" s="38"/>
      <c r="N20" s="38"/>
      <c r="O20" s="51" t="n">
        <f aca="false">OffRate</f>
        <v>26.5</v>
      </c>
      <c r="P20" s="54" t="str">
        <f aca="false">IF($N20="","",$N20/$O20)</f>
        <v/>
      </c>
      <c r="Q20" s="51" t="n">
        <f aca="false">StreetRate</f>
        <v>33</v>
      </c>
      <c r="R20" s="54" t="str">
        <f aca="false">IF($N20="","",$N20/$Q20)</f>
        <v/>
      </c>
      <c r="S20" s="54" t="str">
        <f aca="false">IF($A20="","",IF($M20="",0,$M20)+IF($N20="",0,$N20/$O20))</f>
        <v/>
      </c>
      <c r="T20" s="54" t="str">
        <f aca="false">IF($A20="","",IF($M20="",0,$M20)+IF($N20="",0,$N20/$Q20))</f>
        <v/>
      </c>
      <c r="U20" s="54" t="str">
        <f aca="false">IF($A20="","",$H20-$S20)</f>
        <v/>
      </c>
      <c r="V20" s="38"/>
      <c r="W20" s="38" t="str">
        <f aca="false">IF($A20="","",IF($S20&gt;=$H20-0.01,"Paid",IF($S20&gt;0,"Partially Paid","Unpaid")))</f>
        <v/>
      </c>
      <c r="X20" s="54" t="str">
        <f aca="false">IF($A20="","",$F20-$I20)</f>
        <v/>
      </c>
      <c r="Y20" s="55" t="str">
        <f aca="false">IF($A20="","",SUMIFS(Loans!$H$5:$H$44,Loans!$B$5:$B$44,$A20))</f>
        <v/>
      </c>
      <c r="Z20" s="54" t="str">
        <f aca="false">IF($A20="","",$X20-$Y20)</f>
        <v/>
      </c>
      <c r="AA20" s="56" t="str">
        <f aca="false">IF(OR($A20="",$F20=0),"",$X20/$F20)</f>
        <v/>
      </c>
      <c r="AB20" s="57" t="str">
        <f aca="true">IF($A20="","",IF($S20&gt;=$H20-0.01,"Paid",IF(AND($S20&gt;0,$J20&lt;&gt;"Yes"),"Advance Paid",IF($J20="Yes",IF(AND($E20&lt;&gt;"",TODAY()&gt;$E20),"Overdue Payment","Awaiting Payment"),IF(AND($E20&lt;&gt;"",TODAY()&gt;$E20),"Overdue Service","Open")))))</f>
        <v/>
      </c>
      <c r="AC20" s="38"/>
    </row>
    <row r="21" customFormat="false" ht="15" hidden="false" customHeight="true" outlineLevel="0" collapsed="false">
      <c r="A21" s="36"/>
      <c r="B21" s="36"/>
      <c r="C21" s="36"/>
      <c r="D21" s="36"/>
      <c r="E21" s="36"/>
      <c r="F21" s="36"/>
      <c r="G21" s="47" t="str">
        <f aca="false">IF($F21="","",$F21*VATRate)</f>
        <v/>
      </c>
      <c r="H21" s="47" t="str">
        <f aca="false">IF($F21="","",$F21+$G21)</f>
        <v/>
      </c>
      <c r="I21" s="48" t="str">
        <f aca="false">IF($A21="","",SUMIFS(OrderExpenses!$G$5:$G$84,OrderExpenses!$B$5:$B$84,$A21))</f>
        <v/>
      </c>
      <c r="J21" s="36"/>
      <c r="K21" s="36"/>
      <c r="L21" s="36"/>
      <c r="M21" s="36"/>
      <c r="N21" s="36"/>
      <c r="O21" s="51" t="n">
        <f aca="false">OffRate</f>
        <v>26.5</v>
      </c>
      <c r="P21" s="47" t="str">
        <f aca="false">IF($N21="","",$N21/$O21)</f>
        <v/>
      </c>
      <c r="Q21" s="51" t="n">
        <f aca="false">StreetRate</f>
        <v>33</v>
      </c>
      <c r="R21" s="47" t="str">
        <f aca="false">IF($N21="","",$N21/$Q21)</f>
        <v/>
      </c>
      <c r="S21" s="47" t="str">
        <f aca="false">IF($A21="","",IF($M21="",0,$M21)+IF($N21="",0,$N21/$O21))</f>
        <v/>
      </c>
      <c r="T21" s="47" t="str">
        <f aca="false">IF($A21="","",IF($M21="",0,$M21)+IF($N21="",0,$N21/$Q21))</f>
        <v/>
      </c>
      <c r="U21" s="47" t="str">
        <f aca="false">IF($A21="","",$H21-$S21)</f>
        <v/>
      </c>
      <c r="V21" s="36"/>
      <c r="W21" s="36" t="str">
        <f aca="false">IF($A21="","",IF($S21&gt;=$H21-0.01,"Paid",IF($S21&gt;0,"Partially Paid","Unpaid")))</f>
        <v/>
      </c>
      <c r="X21" s="47" t="str">
        <f aca="false">IF($A21="","",$F21-$I21)</f>
        <v/>
      </c>
      <c r="Y21" s="48" t="str">
        <f aca="false">IF($A21="","",SUMIFS(Loans!$H$5:$H$44,Loans!$B$5:$B$44,$A21))</f>
        <v/>
      </c>
      <c r="Z21" s="47" t="str">
        <f aca="false">IF($A21="","",$X21-$Y21)</f>
        <v/>
      </c>
      <c r="AA21" s="52" t="str">
        <f aca="false">IF(OR($A21="",$F21=0),"",$X21/$F21)</f>
        <v/>
      </c>
      <c r="AB21" s="53" t="str">
        <f aca="true">IF($A21="","",IF($S21&gt;=$H21-0.01,"Paid",IF(AND($S21&gt;0,$J21&lt;&gt;"Yes"),"Advance Paid",IF($J21="Yes",IF(AND($E21&lt;&gt;"",TODAY()&gt;$E21),"Overdue Payment","Awaiting Payment"),IF(AND($E21&lt;&gt;"",TODAY()&gt;$E21),"Overdue Service","Open")))))</f>
        <v/>
      </c>
      <c r="AC21" s="36"/>
    </row>
    <row r="22" customFormat="false" ht="15" hidden="false" customHeight="true" outlineLevel="0" collapsed="false">
      <c r="A22" s="38"/>
      <c r="B22" s="38"/>
      <c r="C22" s="38"/>
      <c r="D22" s="38"/>
      <c r="E22" s="38"/>
      <c r="F22" s="38"/>
      <c r="G22" s="54" t="str">
        <f aca="false">IF($F22="","",$F22*VATRate)</f>
        <v/>
      </c>
      <c r="H22" s="54" t="str">
        <f aca="false">IF($F22="","",$F22+$G22)</f>
        <v/>
      </c>
      <c r="I22" s="55" t="str">
        <f aca="false">IF($A22="","",SUMIFS(OrderExpenses!$G$5:$G$84,OrderExpenses!$B$5:$B$84,$A22))</f>
        <v/>
      </c>
      <c r="J22" s="38"/>
      <c r="K22" s="38"/>
      <c r="L22" s="38"/>
      <c r="M22" s="38"/>
      <c r="N22" s="38"/>
      <c r="O22" s="51" t="n">
        <f aca="false">OffRate</f>
        <v>26.5</v>
      </c>
      <c r="P22" s="54" t="str">
        <f aca="false">IF($N22="","",$N22/$O22)</f>
        <v/>
      </c>
      <c r="Q22" s="51" t="n">
        <f aca="false">StreetRate</f>
        <v>33</v>
      </c>
      <c r="R22" s="54" t="str">
        <f aca="false">IF($N22="","",$N22/$Q22)</f>
        <v/>
      </c>
      <c r="S22" s="54" t="str">
        <f aca="false">IF($A22="","",IF($M22="",0,$M22)+IF($N22="",0,$N22/$O22))</f>
        <v/>
      </c>
      <c r="T22" s="54" t="str">
        <f aca="false">IF($A22="","",IF($M22="",0,$M22)+IF($N22="",0,$N22/$Q22))</f>
        <v/>
      </c>
      <c r="U22" s="54" t="str">
        <f aca="false">IF($A22="","",$H22-$S22)</f>
        <v/>
      </c>
      <c r="V22" s="38"/>
      <c r="W22" s="38" t="str">
        <f aca="false">IF($A22="","",IF($S22&gt;=$H22-0.01,"Paid",IF($S22&gt;0,"Partially Paid","Unpaid")))</f>
        <v/>
      </c>
      <c r="X22" s="54" t="str">
        <f aca="false">IF($A22="","",$F22-$I22)</f>
        <v/>
      </c>
      <c r="Y22" s="55" t="str">
        <f aca="false">IF($A22="","",SUMIFS(Loans!$H$5:$H$44,Loans!$B$5:$B$44,$A22))</f>
        <v/>
      </c>
      <c r="Z22" s="54" t="str">
        <f aca="false">IF($A22="","",$X22-$Y22)</f>
        <v/>
      </c>
      <c r="AA22" s="56" t="str">
        <f aca="false">IF(OR($A22="",$F22=0),"",$X22/$F22)</f>
        <v/>
      </c>
      <c r="AB22" s="57" t="str">
        <f aca="true">IF($A22="","",IF($S22&gt;=$H22-0.01,"Paid",IF(AND($S22&gt;0,$J22&lt;&gt;"Yes"),"Advance Paid",IF($J22="Yes",IF(AND($E22&lt;&gt;"",TODAY()&gt;$E22),"Overdue Payment","Awaiting Payment"),IF(AND($E22&lt;&gt;"",TODAY()&gt;$E22),"Overdue Service","Open")))))</f>
        <v/>
      </c>
      <c r="AC22" s="38"/>
    </row>
    <row r="23" customFormat="false" ht="15" hidden="false" customHeight="true" outlineLevel="0" collapsed="false">
      <c r="A23" s="36"/>
      <c r="B23" s="36"/>
      <c r="C23" s="36"/>
      <c r="D23" s="36"/>
      <c r="E23" s="36"/>
      <c r="F23" s="36"/>
      <c r="G23" s="47" t="str">
        <f aca="false">IF($F23="","",$F23*VATRate)</f>
        <v/>
      </c>
      <c r="H23" s="47" t="str">
        <f aca="false">IF($F23="","",$F23+$G23)</f>
        <v/>
      </c>
      <c r="I23" s="48" t="str">
        <f aca="false">IF($A23="","",SUMIFS(OrderExpenses!$G$5:$G$84,OrderExpenses!$B$5:$B$84,$A23))</f>
        <v/>
      </c>
      <c r="J23" s="36"/>
      <c r="K23" s="36"/>
      <c r="L23" s="36"/>
      <c r="M23" s="36"/>
      <c r="N23" s="36"/>
      <c r="O23" s="51" t="n">
        <f aca="false">OffRate</f>
        <v>26.5</v>
      </c>
      <c r="P23" s="47" t="str">
        <f aca="false">IF($N23="","",$N23/$O23)</f>
        <v/>
      </c>
      <c r="Q23" s="51" t="n">
        <f aca="false">StreetRate</f>
        <v>33</v>
      </c>
      <c r="R23" s="47" t="str">
        <f aca="false">IF($N23="","",$N23/$Q23)</f>
        <v/>
      </c>
      <c r="S23" s="47" t="str">
        <f aca="false">IF($A23="","",IF($M23="",0,$M23)+IF($N23="",0,$N23/$O23))</f>
        <v/>
      </c>
      <c r="T23" s="47" t="str">
        <f aca="false">IF($A23="","",IF($M23="",0,$M23)+IF($N23="",0,$N23/$Q23))</f>
        <v/>
      </c>
      <c r="U23" s="47" t="str">
        <f aca="false">IF($A23="","",$H23-$S23)</f>
        <v/>
      </c>
      <c r="V23" s="36"/>
      <c r="W23" s="36" t="str">
        <f aca="false">IF($A23="","",IF($S23&gt;=$H23-0.01,"Paid",IF($S23&gt;0,"Partially Paid","Unpaid")))</f>
        <v/>
      </c>
      <c r="X23" s="47" t="str">
        <f aca="false">IF($A23="","",$F23-$I23)</f>
        <v/>
      </c>
      <c r="Y23" s="48" t="str">
        <f aca="false">IF($A23="","",SUMIFS(Loans!$H$5:$H$44,Loans!$B$5:$B$44,$A23))</f>
        <v/>
      </c>
      <c r="Z23" s="47" t="str">
        <f aca="false">IF($A23="","",$X23-$Y23)</f>
        <v/>
      </c>
      <c r="AA23" s="52" t="str">
        <f aca="false">IF(OR($A23="",$F23=0),"",$X23/$F23)</f>
        <v/>
      </c>
      <c r="AB23" s="53" t="str">
        <f aca="true">IF($A23="","",IF($S23&gt;=$H23-0.01,"Paid",IF(AND($S23&gt;0,$J23&lt;&gt;"Yes"),"Advance Paid",IF($J23="Yes",IF(AND($E23&lt;&gt;"",TODAY()&gt;$E23),"Overdue Payment","Awaiting Payment"),IF(AND($E23&lt;&gt;"",TODAY()&gt;$E23),"Overdue Service","Open")))))</f>
        <v/>
      </c>
      <c r="AC23" s="36"/>
    </row>
    <row r="24" customFormat="false" ht="15" hidden="false" customHeight="true" outlineLevel="0" collapsed="false">
      <c r="A24" s="38"/>
      <c r="B24" s="38"/>
      <c r="C24" s="38"/>
      <c r="D24" s="38"/>
      <c r="E24" s="38"/>
      <c r="F24" s="38"/>
      <c r="G24" s="54" t="str">
        <f aca="false">IF($F24="","",$F24*VATRate)</f>
        <v/>
      </c>
      <c r="H24" s="54" t="str">
        <f aca="false">IF($F24="","",$F24+$G24)</f>
        <v/>
      </c>
      <c r="I24" s="55" t="str">
        <f aca="false">IF($A24="","",SUMIFS(OrderExpenses!$G$5:$G$84,OrderExpenses!$B$5:$B$84,$A24))</f>
        <v/>
      </c>
      <c r="J24" s="38"/>
      <c r="K24" s="38"/>
      <c r="L24" s="38"/>
      <c r="M24" s="38"/>
      <c r="N24" s="38"/>
      <c r="O24" s="51" t="n">
        <f aca="false">OffRate</f>
        <v>26.5</v>
      </c>
      <c r="P24" s="54" t="str">
        <f aca="false">IF($N24="","",$N24/$O24)</f>
        <v/>
      </c>
      <c r="Q24" s="51" t="n">
        <f aca="false">StreetRate</f>
        <v>33</v>
      </c>
      <c r="R24" s="54" t="str">
        <f aca="false">IF($N24="","",$N24/$Q24)</f>
        <v/>
      </c>
      <c r="S24" s="54" t="str">
        <f aca="false">IF($A24="","",IF($M24="",0,$M24)+IF($N24="",0,$N24/$O24))</f>
        <v/>
      </c>
      <c r="T24" s="54" t="str">
        <f aca="false">IF($A24="","",IF($M24="",0,$M24)+IF($N24="",0,$N24/$Q24))</f>
        <v/>
      </c>
      <c r="U24" s="54" t="str">
        <f aca="false">IF($A24="","",$H24-$S24)</f>
        <v/>
      </c>
      <c r="V24" s="38"/>
      <c r="W24" s="38" t="str">
        <f aca="false">IF($A24="","",IF($S24&gt;=$H24-0.01,"Paid",IF($S24&gt;0,"Partially Paid","Unpaid")))</f>
        <v/>
      </c>
      <c r="X24" s="54" t="str">
        <f aca="false">IF($A24="","",$F24-$I24)</f>
        <v/>
      </c>
      <c r="Y24" s="55" t="str">
        <f aca="false">IF($A24="","",SUMIFS(Loans!$H$5:$H$44,Loans!$B$5:$B$44,$A24))</f>
        <v/>
      </c>
      <c r="Z24" s="54" t="str">
        <f aca="false">IF($A24="","",$X24-$Y24)</f>
        <v/>
      </c>
      <c r="AA24" s="56" t="str">
        <f aca="false">IF(OR($A24="",$F24=0),"",$X24/$F24)</f>
        <v/>
      </c>
      <c r="AB24" s="57" t="str">
        <f aca="true">IF($A24="","",IF($S24&gt;=$H24-0.01,"Paid",IF(AND($S24&gt;0,$J24&lt;&gt;"Yes"),"Advance Paid",IF($J24="Yes",IF(AND($E24&lt;&gt;"",TODAY()&gt;$E24),"Overdue Payment","Awaiting Payment"),IF(AND($E24&lt;&gt;"",TODAY()&gt;$E24),"Overdue Service","Open")))))</f>
        <v/>
      </c>
      <c r="AC24" s="38"/>
    </row>
    <row r="25" customFormat="false" ht="15" hidden="false" customHeight="true" outlineLevel="0" collapsed="false">
      <c r="A25" s="36"/>
      <c r="B25" s="36"/>
      <c r="C25" s="36"/>
      <c r="D25" s="36"/>
      <c r="E25" s="36"/>
      <c r="F25" s="36"/>
      <c r="G25" s="47" t="str">
        <f aca="false">IF($F25="","",$F25*VATRate)</f>
        <v/>
      </c>
      <c r="H25" s="47" t="str">
        <f aca="false">IF($F25="","",$F25+$G25)</f>
        <v/>
      </c>
      <c r="I25" s="48" t="str">
        <f aca="false">IF($A25="","",SUMIFS(OrderExpenses!$G$5:$G$84,OrderExpenses!$B$5:$B$84,$A25))</f>
        <v/>
      </c>
      <c r="J25" s="36"/>
      <c r="K25" s="36"/>
      <c r="L25" s="36"/>
      <c r="M25" s="36"/>
      <c r="N25" s="36"/>
      <c r="O25" s="51" t="n">
        <f aca="false">OffRate</f>
        <v>26.5</v>
      </c>
      <c r="P25" s="47" t="str">
        <f aca="false">IF($N25="","",$N25/$O25)</f>
        <v/>
      </c>
      <c r="Q25" s="51" t="n">
        <f aca="false">StreetRate</f>
        <v>33</v>
      </c>
      <c r="R25" s="47" t="str">
        <f aca="false">IF($N25="","",$N25/$Q25)</f>
        <v/>
      </c>
      <c r="S25" s="47" t="str">
        <f aca="false">IF($A25="","",IF($M25="",0,$M25)+IF($N25="",0,$N25/$O25))</f>
        <v/>
      </c>
      <c r="T25" s="47" t="str">
        <f aca="false">IF($A25="","",IF($M25="",0,$M25)+IF($N25="",0,$N25/$Q25))</f>
        <v/>
      </c>
      <c r="U25" s="47" t="str">
        <f aca="false">IF($A25="","",$H25-$S25)</f>
        <v/>
      </c>
      <c r="V25" s="36"/>
      <c r="W25" s="36" t="str">
        <f aca="false">IF($A25="","",IF($S25&gt;=$H25-0.01,"Paid",IF($S25&gt;0,"Partially Paid","Unpaid")))</f>
        <v/>
      </c>
      <c r="X25" s="47" t="str">
        <f aca="false">IF($A25="","",$F25-$I25)</f>
        <v/>
      </c>
      <c r="Y25" s="48" t="str">
        <f aca="false">IF($A25="","",SUMIFS(Loans!$H$5:$H$44,Loans!$B$5:$B$44,$A25))</f>
        <v/>
      </c>
      <c r="Z25" s="47" t="str">
        <f aca="false">IF($A25="","",$X25-$Y25)</f>
        <v/>
      </c>
      <c r="AA25" s="52" t="str">
        <f aca="false">IF(OR($A25="",$F25=0),"",$X25/$F25)</f>
        <v/>
      </c>
      <c r="AB25" s="53" t="str">
        <f aca="true">IF($A25="","",IF($S25&gt;=$H25-0.01,"Paid",IF(AND($S25&gt;0,$J25&lt;&gt;"Yes"),"Advance Paid",IF($J25="Yes",IF(AND($E25&lt;&gt;"",TODAY()&gt;$E25),"Overdue Payment","Awaiting Payment"),IF(AND($E25&lt;&gt;"",TODAY()&gt;$E25),"Overdue Service","Open")))))</f>
        <v/>
      </c>
      <c r="AC25" s="36"/>
    </row>
    <row r="26" customFormat="false" ht="15" hidden="false" customHeight="true" outlineLevel="0" collapsed="false">
      <c r="A26" s="38"/>
      <c r="B26" s="38"/>
      <c r="C26" s="38"/>
      <c r="D26" s="38"/>
      <c r="E26" s="38"/>
      <c r="F26" s="38"/>
      <c r="G26" s="54" t="str">
        <f aca="false">IF($F26="","",$F26*VATRate)</f>
        <v/>
      </c>
      <c r="H26" s="54" t="str">
        <f aca="false">IF($F26="","",$F26+$G26)</f>
        <v/>
      </c>
      <c r="I26" s="55" t="str">
        <f aca="false">IF($A26="","",SUMIFS(OrderExpenses!$G$5:$G$84,OrderExpenses!$B$5:$B$84,$A26))</f>
        <v/>
      </c>
      <c r="J26" s="38"/>
      <c r="K26" s="38"/>
      <c r="L26" s="38"/>
      <c r="M26" s="38"/>
      <c r="N26" s="38"/>
      <c r="O26" s="51" t="n">
        <f aca="false">OffRate</f>
        <v>26.5</v>
      </c>
      <c r="P26" s="54" t="str">
        <f aca="false">IF($N26="","",$N26/$O26)</f>
        <v/>
      </c>
      <c r="Q26" s="51" t="n">
        <f aca="false">StreetRate</f>
        <v>33</v>
      </c>
      <c r="R26" s="54" t="str">
        <f aca="false">IF($N26="","",$N26/$Q26)</f>
        <v/>
      </c>
      <c r="S26" s="54" t="str">
        <f aca="false">IF($A26="","",IF($M26="",0,$M26)+IF($N26="",0,$N26/$O26))</f>
        <v/>
      </c>
      <c r="T26" s="54" t="str">
        <f aca="false">IF($A26="","",IF($M26="",0,$M26)+IF($N26="",0,$N26/$Q26))</f>
        <v/>
      </c>
      <c r="U26" s="54" t="str">
        <f aca="false">IF($A26="","",$H26-$S26)</f>
        <v/>
      </c>
      <c r="V26" s="38"/>
      <c r="W26" s="38" t="str">
        <f aca="false">IF($A26="","",IF($S26&gt;=$H26-0.01,"Paid",IF($S26&gt;0,"Partially Paid","Unpaid")))</f>
        <v/>
      </c>
      <c r="X26" s="54" t="str">
        <f aca="false">IF($A26="","",$F26-$I26)</f>
        <v/>
      </c>
      <c r="Y26" s="55" t="str">
        <f aca="false">IF($A26="","",SUMIFS(Loans!$H$5:$H$44,Loans!$B$5:$B$44,$A26))</f>
        <v/>
      </c>
      <c r="Z26" s="54" t="str">
        <f aca="false">IF($A26="","",$X26-$Y26)</f>
        <v/>
      </c>
      <c r="AA26" s="56" t="str">
        <f aca="false">IF(OR($A26="",$F26=0),"",$X26/$F26)</f>
        <v/>
      </c>
      <c r="AB26" s="57" t="str">
        <f aca="true">IF($A26="","",IF($S26&gt;=$H26-0.01,"Paid",IF(AND($S26&gt;0,$J26&lt;&gt;"Yes"),"Advance Paid",IF($J26="Yes",IF(AND($E26&lt;&gt;"",TODAY()&gt;$E26),"Overdue Payment","Awaiting Payment"),IF(AND($E26&lt;&gt;"",TODAY()&gt;$E26),"Overdue Service","Open")))))</f>
        <v/>
      </c>
      <c r="AC26" s="38"/>
    </row>
    <row r="27" customFormat="false" ht="15" hidden="false" customHeight="true" outlineLevel="0" collapsed="false">
      <c r="A27" s="36"/>
      <c r="B27" s="36"/>
      <c r="C27" s="36"/>
      <c r="D27" s="36"/>
      <c r="E27" s="36"/>
      <c r="F27" s="36"/>
      <c r="G27" s="47" t="str">
        <f aca="false">IF($F27="","",$F27*VATRate)</f>
        <v/>
      </c>
      <c r="H27" s="47" t="str">
        <f aca="false">IF($F27="","",$F27+$G27)</f>
        <v/>
      </c>
      <c r="I27" s="48" t="str">
        <f aca="false">IF($A27="","",SUMIFS(OrderExpenses!$G$5:$G$84,OrderExpenses!$B$5:$B$84,$A27))</f>
        <v/>
      </c>
      <c r="J27" s="36"/>
      <c r="K27" s="36"/>
      <c r="L27" s="36"/>
      <c r="M27" s="36"/>
      <c r="N27" s="36"/>
      <c r="O27" s="51" t="n">
        <f aca="false">OffRate</f>
        <v>26.5</v>
      </c>
      <c r="P27" s="47" t="str">
        <f aca="false">IF($N27="","",$N27/$O27)</f>
        <v/>
      </c>
      <c r="Q27" s="51" t="n">
        <f aca="false">StreetRate</f>
        <v>33</v>
      </c>
      <c r="R27" s="47" t="str">
        <f aca="false">IF($N27="","",$N27/$Q27)</f>
        <v/>
      </c>
      <c r="S27" s="47" t="str">
        <f aca="false">IF($A27="","",IF($M27="",0,$M27)+IF($N27="",0,$N27/$O27))</f>
        <v/>
      </c>
      <c r="T27" s="47" t="str">
        <f aca="false">IF($A27="","",IF($M27="",0,$M27)+IF($N27="",0,$N27/$Q27))</f>
        <v/>
      </c>
      <c r="U27" s="47" t="str">
        <f aca="false">IF($A27="","",$H27-$S27)</f>
        <v/>
      </c>
      <c r="V27" s="36"/>
      <c r="W27" s="36" t="str">
        <f aca="false">IF($A27="","",IF($S27&gt;=$H27-0.01,"Paid",IF($S27&gt;0,"Partially Paid","Unpaid")))</f>
        <v/>
      </c>
      <c r="X27" s="47" t="str">
        <f aca="false">IF($A27="","",$F27-$I27)</f>
        <v/>
      </c>
      <c r="Y27" s="48" t="str">
        <f aca="false">IF($A27="","",SUMIFS(Loans!$H$5:$H$44,Loans!$B$5:$B$44,$A27))</f>
        <v/>
      </c>
      <c r="Z27" s="47" t="str">
        <f aca="false">IF($A27="","",$X27-$Y27)</f>
        <v/>
      </c>
      <c r="AA27" s="52" t="str">
        <f aca="false">IF(OR($A27="",$F27=0),"",$X27/$F27)</f>
        <v/>
      </c>
      <c r="AB27" s="53" t="str">
        <f aca="true">IF($A27="","",IF($S27&gt;=$H27-0.01,"Paid",IF(AND($S27&gt;0,$J27&lt;&gt;"Yes"),"Advance Paid",IF($J27="Yes",IF(AND($E27&lt;&gt;"",TODAY()&gt;$E27),"Overdue Payment","Awaiting Payment"),IF(AND($E27&lt;&gt;"",TODAY()&gt;$E27),"Overdue Service","Open")))))</f>
        <v/>
      </c>
      <c r="AC27" s="36"/>
    </row>
    <row r="28" customFormat="false" ht="15" hidden="false" customHeight="true" outlineLevel="0" collapsed="false">
      <c r="A28" s="38"/>
      <c r="B28" s="38"/>
      <c r="C28" s="38"/>
      <c r="D28" s="38"/>
      <c r="E28" s="38"/>
      <c r="F28" s="38"/>
      <c r="G28" s="54" t="str">
        <f aca="false">IF($F28="","",$F28*VATRate)</f>
        <v/>
      </c>
      <c r="H28" s="54" t="str">
        <f aca="false">IF($F28="","",$F28+$G28)</f>
        <v/>
      </c>
      <c r="I28" s="55" t="str">
        <f aca="false">IF($A28="","",SUMIFS(OrderExpenses!$G$5:$G$84,OrderExpenses!$B$5:$B$84,$A28))</f>
        <v/>
      </c>
      <c r="J28" s="38"/>
      <c r="K28" s="38"/>
      <c r="L28" s="38"/>
      <c r="M28" s="38"/>
      <c r="N28" s="38"/>
      <c r="O28" s="51" t="n">
        <f aca="false">OffRate</f>
        <v>26.5</v>
      </c>
      <c r="P28" s="54" t="str">
        <f aca="false">IF($N28="","",$N28/$O28)</f>
        <v/>
      </c>
      <c r="Q28" s="51" t="n">
        <f aca="false">StreetRate</f>
        <v>33</v>
      </c>
      <c r="R28" s="54" t="str">
        <f aca="false">IF($N28="","",$N28/$Q28)</f>
        <v/>
      </c>
      <c r="S28" s="54" t="str">
        <f aca="false">IF($A28="","",IF($M28="",0,$M28)+IF($N28="",0,$N28/$O28))</f>
        <v/>
      </c>
      <c r="T28" s="54" t="str">
        <f aca="false">IF($A28="","",IF($M28="",0,$M28)+IF($N28="",0,$N28/$Q28))</f>
        <v/>
      </c>
      <c r="U28" s="54" t="str">
        <f aca="false">IF($A28="","",$H28-$S28)</f>
        <v/>
      </c>
      <c r="V28" s="38"/>
      <c r="W28" s="38" t="str">
        <f aca="false">IF($A28="","",IF($S28&gt;=$H28-0.01,"Paid",IF($S28&gt;0,"Partially Paid","Unpaid")))</f>
        <v/>
      </c>
      <c r="X28" s="54" t="str">
        <f aca="false">IF($A28="","",$F28-$I28)</f>
        <v/>
      </c>
      <c r="Y28" s="55" t="str">
        <f aca="false">IF($A28="","",SUMIFS(Loans!$H$5:$H$44,Loans!$B$5:$B$44,$A28))</f>
        <v/>
      </c>
      <c r="Z28" s="54" t="str">
        <f aca="false">IF($A28="","",$X28-$Y28)</f>
        <v/>
      </c>
      <c r="AA28" s="56" t="str">
        <f aca="false">IF(OR($A28="",$F28=0),"",$X28/$F28)</f>
        <v/>
      </c>
      <c r="AB28" s="57" t="str">
        <f aca="true">IF($A28="","",IF($S28&gt;=$H28-0.01,"Paid",IF(AND($S28&gt;0,$J28&lt;&gt;"Yes"),"Advance Paid",IF($J28="Yes",IF(AND($E28&lt;&gt;"",TODAY()&gt;$E28),"Overdue Payment","Awaiting Payment"),IF(AND($E28&lt;&gt;"",TODAY()&gt;$E28),"Overdue Service","Open")))))</f>
        <v/>
      </c>
      <c r="AC28" s="38"/>
    </row>
    <row r="29" customFormat="false" ht="15" hidden="false" customHeight="true" outlineLevel="0" collapsed="false">
      <c r="A29" s="36"/>
      <c r="B29" s="36"/>
      <c r="C29" s="36"/>
      <c r="D29" s="36"/>
      <c r="E29" s="36"/>
      <c r="F29" s="36"/>
      <c r="G29" s="47" t="str">
        <f aca="false">IF($F29="","",$F29*VATRate)</f>
        <v/>
      </c>
      <c r="H29" s="47" t="str">
        <f aca="false">IF($F29="","",$F29+$G29)</f>
        <v/>
      </c>
      <c r="I29" s="48" t="str">
        <f aca="false">IF($A29="","",SUMIFS(OrderExpenses!$G$5:$G$84,OrderExpenses!$B$5:$B$84,$A29))</f>
        <v/>
      </c>
      <c r="J29" s="36"/>
      <c r="K29" s="36"/>
      <c r="L29" s="36"/>
      <c r="M29" s="36"/>
      <c r="N29" s="36"/>
      <c r="O29" s="51" t="n">
        <f aca="false">OffRate</f>
        <v>26.5</v>
      </c>
      <c r="P29" s="47" t="str">
        <f aca="false">IF($N29="","",$N29/$O29)</f>
        <v/>
      </c>
      <c r="Q29" s="51" t="n">
        <f aca="false">StreetRate</f>
        <v>33</v>
      </c>
      <c r="R29" s="47" t="str">
        <f aca="false">IF($N29="","",$N29/$Q29)</f>
        <v/>
      </c>
      <c r="S29" s="47" t="str">
        <f aca="false">IF($A29="","",IF($M29="",0,$M29)+IF($N29="",0,$N29/$O29))</f>
        <v/>
      </c>
      <c r="T29" s="47" t="str">
        <f aca="false">IF($A29="","",IF($M29="",0,$M29)+IF($N29="",0,$N29/$Q29))</f>
        <v/>
      </c>
      <c r="U29" s="47" t="str">
        <f aca="false">IF($A29="","",$H29-$S29)</f>
        <v/>
      </c>
      <c r="V29" s="36"/>
      <c r="W29" s="36" t="str">
        <f aca="false">IF($A29="","",IF($S29&gt;=$H29-0.01,"Paid",IF($S29&gt;0,"Partially Paid","Unpaid")))</f>
        <v/>
      </c>
      <c r="X29" s="47" t="str">
        <f aca="false">IF($A29="","",$F29-$I29)</f>
        <v/>
      </c>
      <c r="Y29" s="48" t="str">
        <f aca="false">IF($A29="","",SUMIFS(Loans!$H$5:$H$44,Loans!$B$5:$B$44,$A29))</f>
        <v/>
      </c>
      <c r="Z29" s="47" t="str">
        <f aca="false">IF($A29="","",$X29-$Y29)</f>
        <v/>
      </c>
      <c r="AA29" s="52" t="str">
        <f aca="false">IF(OR($A29="",$F29=0),"",$X29/$F29)</f>
        <v/>
      </c>
      <c r="AB29" s="53" t="str">
        <f aca="true">IF($A29="","",IF($S29&gt;=$H29-0.01,"Paid",IF(AND($S29&gt;0,$J29&lt;&gt;"Yes"),"Advance Paid",IF($J29="Yes",IF(AND($E29&lt;&gt;"",TODAY()&gt;$E29),"Overdue Payment","Awaiting Payment"),IF(AND($E29&lt;&gt;"",TODAY()&gt;$E29),"Overdue Service","Open")))))</f>
        <v/>
      </c>
      <c r="AC29" s="36"/>
    </row>
    <row r="30" customFormat="false" ht="15" hidden="false" customHeight="true" outlineLevel="0" collapsed="false">
      <c r="A30" s="38"/>
      <c r="B30" s="38"/>
      <c r="C30" s="38"/>
      <c r="D30" s="38"/>
      <c r="E30" s="38"/>
      <c r="F30" s="38"/>
      <c r="G30" s="54" t="str">
        <f aca="false">IF($F30="","",$F30*VATRate)</f>
        <v/>
      </c>
      <c r="H30" s="54" t="str">
        <f aca="false">IF($F30="","",$F30+$G30)</f>
        <v/>
      </c>
      <c r="I30" s="55" t="str">
        <f aca="false">IF($A30="","",SUMIFS(OrderExpenses!$G$5:$G$84,OrderExpenses!$B$5:$B$84,$A30))</f>
        <v/>
      </c>
      <c r="J30" s="38"/>
      <c r="K30" s="38"/>
      <c r="L30" s="38"/>
      <c r="M30" s="38"/>
      <c r="N30" s="38"/>
      <c r="O30" s="51" t="n">
        <f aca="false">OffRate</f>
        <v>26.5</v>
      </c>
      <c r="P30" s="54" t="str">
        <f aca="false">IF($N30="","",$N30/$O30)</f>
        <v/>
      </c>
      <c r="Q30" s="51" t="n">
        <f aca="false">StreetRate</f>
        <v>33</v>
      </c>
      <c r="R30" s="54" t="str">
        <f aca="false">IF($N30="","",$N30/$Q30)</f>
        <v/>
      </c>
      <c r="S30" s="54" t="str">
        <f aca="false">IF($A30="","",IF($M30="",0,$M30)+IF($N30="",0,$N30/$O30))</f>
        <v/>
      </c>
      <c r="T30" s="54" t="str">
        <f aca="false">IF($A30="","",IF($M30="",0,$M30)+IF($N30="",0,$N30/$Q30))</f>
        <v/>
      </c>
      <c r="U30" s="54" t="str">
        <f aca="false">IF($A30="","",$H30-$S30)</f>
        <v/>
      </c>
      <c r="V30" s="38"/>
      <c r="W30" s="38" t="str">
        <f aca="false">IF($A30="","",IF($S30&gt;=$H30-0.01,"Paid",IF($S30&gt;0,"Partially Paid","Unpaid")))</f>
        <v/>
      </c>
      <c r="X30" s="54" t="str">
        <f aca="false">IF($A30="","",$F30-$I30)</f>
        <v/>
      </c>
      <c r="Y30" s="55" t="str">
        <f aca="false">IF($A30="","",SUMIFS(Loans!$H$5:$H$44,Loans!$B$5:$B$44,$A30))</f>
        <v/>
      </c>
      <c r="Z30" s="54" t="str">
        <f aca="false">IF($A30="","",$X30-$Y30)</f>
        <v/>
      </c>
      <c r="AA30" s="56" t="str">
        <f aca="false">IF(OR($A30="",$F30=0),"",$X30/$F30)</f>
        <v/>
      </c>
      <c r="AB30" s="57" t="str">
        <f aca="true">IF($A30="","",IF($S30&gt;=$H30-0.01,"Paid",IF(AND($S30&gt;0,$J30&lt;&gt;"Yes"),"Advance Paid",IF($J30="Yes",IF(AND($E30&lt;&gt;"",TODAY()&gt;$E30),"Overdue Payment","Awaiting Payment"),IF(AND($E30&lt;&gt;"",TODAY()&gt;$E30),"Overdue Service","Open")))))</f>
        <v/>
      </c>
      <c r="AC30" s="38"/>
    </row>
    <row r="31" customFormat="false" ht="15" hidden="false" customHeight="true" outlineLevel="0" collapsed="false">
      <c r="A31" s="36"/>
      <c r="B31" s="36"/>
      <c r="C31" s="36"/>
      <c r="D31" s="36"/>
      <c r="E31" s="36"/>
      <c r="F31" s="36"/>
      <c r="G31" s="47" t="str">
        <f aca="false">IF($F31="","",$F31*VATRate)</f>
        <v/>
      </c>
      <c r="H31" s="47" t="str">
        <f aca="false">IF($F31="","",$F31+$G31)</f>
        <v/>
      </c>
      <c r="I31" s="48" t="str">
        <f aca="false">IF($A31="","",SUMIFS(OrderExpenses!$G$5:$G$84,OrderExpenses!$B$5:$B$84,$A31))</f>
        <v/>
      </c>
      <c r="J31" s="36"/>
      <c r="K31" s="36"/>
      <c r="L31" s="36"/>
      <c r="M31" s="36"/>
      <c r="N31" s="36"/>
      <c r="O31" s="51" t="n">
        <f aca="false">OffRate</f>
        <v>26.5</v>
      </c>
      <c r="P31" s="47" t="str">
        <f aca="false">IF($N31="","",$N31/$O31)</f>
        <v/>
      </c>
      <c r="Q31" s="51" t="n">
        <f aca="false">StreetRate</f>
        <v>33</v>
      </c>
      <c r="R31" s="47" t="str">
        <f aca="false">IF($N31="","",$N31/$Q31)</f>
        <v/>
      </c>
      <c r="S31" s="47" t="str">
        <f aca="false">IF($A31="","",IF($M31="",0,$M31)+IF($N31="",0,$N31/$O31))</f>
        <v/>
      </c>
      <c r="T31" s="47" t="str">
        <f aca="false">IF($A31="","",IF($M31="",0,$M31)+IF($N31="",0,$N31/$Q31))</f>
        <v/>
      </c>
      <c r="U31" s="47" t="str">
        <f aca="false">IF($A31="","",$H31-$S31)</f>
        <v/>
      </c>
      <c r="V31" s="36"/>
      <c r="W31" s="36" t="str">
        <f aca="false">IF($A31="","",IF($S31&gt;=$H31-0.01,"Paid",IF($S31&gt;0,"Partially Paid","Unpaid")))</f>
        <v/>
      </c>
      <c r="X31" s="47" t="str">
        <f aca="false">IF($A31="","",$F31-$I31)</f>
        <v/>
      </c>
      <c r="Y31" s="48" t="str">
        <f aca="false">IF($A31="","",SUMIFS(Loans!$H$5:$H$44,Loans!$B$5:$B$44,$A31))</f>
        <v/>
      </c>
      <c r="Z31" s="47" t="str">
        <f aca="false">IF($A31="","",$X31-$Y31)</f>
        <v/>
      </c>
      <c r="AA31" s="52" t="str">
        <f aca="false">IF(OR($A31="",$F31=0),"",$X31/$F31)</f>
        <v/>
      </c>
      <c r="AB31" s="53" t="str">
        <f aca="true">IF($A31="","",IF($S31&gt;=$H31-0.01,"Paid",IF(AND($S31&gt;0,$J31&lt;&gt;"Yes"),"Advance Paid",IF($J31="Yes",IF(AND($E31&lt;&gt;"",TODAY()&gt;$E31),"Overdue Payment","Awaiting Payment"),IF(AND($E31&lt;&gt;"",TODAY()&gt;$E31),"Overdue Service","Open")))))</f>
        <v/>
      </c>
      <c r="AC31" s="36"/>
    </row>
    <row r="32" customFormat="false" ht="15" hidden="false" customHeight="true" outlineLevel="0" collapsed="false">
      <c r="A32" s="38"/>
      <c r="B32" s="38"/>
      <c r="C32" s="38"/>
      <c r="D32" s="38"/>
      <c r="E32" s="38"/>
      <c r="F32" s="38"/>
      <c r="G32" s="54" t="str">
        <f aca="false">IF($F32="","",$F32*VATRate)</f>
        <v/>
      </c>
      <c r="H32" s="54" t="str">
        <f aca="false">IF($F32="","",$F32+$G32)</f>
        <v/>
      </c>
      <c r="I32" s="55" t="str">
        <f aca="false">IF($A32="","",SUMIFS(OrderExpenses!$G$5:$G$84,OrderExpenses!$B$5:$B$84,$A32))</f>
        <v/>
      </c>
      <c r="J32" s="38"/>
      <c r="K32" s="38"/>
      <c r="L32" s="38"/>
      <c r="M32" s="38"/>
      <c r="N32" s="38"/>
      <c r="O32" s="51" t="n">
        <f aca="false">OffRate</f>
        <v>26.5</v>
      </c>
      <c r="P32" s="54" t="str">
        <f aca="false">IF($N32="","",$N32/$O32)</f>
        <v/>
      </c>
      <c r="Q32" s="51" t="n">
        <f aca="false">StreetRate</f>
        <v>33</v>
      </c>
      <c r="R32" s="54" t="str">
        <f aca="false">IF($N32="","",$N32/$Q32)</f>
        <v/>
      </c>
      <c r="S32" s="54" t="str">
        <f aca="false">IF($A32="","",IF($M32="",0,$M32)+IF($N32="",0,$N32/$O32))</f>
        <v/>
      </c>
      <c r="T32" s="54" t="str">
        <f aca="false">IF($A32="","",IF($M32="",0,$M32)+IF($N32="",0,$N32/$Q32))</f>
        <v/>
      </c>
      <c r="U32" s="54" t="str">
        <f aca="false">IF($A32="","",$H32-$S32)</f>
        <v/>
      </c>
      <c r="V32" s="38"/>
      <c r="W32" s="38" t="str">
        <f aca="false">IF($A32="","",IF($S32&gt;=$H32-0.01,"Paid",IF($S32&gt;0,"Partially Paid","Unpaid")))</f>
        <v/>
      </c>
      <c r="X32" s="54" t="str">
        <f aca="false">IF($A32="","",$F32-$I32)</f>
        <v/>
      </c>
      <c r="Y32" s="55" t="str">
        <f aca="false">IF($A32="","",SUMIFS(Loans!$H$5:$H$44,Loans!$B$5:$B$44,$A32))</f>
        <v/>
      </c>
      <c r="Z32" s="54" t="str">
        <f aca="false">IF($A32="","",$X32-$Y32)</f>
        <v/>
      </c>
      <c r="AA32" s="56" t="str">
        <f aca="false">IF(OR($A32="",$F32=0),"",$X32/$F32)</f>
        <v/>
      </c>
      <c r="AB32" s="57" t="str">
        <f aca="true">IF($A32="","",IF($S32&gt;=$H32-0.01,"Paid",IF(AND($S32&gt;0,$J32&lt;&gt;"Yes"),"Advance Paid",IF($J32="Yes",IF(AND($E32&lt;&gt;"",TODAY()&gt;$E32),"Overdue Payment","Awaiting Payment"),IF(AND($E32&lt;&gt;"",TODAY()&gt;$E32),"Overdue Service","Open")))))</f>
        <v/>
      </c>
      <c r="AC32" s="38"/>
    </row>
    <row r="33" customFormat="false" ht="15" hidden="false" customHeight="true" outlineLevel="0" collapsed="false">
      <c r="A33" s="36"/>
      <c r="B33" s="36"/>
      <c r="C33" s="36"/>
      <c r="D33" s="36"/>
      <c r="E33" s="36"/>
      <c r="F33" s="36"/>
      <c r="G33" s="47" t="str">
        <f aca="false">IF($F33="","",$F33*VATRate)</f>
        <v/>
      </c>
      <c r="H33" s="47" t="str">
        <f aca="false">IF($F33="","",$F33+$G33)</f>
        <v/>
      </c>
      <c r="I33" s="48" t="str">
        <f aca="false">IF($A33="","",SUMIFS(OrderExpenses!$G$5:$G$84,OrderExpenses!$B$5:$B$84,$A33))</f>
        <v/>
      </c>
      <c r="J33" s="36"/>
      <c r="K33" s="36"/>
      <c r="L33" s="36"/>
      <c r="M33" s="36"/>
      <c r="N33" s="36"/>
      <c r="O33" s="51" t="n">
        <f aca="false">OffRate</f>
        <v>26.5</v>
      </c>
      <c r="P33" s="47" t="str">
        <f aca="false">IF($N33="","",$N33/$O33)</f>
        <v/>
      </c>
      <c r="Q33" s="51" t="n">
        <f aca="false">StreetRate</f>
        <v>33</v>
      </c>
      <c r="R33" s="47" t="str">
        <f aca="false">IF($N33="","",$N33/$Q33)</f>
        <v/>
      </c>
      <c r="S33" s="47" t="str">
        <f aca="false">IF($A33="","",IF($M33="",0,$M33)+IF($N33="",0,$N33/$O33))</f>
        <v/>
      </c>
      <c r="T33" s="47" t="str">
        <f aca="false">IF($A33="","",IF($M33="",0,$M33)+IF($N33="",0,$N33/$Q33))</f>
        <v/>
      </c>
      <c r="U33" s="47" t="str">
        <f aca="false">IF($A33="","",$H33-$S33)</f>
        <v/>
      </c>
      <c r="V33" s="36"/>
      <c r="W33" s="36" t="str">
        <f aca="false">IF($A33="","",IF($S33&gt;=$H33-0.01,"Paid",IF($S33&gt;0,"Partially Paid","Unpaid")))</f>
        <v/>
      </c>
      <c r="X33" s="47" t="str">
        <f aca="false">IF($A33="","",$F33-$I33)</f>
        <v/>
      </c>
      <c r="Y33" s="48" t="str">
        <f aca="false">IF($A33="","",SUMIFS(Loans!$H$5:$H$44,Loans!$B$5:$B$44,$A33))</f>
        <v/>
      </c>
      <c r="Z33" s="47" t="str">
        <f aca="false">IF($A33="","",$X33-$Y33)</f>
        <v/>
      </c>
      <c r="AA33" s="52" t="str">
        <f aca="false">IF(OR($A33="",$F33=0),"",$X33/$F33)</f>
        <v/>
      </c>
      <c r="AB33" s="53" t="str">
        <f aca="true">IF($A33="","",IF($S33&gt;=$H33-0.01,"Paid",IF(AND($S33&gt;0,$J33&lt;&gt;"Yes"),"Advance Paid",IF($J33="Yes",IF(AND($E33&lt;&gt;"",TODAY()&gt;$E33),"Overdue Payment","Awaiting Payment"),IF(AND($E33&lt;&gt;"",TODAY()&gt;$E33),"Overdue Service","Open")))))</f>
        <v/>
      </c>
      <c r="AC33" s="36"/>
    </row>
    <row r="34" customFormat="false" ht="15" hidden="false" customHeight="true" outlineLevel="0" collapsed="false">
      <c r="A34" s="38"/>
      <c r="B34" s="38"/>
      <c r="C34" s="38"/>
      <c r="D34" s="38"/>
      <c r="E34" s="38"/>
      <c r="F34" s="38"/>
      <c r="G34" s="54" t="str">
        <f aca="false">IF($F34="","",$F34*VATRate)</f>
        <v/>
      </c>
      <c r="H34" s="54" t="str">
        <f aca="false">IF($F34="","",$F34+$G34)</f>
        <v/>
      </c>
      <c r="I34" s="55" t="str">
        <f aca="false">IF($A34="","",SUMIFS(OrderExpenses!$G$5:$G$84,OrderExpenses!$B$5:$B$84,$A34))</f>
        <v/>
      </c>
      <c r="J34" s="38"/>
      <c r="K34" s="38"/>
      <c r="L34" s="38"/>
      <c r="M34" s="38"/>
      <c r="N34" s="38"/>
      <c r="O34" s="51" t="n">
        <f aca="false">OffRate</f>
        <v>26.5</v>
      </c>
      <c r="P34" s="54" t="str">
        <f aca="false">IF($N34="","",$N34/$O34)</f>
        <v/>
      </c>
      <c r="Q34" s="51" t="n">
        <f aca="false">StreetRate</f>
        <v>33</v>
      </c>
      <c r="R34" s="54" t="str">
        <f aca="false">IF($N34="","",$N34/$Q34)</f>
        <v/>
      </c>
      <c r="S34" s="54" t="str">
        <f aca="false">IF($A34="","",IF($M34="",0,$M34)+IF($N34="",0,$N34/$O34))</f>
        <v/>
      </c>
      <c r="T34" s="54" t="str">
        <f aca="false">IF($A34="","",IF($M34="",0,$M34)+IF($N34="",0,$N34/$Q34))</f>
        <v/>
      </c>
      <c r="U34" s="54" t="str">
        <f aca="false">IF($A34="","",$H34-$S34)</f>
        <v/>
      </c>
      <c r="V34" s="38"/>
      <c r="W34" s="38" t="str">
        <f aca="false">IF($A34="","",IF($S34&gt;=$H34-0.01,"Paid",IF($S34&gt;0,"Partially Paid","Unpaid")))</f>
        <v/>
      </c>
      <c r="X34" s="54" t="str">
        <f aca="false">IF($A34="","",$F34-$I34)</f>
        <v/>
      </c>
      <c r="Y34" s="55" t="str">
        <f aca="false">IF($A34="","",SUMIFS(Loans!$H$5:$H$44,Loans!$B$5:$B$44,$A34))</f>
        <v/>
      </c>
      <c r="Z34" s="54" t="str">
        <f aca="false">IF($A34="","",$X34-$Y34)</f>
        <v/>
      </c>
      <c r="AA34" s="56" t="str">
        <f aca="false">IF(OR($A34="",$F34=0),"",$X34/$F34)</f>
        <v/>
      </c>
      <c r="AB34" s="57" t="str">
        <f aca="true">IF($A34="","",IF($S34&gt;=$H34-0.01,"Paid",IF(AND($S34&gt;0,$J34&lt;&gt;"Yes"),"Advance Paid",IF($J34="Yes",IF(AND($E34&lt;&gt;"",TODAY()&gt;$E34),"Overdue Payment","Awaiting Payment"),IF(AND($E34&lt;&gt;"",TODAY()&gt;$E34),"Overdue Service","Open")))))</f>
        <v/>
      </c>
      <c r="AC34" s="38"/>
    </row>
    <row r="35" customFormat="false" ht="15" hidden="false" customHeight="true" outlineLevel="0" collapsed="false">
      <c r="A35" s="36"/>
      <c r="B35" s="36"/>
      <c r="C35" s="36"/>
      <c r="D35" s="36"/>
      <c r="E35" s="36"/>
      <c r="F35" s="36"/>
      <c r="G35" s="47" t="str">
        <f aca="false">IF($F35="","",$F35*VATRate)</f>
        <v/>
      </c>
      <c r="H35" s="47" t="str">
        <f aca="false">IF($F35="","",$F35+$G35)</f>
        <v/>
      </c>
      <c r="I35" s="48" t="str">
        <f aca="false">IF($A35="","",SUMIFS(OrderExpenses!$G$5:$G$84,OrderExpenses!$B$5:$B$84,$A35))</f>
        <v/>
      </c>
      <c r="J35" s="36"/>
      <c r="K35" s="36"/>
      <c r="L35" s="36"/>
      <c r="M35" s="36"/>
      <c r="N35" s="36"/>
      <c r="O35" s="51" t="n">
        <f aca="false">OffRate</f>
        <v>26.5</v>
      </c>
      <c r="P35" s="47" t="str">
        <f aca="false">IF($N35="","",$N35/$O35)</f>
        <v/>
      </c>
      <c r="Q35" s="51" t="n">
        <f aca="false">StreetRate</f>
        <v>33</v>
      </c>
      <c r="R35" s="47" t="str">
        <f aca="false">IF($N35="","",$N35/$Q35)</f>
        <v/>
      </c>
      <c r="S35" s="47" t="str">
        <f aca="false">IF($A35="","",IF($M35="",0,$M35)+IF($N35="",0,$N35/$O35))</f>
        <v/>
      </c>
      <c r="T35" s="47" t="str">
        <f aca="false">IF($A35="","",IF($M35="",0,$M35)+IF($N35="",0,$N35/$Q35))</f>
        <v/>
      </c>
      <c r="U35" s="47" t="str">
        <f aca="false">IF($A35="","",$H35-$S35)</f>
        <v/>
      </c>
      <c r="V35" s="36"/>
      <c r="W35" s="36" t="str">
        <f aca="false">IF($A35="","",IF($S35&gt;=$H35-0.01,"Paid",IF($S35&gt;0,"Partially Paid","Unpaid")))</f>
        <v/>
      </c>
      <c r="X35" s="47" t="str">
        <f aca="false">IF($A35="","",$F35-$I35)</f>
        <v/>
      </c>
      <c r="Y35" s="48" t="str">
        <f aca="false">IF($A35="","",SUMIFS(Loans!$H$5:$H$44,Loans!$B$5:$B$44,$A35))</f>
        <v/>
      </c>
      <c r="Z35" s="47" t="str">
        <f aca="false">IF($A35="","",$X35-$Y35)</f>
        <v/>
      </c>
      <c r="AA35" s="52" t="str">
        <f aca="false">IF(OR($A35="",$F35=0),"",$X35/$F35)</f>
        <v/>
      </c>
      <c r="AB35" s="53" t="str">
        <f aca="true">IF($A35="","",IF($S35&gt;=$H35-0.01,"Paid",IF(AND($S35&gt;0,$J35&lt;&gt;"Yes"),"Advance Paid",IF($J35="Yes",IF(AND($E35&lt;&gt;"",TODAY()&gt;$E35),"Overdue Payment","Awaiting Payment"),IF(AND($E35&lt;&gt;"",TODAY()&gt;$E35),"Overdue Service","Open")))))</f>
        <v/>
      </c>
      <c r="AC35" s="36"/>
    </row>
    <row r="36" customFormat="false" ht="15" hidden="false" customHeight="true" outlineLevel="0" collapsed="false">
      <c r="A36" s="38"/>
      <c r="B36" s="38"/>
      <c r="C36" s="38"/>
      <c r="D36" s="38"/>
      <c r="E36" s="38"/>
      <c r="F36" s="38"/>
      <c r="G36" s="54" t="str">
        <f aca="false">IF($F36="","",$F36*VATRate)</f>
        <v/>
      </c>
      <c r="H36" s="54" t="str">
        <f aca="false">IF($F36="","",$F36+$G36)</f>
        <v/>
      </c>
      <c r="I36" s="55" t="str">
        <f aca="false">IF($A36="","",SUMIFS(OrderExpenses!$G$5:$G$84,OrderExpenses!$B$5:$B$84,$A36))</f>
        <v/>
      </c>
      <c r="J36" s="38"/>
      <c r="K36" s="38"/>
      <c r="L36" s="38"/>
      <c r="M36" s="38"/>
      <c r="N36" s="38"/>
      <c r="O36" s="51" t="n">
        <f aca="false">OffRate</f>
        <v>26.5</v>
      </c>
      <c r="P36" s="54" t="str">
        <f aca="false">IF($N36="","",$N36/$O36)</f>
        <v/>
      </c>
      <c r="Q36" s="51" t="n">
        <f aca="false">StreetRate</f>
        <v>33</v>
      </c>
      <c r="R36" s="54" t="str">
        <f aca="false">IF($N36="","",$N36/$Q36)</f>
        <v/>
      </c>
      <c r="S36" s="54" t="str">
        <f aca="false">IF($A36="","",IF($M36="",0,$M36)+IF($N36="",0,$N36/$O36))</f>
        <v/>
      </c>
      <c r="T36" s="54" t="str">
        <f aca="false">IF($A36="","",IF($M36="",0,$M36)+IF($N36="",0,$N36/$Q36))</f>
        <v/>
      </c>
      <c r="U36" s="54" t="str">
        <f aca="false">IF($A36="","",$H36-$S36)</f>
        <v/>
      </c>
      <c r="V36" s="38"/>
      <c r="W36" s="38" t="str">
        <f aca="false">IF($A36="","",IF($S36&gt;=$H36-0.01,"Paid",IF($S36&gt;0,"Partially Paid","Unpaid")))</f>
        <v/>
      </c>
      <c r="X36" s="54" t="str">
        <f aca="false">IF($A36="","",$F36-$I36)</f>
        <v/>
      </c>
      <c r="Y36" s="55" t="str">
        <f aca="false">IF($A36="","",SUMIFS(Loans!$H$5:$H$44,Loans!$B$5:$B$44,$A36))</f>
        <v/>
      </c>
      <c r="Z36" s="54" t="str">
        <f aca="false">IF($A36="","",$X36-$Y36)</f>
        <v/>
      </c>
      <c r="AA36" s="56" t="str">
        <f aca="false">IF(OR($A36="",$F36=0),"",$X36/$F36)</f>
        <v/>
      </c>
      <c r="AB36" s="57" t="str">
        <f aca="true">IF($A36="","",IF($S36&gt;=$H36-0.01,"Paid",IF(AND($S36&gt;0,$J36&lt;&gt;"Yes"),"Advance Paid",IF($J36="Yes",IF(AND($E36&lt;&gt;"",TODAY()&gt;$E36),"Overdue Payment","Awaiting Payment"),IF(AND($E36&lt;&gt;"",TODAY()&gt;$E36),"Overdue Service","Open")))))</f>
        <v/>
      </c>
      <c r="AC36" s="38"/>
    </row>
    <row r="37" customFormat="false" ht="15" hidden="false" customHeight="true" outlineLevel="0" collapsed="false">
      <c r="A37" s="36"/>
      <c r="B37" s="36"/>
      <c r="C37" s="36"/>
      <c r="D37" s="36"/>
      <c r="E37" s="36"/>
      <c r="F37" s="36"/>
      <c r="G37" s="47" t="str">
        <f aca="false">IF($F37="","",$F37*VATRate)</f>
        <v/>
      </c>
      <c r="H37" s="47" t="str">
        <f aca="false">IF($F37="","",$F37+$G37)</f>
        <v/>
      </c>
      <c r="I37" s="48" t="str">
        <f aca="false">IF($A37="","",SUMIFS(OrderExpenses!$G$5:$G$84,OrderExpenses!$B$5:$B$84,$A37))</f>
        <v/>
      </c>
      <c r="J37" s="36"/>
      <c r="K37" s="36"/>
      <c r="L37" s="36"/>
      <c r="M37" s="36"/>
      <c r="N37" s="36"/>
      <c r="O37" s="51" t="n">
        <f aca="false">OffRate</f>
        <v>26.5</v>
      </c>
      <c r="P37" s="47" t="str">
        <f aca="false">IF($N37="","",$N37/$O37)</f>
        <v/>
      </c>
      <c r="Q37" s="51" t="n">
        <f aca="false">StreetRate</f>
        <v>33</v>
      </c>
      <c r="R37" s="47" t="str">
        <f aca="false">IF($N37="","",$N37/$Q37)</f>
        <v/>
      </c>
      <c r="S37" s="47" t="str">
        <f aca="false">IF($A37="","",IF($M37="",0,$M37)+IF($N37="",0,$N37/$O37))</f>
        <v/>
      </c>
      <c r="T37" s="47" t="str">
        <f aca="false">IF($A37="","",IF($M37="",0,$M37)+IF($N37="",0,$N37/$Q37))</f>
        <v/>
      </c>
      <c r="U37" s="47" t="str">
        <f aca="false">IF($A37="","",$H37-$S37)</f>
        <v/>
      </c>
      <c r="V37" s="36"/>
      <c r="W37" s="36" t="str">
        <f aca="false">IF($A37="","",IF($S37&gt;=$H37-0.01,"Paid",IF($S37&gt;0,"Partially Paid","Unpaid")))</f>
        <v/>
      </c>
      <c r="X37" s="47" t="str">
        <f aca="false">IF($A37="","",$F37-$I37)</f>
        <v/>
      </c>
      <c r="Y37" s="48" t="str">
        <f aca="false">IF($A37="","",SUMIFS(Loans!$H$5:$H$44,Loans!$B$5:$B$44,$A37))</f>
        <v/>
      </c>
      <c r="Z37" s="47" t="str">
        <f aca="false">IF($A37="","",$X37-$Y37)</f>
        <v/>
      </c>
      <c r="AA37" s="52" t="str">
        <f aca="false">IF(OR($A37="",$F37=0),"",$X37/$F37)</f>
        <v/>
      </c>
      <c r="AB37" s="53" t="str">
        <f aca="true">IF($A37="","",IF($S37&gt;=$H37-0.01,"Paid",IF(AND($S37&gt;0,$J37&lt;&gt;"Yes"),"Advance Paid",IF($J37="Yes",IF(AND($E37&lt;&gt;"",TODAY()&gt;$E37),"Overdue Payment","Awaiting Payment"),IF(AND($E37&lt;&gt;"",TODAY()&gt;$E37),"Overdue Service","Open")))))</f>
        <v/>
      </c>
      <c r="AC37" s="36"/>
    </row>
    <row r="38" customFormat="false" ht="15" hidden="false" customHeight="true" outlineLevel="0" collapsed="false">
      <c r="A38" s="38"/>
      <c r="B38" s="38"/>
      <c r="C38" s="38"/>
      <c r="D38" s="38"/>
      <c r="E38" s="38"/>
      <c r="F38" s="38"/>
      <c r="G38" s="54" t="str">
        <f aca="false">IF($F38="","",$F38*VATRate)</f>
        <v/>
      </c>
      <c r="H38" s="54" t="str">
        <f aca="false">IF($F38="","",$F38+$G38)</f>
        <v/>
      </c>
      <c r="I38" s="55" t="str">
        <f aca="false">IF($A38="","",SUMIFS(OrderExpenses!$G$5:$G$84,OrderExpenses!$B$5:$B$84,$A38))</f>
        <v/>
      </c>
      <c r="J38" s="38"/>
      <c r="K38" s="38"/>
      <c r="L38" s="38"/>
      <c r="M38" s="38"/>
      <c r="N38" s="38"/>
      <c r="O38" s="51" t="n">
        <f aca="false">OffRate</f>
        <v>26.5</v>
      </c>
      <c r="P38" s="54" t="str">
        <f aca="false">IF($N38="","",$N38/$O38)</f>
        <v/>
      </c>
      <c r="Q38" s="51" t="n">
        <f aca="false">StreetRate</f>
        <v>33</v>
      </c>
      <c r="R38" s="54" t="str">
        <f aca="false">IF($N38="","",$N38/$Q38)</f>
        <v/>
      </c>
      <c r="S38" s="54" t="str">
        <f aca="false">IF($A38="","",IF($M38="",0,$M38)+IF($N38="",0,$N38/$O38))</f>
        <v/>
      </c>
      <c r="T38" s="54" t="str">
        <f aca="false">IF($A38="","",IF($M38="",0,$M38)+IF($N38="",0,$N38/$Q38))</f>
        <v/>
      </c>
      <c r="U38" s="54" t="str">
        <f aca="false">IF($A38="","",$H38-$S38)</f>
        <v/>
      </c>
      <c r="V38" s="38"/>
      <c r="W38" s="38" t="str">
        <f aca="false">IF($A38="","",IF($S38&gt;=$H38-0.01,"Paid",IF($S38&gt;0,"Partially Paid","Unpaid")))</f>
        <v/>
      </c>
      <c r="X38" s="54" t="str">
        <f aca="false">IF($A38="","",$F38-$I38)</f>
        <v/>
      </c>
      <c r="Y38" s="55" t="str">
        <f aca="false">IF($A38="","",SUMIFS(Loans!$H$5:$H$44,Loans!$B$5:$B$44,$A38))</f>
        <v/>
      </c>
      <c r="Z38" s="54" t="str">
        <f aca="false">IF($A38="","",$X38-$Y38)</f>
        <v/>
      </c>
      <c r="AA38" s="56" t="str">
        <f aca="false">IF(OR($A38="",$F38=0),"",$X38/$F38)</f>
        <v/>
      </c>
      <c r="AB38" s="57" t="str">
        <f aca="true">IF($A38="","",IF($S38&gt;=$H38-0.01,"Paid",IF(AND($S38&gt;0,$J38&lt;&gt;"Yes"),"Advance Paid",IF($J38="Yes",IF(AND($E38&lt;&gt;"",TODAY()&gt;$E38),"Overdue Payment","Awaiting Payment"),IF(AND($E38&lt;&gt;"",TODAY()&gt;$E38),"Overdue Service","Open")))))</f>
        <v/>
      </c>
      <c r="AC38" s="38"/>
    </row>
    <row r="39" customFormat="false" ht="15" hidden="false" customHeight="true" outlineLevel="0" collapsed="false">
      <c r="A39" s="36"/>
      <c r="B39" s="36"/>
      <c r="C39" s="36"/>
      <c r="D39" s="36"/>
      <c r="E39" s="36"/>
      <c r="F39" s="36"/>
      <c r="G39" s="47" t="str">
        <f aca="false">IF($F39="","",$F39*VATRate)</f>
        <v/>
      </c>
      <c r="H39" s="47" t="str">
        <f aca="false">IF($F39="","",$F39+$G39)</f>
        <v/>
      </c>
      <c r="I39" s="48" t="str">
        <f aca="false">IF($A39="","",SUMIFS(OrderExpenses!$G$5:$G$84,OrderExpenses!$B$5:$B$84,$A39))</f>
        <v/>
      </c>
      <c r="J39" s="36"/>
      <c r="K39" s="36"/>
      <c r="L39" s="36"/>
      <c r="M39" s="36"/>
      <c r="N39" s="36"/>
      <c r="O39" s="51" t="n">
        <f aca="false">OffRate</f>
        <v>26.5</v>
      </c>
      <c r="P39" s="47" t="str">
        <f aca="false">IF($N39="","",$N39/$O39)</f>
        <v/>
      </c>
      <c r="Q39" s="51" t="n">
        <f aca="false">StreetRate</f>
        <v>33</v>
      </c>
      <c r="R39" s="47" t="str">
        <f aca="false">IF($N39="","",$N39/$Q39)</f>
        <v/>
      </c>
      <c r="S39" s="47" t="str">
        <f aca="false">IF($A39="","",IF($M39="",0,$M39)+IF($N39="",0,$N39/$O39))</f>
        <v/>
      </c>
      <c r="T39" s="47" t="str">
        <f aca="false">IF($A39="","",IF($M39="",0,$M39)+IF($N39="",0,$N39/$Q39))</f>
        <v/>
      </c>
      <c r="U39" s="47" t="str">
        <f aca="false">IF($A39="","",$H39-$S39)</f>
        <v/>
      </c>
      <c r="V39" s="36"/>
      <c r="W39" s="36" t="str">
        <f aca="false">IF($A39="","",IF($S39&gt;=$H39-0.01,"Paid",IF($S39&gt;0,"Partially Paid","Unpaid")))</f>
        <v/>
      </c>
      <c r="X39" s="47" t="str">
        <f aca="false">IF($A39="","",$F39-$I39)</f>
        <v/>
      </c>
      <c r="Y39" s="48" t="str">
        <f aca="false">IF($A39="","",SUMIFS(Loans!$H$5:$H$44,Loans!$B$5:$B$44,$A39))</f>
        <v/>
      </c>
      <c r="Z39" s="47" t="str">
        <f aca="false">IF($A39="","",$X39-$Y39)</f>
        <v/>
      </c>
      <c r="AA39" s="52" t="str">
        <f aca="false">IF(OR($A39="",$F39=0),"",$X39/$F39)</f>
        <v/>
      </c>
      <c r="AB39" s="53" t="str">
        <f aca="true">IF($A39="","",IF($S39&gt;=$H39-0.01,"Paid",IF(AND($S39&gt;0,$J39&lt;&gt;"Yes"),"Advance Paid",IF($J39="Yes",IF(AND($E39&lt;&gt;"",TODAY()&gt;$E39),"Overdue Payment","Awaiting Payment"),IF(AND($E39&lt;&gt;"",TODAY()&gt;$E39),"Overdue Service","Open")))))</f>
        <v/>
      </c>
      <c r="AC39" s="36"/>
    </row>
    <row r="40" customFormat="false" ht="15" hidden="false" customHeight="true" outlineLevel="0" collapsed="false">
      <c r="A40" s="38"/>
      <c r="B40" s="38"/>
      <c r="C40" s="38"/>
      <c r="D40" s="38"/>
      <c r="E40" s="38"/>
      <c r="F40" s="38"/>
      <c r="G40" s="54" t="str">
        <f aca="false">IF($F40="","",$F40*VATRate)</f>
        <v/>
      </c>
      <c r="H40" s="54" t="str">
        <f aca="false">IF($F40="","",$F40+$G40)</f>
        <v/>
      </c>
      <c r="I40" s="55" t="str">
        <f aca="false">IF($A40="","",SUMIFS(OrderExpenses!$G$5:$G$84,OrderExpenses!$B$5:$B$84,$A40))</f>
        <v/>
      </c>
      <c r="J40" s="38"/>
      <c r="K40" s="38"/>
      <c r="L40" s="38"/>
      <c r="M40" s="38"/>
      <c r="N40" s="38"/>
      <c r="O40" s="51" t="n">
        <f aca="false">OffRate</f>
        <v>26.5</v>
      </c>
      <c r="P40" s="54" t="str">
        <f aca="false">IF($N40="","",$N40/$O40)</f>
        <v/>
      </c>
      <c r="Q40" s="51" t="n">
        <f aca="false">StreetRate</f>
        <v>33</v>
      </c>
      <c r="R40" s="54" t="str">
        <f aca="false">IF($N40="","",$N40/$Q40)</f>
        <v/>
      </c>
      <c r="S40" s="54" t="str">
        <f aca="false">IF($A40="","",IF($M40="",0,$M40)+IF($N40="",0,$N40/$O40))</f>
        <v/>
      </c>
      <c r="T40" s="54" t="str">
        <f aca="false">IF($A40="","",IF($M40="",0,$M40)+IF($N40="",0,$N40/$Q40))</f>
        <v/>
      </c>
      <c r="U40" s="54" t="str">
        <f aca="false">IF($A40="","",$H40-$S40)</f>
        <v/>
      </c>
      <c r="V40" s="38"/>
      <c r="W40" s="38" t="str">
        <f aca="false">IF($A40="","",IF($S40&gt;=$H40-0.01,"Paid",IF($S40&gt;0,"Partially Paid","Unpaid")))</f>
        <v/>
      </c>
      <c r="X40" s="54" t="str">
        <f aca="false">IF($A40="","",$F40-$I40)</f>
        <v/>
      </c>
      <c r="Y40" s="55" t="str">
        <f aca="false">IF($A40="","",SUMIFS(Loans!$H$5:$H$44,Loans!$B$5:$B$44,$A40))</f>
        <v/>
      </c>
      <c r="Z40" s="54" t="str">
        <f aca="false">IF($A40="","",$X40-$Y40)</f>
        <v/>
      </c>
      <c r="AA40" s="56" t="str">
        <f aca="false">IF(OR($A40="",$F40=0),"",$X40/$F40)</f>
        <v/>
      </c>
      <c r="AB40" s="57" t="str">
        <f aca="true">IF($A40="","",IF($S40&gt;=$H40-0.01,"Paid",IF(AND($S40&gt;0,$J40&lt;&gt;"Yes"),"Advance Paid",IF($J40="Yes",IF(AND($E40&lt;&gt;"",TODAY()&gt;$E40),"Overdue Payment","Awaiting Payment"),IF(AND($E40&lt;&gt;"",TODAY()&gt;$E40),"Overdue Service","Open")))))</f>
        <v/>
      </c>
      <c r="AC40" s="38"/>
    </row>
    <row r="41" customFormat="false" ht="15" hidden="false" customHeight="true" outlineLevel="0" collapsed="false">
      <c r="A41" s="36"/>
      <c r="B41" s="36"/>
      <c r="C41" s="36"/>
      <c r="D41" s="36"/>
      <c r="E41" s="36"/>
      <c r="F41" s="36"/>
      <c r="G41" s="47" t="str">
        <f aca="false">IF($F41="","",$F41*VATRate)</f>
        <v/>
      </c>
      <c r="H41" s="47" t="str">
        <f aca="false">IF($F41="","",$F41+$G41)</f>
        <v/>
      </c>
      <c r="I41" s="48" t="str">
        <f aca="false">IF($A41="","",SUMIFS(OrderExpenses!$G$5:$G$84,OrderExpenses!$B$5:$B$84,$A41))</f>
        <v/>
      </c>
      <c r="J41" s="36"/>
      <c r="K41" s="36"/>
      <c r="L41" s="36"/>
      <c r="M41" s="36"/>
      <c r="N41" s="36"/>
      <c r="O41" s="51" t="n">
        <f aca="false">OffRate</f>
        <v>26.5</v>
      </c>
      <c r="P41" s="47" t="str">
        <f aca="false">IF($N41="","",$N41/$O41)</f>
        <v/>
      </c>
      <c r="Q41" s="51" t="n">
        <f aca="false">StreetRate</f>
        <v>33</v>
      </c>
      <c r="R41" s="47" t="str">
        <f aca="false">IF($N41="","",$N41/$Q41)</f>
        <v/>
      </c>
      <c r="S41" s="47" t="str">
        <f aca="false">IF($A41="","",IF($M41="",0,$M41)+IF($N41="",0,$N41/$O41))</f>
        <v/>
      </c>
      <c r="T41" s="47" t="str">
        <f aca="false">IF($A41="","",IF($M41="",0,$M41)+IF($N41="",0,$N41/$Q41))</f>
        <v/>
      </c>
      <c r="U41" s="47" t="str">
        <f aca="false">IF($A41="","",$H41-$S41)</f>
        <v/>
      </c>
      <c r="V41" s="36"/>
      <c r="W41" s="36" t="str">
        <f aca="false">IF($A41="","",IF($S41&gt;=$H41-0.01,"Paid",IF($S41&gt;0,"Partially Paid","Unpaid")))</f>
        <v/>
      </c>
      <c r="X41" s="47" t="str">
        <f aca="false">IF($A41="","",$F41-$I41)</f>
        <v/>
      </c>
      <c r="Y41" s="48" t="str">
        <f aca="false">IF($A41="","",SUMIFS(Loans!$H$5:$H$44,Loans!$B$5:$B$44,$A41))</f>
        <v/>
      </c>
      <c r="Z41" s="47" t="str">
        <f aca="false">IF($A41="","",$X41-$Y41)</f>
        <v/>
      </c>
      <c r="AA41" s="52" t="str">
        <f aca="false">IF(OR($A41="",$F41=0),"",$X41/$F41)</f>
        <v/>
      </c>
      <c r="AB41" s="53" t="str">
        <f aca="true">IF($A41="","",IF($S41&gt;=$H41-0.01,"Paid",IF(AND($S41&gt;0,$J41&lt;&gt;"Yes"),"Advance Paid",IF($J41="Yes",IF(AND($E41&lt;&gt;"",TODAY()&gt;$E41),"Overdue Payment","Awaiting Payment"),IF(AND($E41&lt;&gt;"",TODAY()&gt;$E41),"Overdue Service","Open")))))</f>
        <v/>
      </c>
      <c r="AC41" s="36"/>
    </row>
    <row r="42" customFormat="false" ht="15" hidden="false" customHeight="true" outlineLevel="0" collapsed="false">
      <c r="A42" s="38"/>
      <c r="B42" s="38"/>
      <c r="C42" s="38"/>
      <c r="D42" s="38"/>
      <c r="E42" s="38"/>
      <c r="F42" s="38"/>
      <c r="G42" s="54" t="str">
        <f aca="false">IF($F42="","",$F42*VATRate)</f>
        <v/>
      </c>
      <c r="H42" s="54" t="str">
        <f aca="false">IF($F42="","",$F42+$G42)</f>
        <v/>
      </c>
      <c r="I42" s="55" t="str">
        <f aca="false">IF($A42="","",SUMIFS(OrderExpenses!$G$5:$G$84,OrderExpenses!$B$5:$B$84,$A42))</f>
        <v/>
      </c>
      <c r="J42" s="38"/>
      <c r="K42" s="38"/>
      <c r="L42" s="38"/>
      <c r="M42" s="38"/>
      <c r="N42" s="38"/>
      <c r="O42" s="51" t="n">
        <f aca="false">OffRate</f>
        <v>26.5</v>
      </c>
      <c r="P42" s="54" t="str">
        <f aca="false">IF($N42="","",$N42/$O42)</f>
        <v/>
      </c>
      <c r="Q42" s="51" t="n">
        <f aca="false">StreetRate</f>
        <v>33</v>
      </c>
      <c r="R42" s="54" t="str">
        <f aca="false">IF($N42="","",$N42/$Q42)</f>
        <v/>
      </c>
      <c r="S42" s="54" t="str">
        <f aca="false">IF($A42="","",IF($M42="",0,$M42)+IF($N42="",0,$N42/$O42))</f>
        <v/>
      </c>
      <c r="T42" s="54" t="str">
        <f aca="false">IF($A42="","",IF($M42="",0,$M42)+IF($N42="",0,$N42/$Q42))</f>
        <v/>
      </c>
      <c r="U42" s="54" t="str">
        <f aca="false">IF($A42="","",$H42-$S42)</f>
        <v/>
      </c>
      <c r="V42" s="38"/>
      <c r="W42" s="38" t="str">
        <f aca="false">IF($A42="","",IF($S42&gt;=$H42-0.01,"Paid",IF($S42&gt;0,"Partially Paid","Unpaid")))</f>
        <v/>
      </c>
      <c r="X42" s="54" t="str">
        <f aca="false">IF($A42="","",$F42-$I42)</f>
        <v/>
      </c>
      <c r="Y42" s="55" t="str">
        <f aca="false">IF($A42="","",SUMIFS(Loans!$H$5:$H$44,Loans!$B$5:$B$44,$A42))</f>
        <v/>
      </c>
      <c r="Z42" s="54" t="str">
        <f aca="false">IF($A42="","",$X42-$Y42)</f>
        <v/>
      </c>
      <c r="AA42" s="56" t="str">
        <f aca="false">IF(OR($A42="",$F42=0),"",$X42/$F42)</f>
        <v/>
      </c>
      <c r="AB42" s="57" t="str">
        <f aca="true">IF($A42="","",IF($S42&gt;=$H42-0.01,"Paid",IF(AND($S42&gt;0,$J42&lt;&gt;"Yes"),"Advance Paid",IF($J42="Yes",IF(AND($E42&lt;&gt;"",TODAY()&gt;$E42),"Overdue Payment","Awaiting Payment"),IF(AND($E42&lt;&gt;"",TODAY()&gt;$E42),"Overdue Service","Open")))))</f>
        <v/>
      </c>
      <c r="AC42" s="38"/>
    </row>
    <row r="43" customFormat="false" ht="15" hidden="false" customHeight="true" outlineLevel="0" collapsed="false">
      <c r="A43" s="36"/>
      <c r="B43" s="36"/>
      <c r="C43" s="36"/>
      <c r="D43" s="36"/>
      <c r="E43" s="36"/>
      <c r="F43" s="36"/>
      <c r="G43" s="47" t="str">
        <f aca="false">IF($F43="","",$F43*VATRate)</f>
        <v/>
      </c>
      <c r="H43" s="47" t="str">
        <f aca="false">IF($F43="","",$F43+$G43)</f>
        <v/>
      </c>
      <c r="I43" s="48" t="str">
        <f aca="false">IF($A43="","",SUMIFS(OrderExpenses!$G$5:$G$84,OrderExpenses!$B$5:$B$84,$A43))</f>
        <v/>
      </c>
      <c r="J43" s="36"/>
      <c r="K43" s="36"/>
      <c r="L43" s="36"/>
      <c r="M43" s="36"/>
      <c r="N43" s="36"/>
      <c r="O43" s="51" t="n">
        <f aca="false">OffRate</f>
        <v>26.5</v>
      </c>
      <c r="P43" s="47" t="str">
        <f aca="false">IF($N43="","",$N43/$O43)</f>
        <v/>
      </c>
      <c r="Q43" s="51" t="n">
        <f aca="false">StreetRate</f>
        <v>33</v>
      </c>
      <c r="R43" s="47" t="str">
        <f aca="false">IF($N43="","",$N43/$Q43)</f>
        <v/>
      </c>
      <c r="S43" s="47" t="str">
        <f aca="false">IF($A43="","",IF($M43="",0,$M43)+IF($N43="",0,$N43/$O43))</f>
        <v/>
      </c>
      <c r="T43" s="47" t="str">
        <f aca="false">IF($A43="","",IF($M43="",0,$M43)+IF($N43="",0,$N43/$Q43))</f>
        <v/>
      </c>
      <c r="U43" s="47" t="str">
        <f aca="false">IF($A43="","",$H43-$S43)</f>
        <v/>
      </c>
      <c r="V43" s="36"/>
      <c r="W43" s="36" t="str">
        <f aca="false">IF($A43="","",IF($S43&gt;=$H43-0.01,"Paid",IF($S43&gt;0,"Partially Paid","Unpaid")))</f>
        <v/>
      </c>
      <c r="X43" s="47" t="str">
        <f aca="false">IF($A43="","",$F43-$I43)</f>
        <v/>
      </c>
      <c r="Y43" s="48" t="str">
        <f aca="false">IF($A43="","",SUMIFS(Loans!$H$5:$H$44,Loans!$B$5:$B$44,$A43))</f>
        <v/>
      </c>
      <c r="Z43" s="47" t="str">
        <f aca="false">IF($A43="","",$X43-$Y43)</f>
        <v/>
      </c>
      <c r="AA43" s="52" t="str">
        <f aca="false">IF(OR($A43="",$F43=0),"",$X43/$F43)</f>
        <v/>
      </c>
      <c r="AB43" s="53" t="str">
        <f aca="true">IF($A43="","",IF($S43&gt;=$H43-0.01,"Paid",IF(AND($S43&gt;0,$J43&lt;&gt;"Yes"),"Advance Paid",IF($J43="Yes",IF(AND($E43&lt;&gt;"",TODAY()&gt;$E43),"Overdue Payment","Awaiting Payment"),IF(AND($E43&lt;&gt;"",TODAY()&gt;$E43),"Overdue Service","Open")))))</f>
        <v/>
      </c>
      <c r="AC43" s="36"/>
    </row>
    <row r="44" customFormat="false" ht="15" hidden="false" customHeight="true" outlineLevel="0" collapsed="false">
      <c r="A44" s="38"/>
      <c r="B44" s="38"/>
      <c r="C44" s="38"/>
      <c r="D44" s="38"/>
      <c r="E44" s="38"/>
      <c r="F44" s="38"/>
      <c r="G44" s="54" t="str">
        <f aca="false">IF($F44="","",$F44*VATRate)</f>
        <v/>
      </c>
      <c r="H44" s="54" t="str">
        <f aca="false">IF($F44="","",$F44+$G44)</f>
        <v/>
      </c>
      <c r="I44" s="55" t="str">
        <f aca="false">IF($A44="","",SUMIFS(OrderExpenses!$G$5:$G$84,OrderExpenses!$B$5:$B$84,$A44))</f>
        <v/>
      </c>
      <c r="J44" s="38"/>
      <c r="K44" s="38"/>
      <c r="L44" s="38"/>
      <c r="M44" s="38"/>
      <c r="N44" s="38"/>
      <c r="O44" s="51" t="n">
        <f aca="false">OffRate</f>
        <v>26.5</v>
      </c>
      <c r="P44" s="54" t="str">
        <f aca="false">IF($N44="","",$N44/$O44)</f>
        <v/>
      </c>
      <c r="Q44" s="51" t="n">
        <f aca="false">StreetRate</f>
        <v>33</v>
      </c>
      <c r="R44" s="54" t="str">
        <f aca="false">IF($N44="","",$N44/$Q44)</f>
        <v/>
      </c>
      <c r="S44" s="54" t="str">
        <f aca="false">IF($A44="","",IF($M44="",0,$M44)+IF($N44="",0,$N44/$O44))</f>
        <v/>
      </c>
      <c r="T44" s="54" t="str">
        <f aca="false">IF($A44="","",IF($M44="",0,$M44)+IF($N44="",0,$N44/$Q44))</f>
        <v/>
      </c>
      <c r="U44" s="54" t="str">
        <f aca="false">IF($A44="","",$H44-$S44)</f>
        <v/>
      </c>
      <c r="V44" s="38"/>
      <c r="W44" s="38" t="str">
        <f aca="false">IF($A44="","",IF($S44&gt;=$H44-0.01,"Paid",IF($S44&gt;0,"Partially Paid","Unpaid")))</f>
        <v/>
      </c>
      <c r="X44" s="54" t="str">
        <f aca="false">IF($A44="","",$F44-$I44)</f>
        <v/>
      </c>
      <c r="Y44" s="55" t="str">
        <f aca="false">IF($A44="","",SUMIFS(Loans!$H$5:$H$44,Loans!$B$5:$B$44,$A44))</f>
        <v/>
      </c>
      <c r="Z44" s="54" t="str">
        <f aca="false">IF($A44="","",$X44-$Y44)</f>
        <v/>
      </c>
      <c r="AA44" s="56" t="str">
        <f aca="false">IF(OR($A44="",$F44=0),"",$X44/$F44)</f>
        <v/>
      </c>
      <c r="AB44" s="57" t="str">
        <f aca="true">IF($A44="","",IF($S44&gt;=$H44-0.01,"Paid",IF(AND($S44&gt;0,$J44&lt;&gt;"Yes"),"Advance Paid",IF($J44="Yes",IF(AND($E44&lt;&gt;"",TODAY()&gt;$E44),"Overdue Payment","Awaiting Payment"),IF(AND($E44&lt;&gt;"",TODAY()&gt;$E44),"Overdue Service","Open")))))</f>
        <v/>
      </c>
      <c r="AC44" s="38"/>
    </row>
    <row r="45" customFormat="false" ht="15" hidden="false" customHeight="true" outlineLevel="0" collapsed="false">
      <c r="A45" s="36"/>
      <c r="B45" s="36"/>
      <c r="C45" s="36"/>
      <c r="D45" s="36"/>
      <c r="E45" s="36"/>
      <c r="F45" s="36"/>
      <c r="G45" s="47" t="str">
        <f aca="false">IF($F45="","",$F45*VATRate)</f>
        <v/>
      </c>
      <c r="H45" s="47" t="str">
        <f aca="false">IF($F45="","",$F45+$G45)</f>
        <v/>
      </c>
      <c r="I45" s="48" t="str">
        <f aca="false">IF($A45="","",SUMIFS(OrderExpenses!$G$5:$G$84,OrderExpenses!$B$5:$B$84,$A45))</f>
        <v/>
      </c>
      <c r="J45" s="36"/>
      <c r="K45" s="36"/>
      <c r="L45" s="36"/>
      <c r="M45" s="36"/>
      <c r="N45" s="36"/>
      <c r="O45" s="51" t="n">
        <f aca="false">OffRate</f>
        <v>26.5</v>
      </c>
      <c r="P45" s="47" t="str">
        <f aca="false">IF($N45="","",$N45/$O45)</f>
        <v/>
      </c>
      <c r="Q45" s="51" t="n">
        <f aca="false">StreetRate</f>
        <v>33</v>
      </c>
      <c r="R45" s="47" t="str">
        <f aca="false">IF($N45="","",$N45/$Q45)</f>
        <v/>
      </c>
      <c r="S45" s="47" t="str">
        <f aca="false">IF($A45="","",IF($M45="",0,$M45)+IF($N45="",0,$N45/$O45))</f>
        <v/>
      </c>
      <c r="T45" s="47" t="str">
        <f aca="false">IF($A45="","",IF($M45="",0,$M45)+IF($N45="",0,$N45/$Q45))</f>
        <v/>
      </c>
      <c r="U45" s="47" t="str">
        <f aca="false">IF($A45="","",$H45-$S45)</f>
        <v/>
      </c>
      <c r="V45" s="36"/>
      <c r="W45" s="36" t="str">
        <f aca="false">IF($A45="","",IF($S45&gt;=$H45-0.01,"Paid",IF($S45&gt;0,"Partially Paid","Unpaid")))</f>
        <v/>
      </c>
      <c r="X45" s="47" t="str">
        <f aca="false">IF($A45="","",$F45-$I45)</f>
        <v/>
      </c>
      <c r="Y45" s="48" t="str">
        <f aca="false">IF($A45="","",SUMIFS(Loans!$H$5:$H$44,Loans!$B$5:$B$44,$A45))</f>
        <v/>
      </c>
      <c r="Z45" s="47" t="str">
        <f aca="false">IF($A45="","",$X45-$Y45)</f>
        <v/>
      </c>
      <c r="AA45" s="52" t="str">
        <f aca="false">IF(OR($A45="",$F45=0),"",$X45/$F45)</f>
        <v/>
      </c>
      <c r="AB45" s="53" t="str">
        <f aca="true">IF($A45="","",IF($S45&gt;=$H45-0.01,"Paid",IF(AND($S45&gt;0,$J45&lt;&gt;"Yes"),"Advance Paid",IF($J45="Yes",IF(AND($E45&lt;&gt;"",TODAY()&gt;$E45),"Overdue Payment","Awaiting Payment"),IF(AND($E45&lt;&gt;"",TODAY()&gt;$E45),"Overdue Service","Open")))))</f>
        <v/>
      </c>
      <c r="AC45" s="36"/>
    </row>
    <row r="46" customFormat="false" ht="15" hidden="false" customHeight="true" outlineLevel="0" collapsed="false">
      <c r="A46" s="38"/>
      <c r="B46" s="38"/>
      <c r="C46" s="38"/>
      <c r="D46" s="38"/>
      <c r="E46" s="38"/>
      <c r="F46" s="38"/>
      <c r="G46" s="54" t="str">
        <f aca="false">IF($F46="","",$F46*VATRate)</f>
        <v/>
      </c>
      <c r="H46" s="54" t="str">
        <f aca="false">IF($F46="","",$F46+$G46)</f>
        <v/>
      </c>
      <c r="I46" s="55" t="str">
        <f aca="false">IF($A46="","",SUMIFS(OrderExpenses!$G$5:$G$84,OrderExpenses!$B$5:$B$84,$A46))</f>
        <v/>
      </c>
      <c r="J46" s="38"/>
      <c r="K46" s="38"/>
      <c r="L46" s="38"/>
      <c r="M46" s="38"/>
      <c r="N46" s="38"/>
      <c r="O46" s="51" t="n">
        <f aca="false">OffRate</f>
        <v>26.5</v>
      </c>
      <c r="P46" s="54" t="str">
        <f aca="false">IF($N46="","",$N46/$O46)</f>
        <v/>
      </c>
      <c r="Q46" s="51" t="n">
        <f aca="false">StreetRate</f>
        <v>33</v>
      </c>
      <c r="R46" s="54" t="str">
        <f aca="false">IF($N46="","",$N46/$Q46)</f>
        <v/>
      </c>
      <c r="S46" s="54" t="str">
        <f aca="false">IF($A46="","",IF($M46="",0,$M46)+IF($N46="",0,$N46/$O46))</f>
        <v/>
      </c>
      <c r="T46" s="54" t="str">
        <f aca="false">IF($A46="","",IF($M46="",0,$M46)+IF($N46="",0,$N46/$Q46))</f>
        <v/>
      </c>
      <c r="U46" s="54" t="str">
        <f aca="false">IF($A46="","",$H46-$S46)</f>
        <v/>
      </c>
      <c r="V46" s="38"/>
      <c r="W46" s="38" t="str">
        <f aca="false">IF($A46="","",IF($S46&gt;=$H46-0.01,"Paid",IF($S46&gt;0,"Partially Paid","Unpaid")))</f>
        <v/>
      </c>
      <c r="X46" s="54" t="str">
        <f aca="false">IF($A46="","",$F46-$I46)</f>
        <v/>
      </c>
      <c r="Y46" s="55" t="str">
        <f aca="false">IF($A46="","",SUMIFS(Loans!$H$5:$H$44,Loans!$B$5:$B$44,$A46))</f>
        <v/>
      </c>
      <c r="Z46" s="54" t="str">
        <f aca="false">IF($A46="","",$X46-$Y46)</f>
        <v/>
      </c>
      <c r="AA46" s="56" t="str">
        <f aca="false">IF(OR($A46="",$F46=0),"",$X46/$F46)</f>
        <v/>
      </c>
      <c r="AB46" s="57" t="str">
        <f aca="true">IF($A46="","",IF($S46&gt;=$H46-0.01,"Paid",IF(AND($S46&gt;0,$J46&lt;&gt;"Yes"),"Advance Paid",IF($J46="Yes",IF(AND($E46&lt;&gt;"",TODAY()&gt;$E46),"Overdue Payment","Awaiting Payment"),IF(AND($E46&lt;&gt;"",TODAY()&gt;$E46),"Overdue Service","Open")))))</f>
        <v/>
      </c>
      <c r="AC46" s="38"/>
    </row>
    <row r="47" customFormat="false" ht="15" hidden="false" customHeight="true" outlineLevel="0" collapsed="false">
      <c r="A47" s="36"/>
      <c r="B47" s="36"/>
      <c r="C47" s="36"/>
      <c r="D47" s="36"/>
      <c r="E47" s="36"/>
      <c r="F47" s="36"/>
      <c r="G47" s="47" t="str">
        <f aca="false">IF($F47="","",$F47*VATRate)</f>
        <v/>
      </c>
      <c r="H47" s="47" t="str">
        <f aca="false">IF($F47="","",$F47+$G47)</f>
        <v/>
      </c>
      <c r="I47" s="48" t="str">
        <f aca="false">IF($A47="","",SUMIFS(OrderExpenses!$G$5:$G$84,OrderExpenses!$B$5:$B$84,$A47))</f>
        <v/>
      </c>
      <c r="J47" s="36"/>
      <c r="K47" s="36"/>
      <c r="L47" s="36"/>
      <c r="M47" s="36"/>
      <c r="N47" s="36"/>
      <c r="O47" s="51" t="n">
        <f aca="false">OffRate</f>
        <v>26.5</v>
      </c>
      <c r="P47" s="47" t="str">
        <f aca="false">IF($N47="","",$N47/$O47)</f>
        <v/>
      </c>
      <c r="Q47" s="51" t="n">
        <f aca="false">StreetRate</f>
        <v>33</v>
      </c>
      <c r="R47" s="47" t="str">
        <f aca="false">IF($N47="","",$N47/$Q47)</f>
        <v/>
      </c>
      <c r="S47" s="47" t="str">
        <f aca="false">IF($A47="","",IF($M47="",0,$M47)+IF($N47="",0,$N47/$O47))</f>
        <v/>
      </c>
      <c r="T47" s="47" t="str">
        <f aca="false">IF($A47="","",IF($M47="",0,$M47)+IF($N47="",0,$N47/$Q47))</f>
        <v/>
      </c>
      <c r="U47" s="47" t="str">
        <f aca="false">IF($A47="","",$H47-$S47)</f>
        <v/>
      </c>
      <c r="V47" s="36"/>
      <c r="W47" s="36" t="str">
        <f aca="false">IF($A47="","",IF($S47&gt;=$H47-0.01,"Paid",IF($S47&gt;0,"Partially Paid","Unpaid")))</f>
        <v/>
      </c>
      <c r="X47" s="47" t="str">
        <f aca="false">IF($A47="","",$F47-$I47)</f>
        <v/>
      </c>
      <c r="Y47" s="48" t="str">
        <f aca="false">IF($A47="","",SUMIFS(Loans!$H$5:$H$44,Loans!$B$5:$B$44,$A47))</f>
        <v/>
      </c>
      <c r="Z47" s="47" t="str">
        <f aca="false">IF($A47="","",$X47-$Y47)</f>
        <v/>
      </c>
      <c r="AA47" s="52" t="str">
        <f aca="false">IF(OR($A47="",$F47=0),"",$X47/$F47)</f>
        <v/>
      </c>
      <c r="AB47" s="53" t="str">
        <f aca="true">IF($A47="","",IF($S47&gt;=$H47-0.01,"Paid",IF(AND($S47&gt;0,$J47&lt;&gt;"Yes"),"Advance Paid",IF($J47="Yes",IF(AND($E47&lt;&gt;"",TODAY()&gt;$E47),"Overdue Payment","Awaiting Payment"),IF(AND($E47&lt;&gt;"",TODAY()&gt;$E47),"Overdue Service","Open")))))</f>
        <v/>
      </c>
      <c r="AC47" s="36"/>
    </row>
    <row r="48" customFormat="false" ht="15" hidden="false" customHeight="true" outlineLevel="0" collapsed="false">
      <c r="A48" s="38"/>
      <c r="B48" s="38"/>
      <c r="C48" s="38"/>
      <c r="D48" s="38"/>
      <c r="E48" s="38"/>
      <c r="F48" s="38"/>
      <c r="G48" s="54" t="str">
        <f aca="false">IF($F48="","",$F48*VATRate)</f>
        <v/>
      </c>
      <c r="H48" s="54" t="str">
        <f aca="false">IF($F48="","",$F48+$G48)</f>
        <v/>
      </c>
      <c r="I48" s="55" t="str">
        <f aca="false">IF($A48="","",SUMIFS(OrderExpenses!$G$5:$G$84,OrderExpenses!$B$5:$B$84,$A48))</f>
        <v/>
      </c>
      <c r="J48" s="38"/>
      <c r="K48" s="38"/>
      <c r="L48" s="38"/>
      <c r="M48" s="38"/>
      <c r="N48" s="38"/>
      <c r="O48" s="51" t="n">
        <f aca="false">OffRate</f>
        <v>26.5</v>
      </c>
      <c r="P48" s="54" t="str">
        <f aca="false">IF($N48="","",$N48/$O48)</f>
        <v/>
      </c>
      <c r="Q48" s="51" t="n">
        <f aca="false">StreetRate</f>
        <v>33</v>
      </c>
      <c r="R48" s="54" t="str">
        <f aca="false">IF($N48="","",$N48/$Q48)</f>
        <v/>
      </c>
      <c r="S48" s="54" t="str">
        <f aca="false">IF($A48="","",IF($M48="",0,$M48)+IF($N48="",0,$N48/$O48))</f>
        <v/>
      </c>
      <c r="T48" s="54" t="str">
        <f aca="false">IF($A48="","",IF($M48="",0,$M48)+IF($N48="",0,$N48/$Q48))</f>
        <v/>
      </c>
      <c r="U48" s="54" t="str">
        <f aca="false">IF($A48="","",$H48-$S48)</f>
        <v/>
      </c>
      <c r="V48" s="38"/>
      <c r="W48" s="38" t="str">
        <f aca="false">IF($A48="","",IF($S48&gt;=$H48-0.01,"Paid",IF($S48&gt;0,"Partially Paid","Unpaid")))</f>
        <v/>
      </c>
      <c r="X48" s="54" t="str">
        <f aca="false">IF($A48="","",$F48-$I48)</f>
        <v/>
      </c>
      <c r="Y48" s="55" t="str">
        <f aca="false">IF($A48="","",SUMIFS(Loans!$H$5:$H$44,Loans!$B$5:$B$44,$A48))</f>
        <v/>
      </c>
      <c r="Z48" s="54" t="str">
        <f aca="false">IF($A48="","",$X48-$Y48)</f>
        <v/>
      </c>
      <c r="AA48" s="56" t="str">
        <f aca="false">IF(OR($A48="",$F48=0),"",$X48/$F48)</f>
        <v/>
      </c>
      <c r="AB48" s="57" t="str">
        <f aca="true">IF($A48="","",IF($S48&gt;=$H48-0.01,"Paid",IF(AND($S48&gt;0,$J48&lt;&gt;"Yes"),"Advance Paid",IF($J48="Yes",IF(AND($E48&lt;&gt;"",TODAY()&gt;$E48),"Overdue Payment","Awaiting Payment"),IF(AND($E48&lt;&gt;"",TODAY()&gt;$E48),"Overdue Service","Open")))))</f>
        <v/>
      </c>
      <c r="AC48" s="38"/>
    </row>
    <row r="49" customFormat="false" ht="15" hidden="false" customHeight="true" outlineLevel="0" collapsed="false">
      <c r="A49" s="36"/>
      <c r="B49" s="36"/>
      <c r="C49" s="36"/>
      <c r="D49" s="36"/>
      <c r="E49" s="36"/>
      <c r="F49" s="36"/>
      <c r="G49" s="47" t="str">
        <f aca="false">IF($F49="","",$F49*VATRate)</f>
        <v/>
      </c>
      <c r="H49" s="47" t="str">
        <f aca="false">IF($F49="","",$F49+$G49)</f>
        <v/>
      </c>
      <c r="I49" s="48" t="str">
        <f aca="false">IF($A49="","",SUMIFS(OrderExpenses!$G$5:$G$84,OrderExpenses!$B$5:$B$84,$A49))</f>
        <v/>
      </c>
      <c r="J49" s="36"/>
      <c r="K49" s="36"/>
      <c r="L49" s="36"/>
      <c r="M49" s="36"/>
      <c r="N49" s="36"/>
      <c r="O49" s="51" t="n">
        <f aca="false">OffRate</f>
        <v>26.5</v>
      </c>
      <c r="P49" s="47" t="str">
        <f aca="false">IF($N49="","",$N49/$O49)</f>
        <v/>
      </c>
      <c r="Q49" s="51" t="n">
        <f aca="false">StreetRate</f>
        <v>33</v>
      </c>
      <c r="R49" s="47" t="str">
        <f aca="false">IF($N49="","",$N49/$Q49)</f>
        <v/>
      </c>
      <c r="S49" s="47" t="str">
        <f aca="false">IF($A49="","",IF($M49="",0,$M49)+IF($N49="",0,$N49/$O49))</f>
        <v/>
      </c>
      <c r="T49" s="47" t="str">
        <f aca="false">IF($A49="","",IF($M49="",0,$M49)+IF($N49="",0,$N49/$Q49))</f>
        <v/>
      </c>
      <c r="U49" s="47" t="str">
        <f aca="false">IF($A49="","",$H49-$S49)</f>
        <v/>
      </c>
      <c r="V49" s="36"/>
      <c r="W49" s="36" t="str">
        <f aca="false">IF($A49="","",IF($S49&gt;=$H49-0.01,"Paid",IF($S49&gt;0,"Partially Paid","Unpaid")))</f>
        <v/>
      </c>
      <c r="X49" s="47" t="str">
        <f aca="false">IF($A49="","",$F49-$I49)</f>
        <v/>
      </c>
      <c r="Y49" s="48" t="str">
        <f aca="false">IF($A49="","",SUMIFS(Loans!$H$5:$H$44,Loans!$B$5:$B$44,$A49))</f>
        <v/>
      </c>
      <c r="Z49" s="47" t="str">
        <f aca="false">IF($A49="","",$X49-$Y49)</f>
        <v/>
      </c>
      <c r="AA49" s="52" t="str">
        <f aca="false">IF(OR($A49="",$F49=0),"",$X49/$F49)</f>
        <v/>
      </c>
      <c r="AB49" s="53" t="str">
        <f aca="true">IF($A49="","",IF($S49&gt;=$H49-0.01,"Paid",IF(AND($S49&gt;0,$J49&lt;&gt;"Yes"),"Advance Paid",IF($J49="Yes",IF(AND($E49&lt;&gt;"",TODAY()&gt;$E49),"Overdue Payment","Awaiting Payment"),IF(AND($E49&lt;&gt;"",TODAY()&gt;$E49),"Overdue Service","Open")))))</f>
        <v/>
      </c>
      <c r="AC49" s="36"/>
    </row>
    <row r="50" customFormat="false" ht="15" hidden="false" customHeight="true" outlineLevel="0" collapsed="false">
      <c r="A50" s="38"/>
      <c r="B50" s="38"/>
      <c r="C50" s="38"/>
      <c r="D50" s="38"/>
      <c r="E50" s="38"/>
      <c r="F50" s="38"/>
      <c r="G50" s="54" t="str">
        <f aca="false">IF($F50="","",$F50*VATRate)</f>
        <v/>
      </c>
      <c r="H50" s="54" t="str">
        <f aca="false">IF($F50="","",$F50+$G50)</f>
        <v/>
      </c>
      <c r="I50" s="55" t="str">
        <f aca="false">IF($A50="","",SUMIFS(OrderExpenses!$G$5:$G$84,OrderExpenses!$B$5:$B$84,$A50))</f>
        <v/>
      </c>
      <c r="J50" s="38"/>
      <c r="K50" s="38"/>
      <c r="L50" s="38"/>
      <c r="M50" s="38"/>
      <c r="N50" s="38"/>
      <c r="O50" s="51" t="n">
        <f aca="false">OffRate</f>
        <v>26.5</v>
      </c>
      <c r="P50" s="54" t="str">
        <f aca="false">IF($N50="","",$N50/$O50)</f>
        <v/>
      </c>
      <c r="Q50" s="51" t="n">
        <f aca="false">StreetRate</f>
        <v>33</v>
      </c>
      <c r="R50" s="54" t="str">
        <f aca="false">IF($N50="","",$N50/$Q50)</f>
        <v/>
      </c>
      <c r="S50" s="54" t="str">
        <f aca="false">IF($A50="","",IF($M50="",0,$M50)+IF($N50="",0,$N50/$O50))</f>
        <v/>
      </c>
      <c r="T50" s="54" t="str">
        <f aca="false">IF($A50="","",IF($M50="",0,$M50)+IF($N50="",0,$N50/$Q50))</f>
        <v/>
      </c>
      <c r="U50" s="54" t="str">
        <f aca="false">IF($A50="","",$H50-$S50)</f>
        <v/>
      </c>
      <c r="V50" s="38"/>
      <c r="W50" s="38" t="str">
        <f aca="false">IF($A50="","",IF($S50&gt;=$H50-0.01,"Paid",IF($S50&gt;0,"Partially Paid","Unpaid")))</f>
        <v/>
      </c>
      <c r="X50" s="54" t="str">
        <f aca="false">IF($A50="","",$F50-$I50)</f>
        <v/>
      </c>
      <c r="Y50" s="55" t="str">
        <f aca="false">IF($A50="","",SUMIFS(Loans!$H$5:$H$44,Loans!$B$5:$B$44,$A50))</f>
        <v/>
      </c>
      <c r="Z50" s="54" t="str">
        <f aca="false">IF($A50="","",$X50-$Y50)</f>
        <v/>
      </c>
      <c r="AA50" s="56" t="str">
        <f aca="false">IF(OR($A50="",$F50=0),"",$X50/$F50)</f>
        <v/>
      </c>
      <c r="AB50" s="57" t="str">
        <f aca="true">IF($A50="","",IF($S50&gt;=$H50-0.01,"Paid",IF(AND($S50&gt;0,$J50&lt;&gt;"Yes"),"Advance Paid",IF($J50="Yes",IF(AND($E50&lt;&gt;"",TODAY()&gt;$E50),"Overdue Payment","Awaiting Payment"),IF(AND($E50&lt;&gt;"",TODAY()&gt;$E50),"Overdue Service","Open")))))</f>
        <v/>
      </c>
      <c r="AC50" s="38"/>
    </row>
    <row r="51" customFormat="false" ht="15" hidden="false" customHeight="true" outlineLevel="0" collapsed="false">
      <c r="A51" s="36"/>
      <c r="B51" s="36"/>
      <c r="C51" s="36"/>
      <c r="D51" s="36"/>
      <c r="E51" s="36"/>
      <c r="F51" s="36"/>
      <c r="G51" s="47" t="str">
        <f aca="false">IF($F51="","",$F51*VATRate)</f>
        <v/>
      </c>
      <c r="H51" s="47" t="str">
        <f aca="false">IF($F51="","",$F51+$G51)</f>
        <v/>
      </c>
      <c r="I51" s="48" t="str">
        <f aca="false">IF($A51="","",SUMIFS(OrderExpenses!$G$5:$G$84,OrderExpenses!$B$5:$B$84,$A51))</f>
        <v/>
      </c>
      <c r="J51" s="36"/>
      <c r="K51" s="36"/>
      <c r="L51" s="36"/>
      <c r="M51" s="36"/>
      <c r="N51" s="36"/>
      <c r="O51" s="51" t="n">
        <f aca="false">OffRate</f>
        <v>26.5</v>
      </c>
      <c r="P51" s="47" t="str">
        <f aca="false">IF($N51="","",$N51/$O51)</f>
        <v/>
      </c>
      <c r="Q51" s="51" t="n">
        <f aca="false">StreetRate</f>
        <v>33</v>
      </c>
      <c r="R51" s="47" t="str">
        <f aca="false">IF($N51="","",$N51/$Q51)</f>
        <v/>
      </c>
      <c r="S51" s="47" t="str">
        <f aca="false">IF($A51="","",IF($M51="",0,$M51)+IF($N51="",0,$N51/$O51))</f>
        <v/>
      </c>
      <c r="T51" s="47" t="str">
        <f aca="false">IF($A51="","",IF($M51="",0,$M51)+IF($N51="",0,$N51/$Q51))</f>
        <v/>
      </c>
      <c r="U51" s="47" t="str">
        <f aca="false">IF($A51="","",$H51-$S51)</f>
        <v/>
      </c>
      <c r="V51" s="36"/>
      <c r="W51" s="36" t="str">
        <f aca="false">IF($A51="","",IF($S51&gt;=$H51-0.01,"Paid",IF($S51&gt;0,"Partially Paid","Unpaid")))</f>
        <v/>
      </c>
      <c r="X51" s="47" t="str">
        <f aca="false">IF($A51="","",$F51-$I51)</f>
        <v/>
      </c>
      <c r="Y51" s="48" t="str">
        <f aca="false">IF($A51="","",SUMIFS(Loans!$H$5:$H$44,Loans!$B$5:$B$44,$A51))</f>
        <v/>
      </c>
      <c r="Z51" s="47" t="str">
        <f aca="false">IF($A51="","",$X51-$Y51)</f>
        <v/>
      </c>
      <c r="AA51" s="52" t="str">
        <f aca="false">IF(OR($A51="",$F51=0),"",$X51/$F51)</f>
        <v/>
      </c>
      <c r="AB51" s="53" t="str">
        <f aca="true">IF($A51="","",IF($S51&gt;=$H51-0.01,"Paid",IF(AND($S51&gt;0,$J51&lt;&gt;"Yes"),"Advance Paid",IF($J51="Yes",IF(AND($E51&lt;&gt;"",TODAY()&gt;$E51),"Overdue Payment","Awaiting Payment"),IF(AND($E51&lt;&gt;"",TODAY()&gt;$E51),"Overdue Service","Open")))))</f>
        <v/>
      </c>
      <c r="AC51" s="36"/>
    </row>
    <row r="52" customFormat="false" ht="15" hidden="false" customHeight="true" outlineLevel="0" collapsed="false">
      <c r="A52" s="38"/>
      <c r="B52" s="38"/>
      <c r="C52" s="38"/>
      <c r="D52" s="38"/>
      <c r="E52" s="38"/>
      <c r="F52" s="38"/>
      <c r="G52" s="54" t="str">
        <f aca="false">IF($F52="","",$F52*VATRate)</f>
        <v/>
      </c>
      <c r="H52" s="54" t="str">
        <f aca="false">IF($F52="","",$F52+$G52)</f>
        <v/>
      </c>
      <c r="I52" s="55" t="str">
        <f aca="false">IF($A52="","",SUMIFS(OrderExpenses!$G$5:$G$84,OrderExpenses!$B$5:$B$84,$A52))</f>
        <v/>
      </c>
      <c r="J52" s="38"/>
      <c r="K52" s="38"/>
      <c r="L52" s="38"/>
      <c r="M52" s="38"/>
      <c r="N52" s="38"/>
      <c r="O52" s="51" t="n">
        <f aca="false">OffRate</f>
        <v>26.5</v>
      </c>
      <c r="P52" s="54" t="str">
        <f aca="false">IF($N52="","",$N52/$O52)</f>
        <v/>
      </c>
      <c r="Q52" s="51" t="n">
        <f aca="false">StreetRate</f>
        <v>33</v>
      </c>
      <c r="R52" s="54" t="str">
        <f aca="false">IF($N52="","",$N52/$Q52)</f>
        <v/>
      </c>
      <c r="S52" s="54" t="str">
        <f aca="false">IF($A52="","",IF($M52="",0,$M52)+IF($N52="",0,$N52/$O52))</f>
        <v/>
      </c>
      <c r="T52" s="54" t="str">
        <f aca="false">IF($A52="","",IF($M52="",0,$M52)+IF($N52="",0,$N52/$Q52))</f>
        <v/>
      </c>
      <c r="U52" s="54" t="str">
        <f aca="false">IF($A52="","",$H52-$S52)</f>
        <v/>
      </c>
      <c r="V52" s="38"/>
      <c r="W52" s="38" t="str">
        <f aca="false">IF($A52="","",IF($S52&gt;=$H52-0.01,"Paid",IF($S52&gt;0,"Partially Paid","Unpaid")))</f>
        <v/>
      </c>
      <c r="X52" s="54" t="str">
        <f aca="false">IF($A52="","",$F52-$I52)</f>
        <v/>
      </c>
      <c r="Y52" s="55" t="str">
        <f aca="false">IF($A52="","",SUMIFS(Loans!$H$5:$H$44,Loans!$B$5:$B$44,$A52))</f>
        <v/>
      </c>
      <c r="Z52" s="54" t="str">
        <f aca="false">IF($A52="","",$X52-$Y52)</f>
        <v/>
      </c>
      <c r="AA52" s="56" t="str">
        <f aca="false">IF(OR($A52="",$F52=0),"",$X52/$F52)</f>
        <v/>
      </c>
      <c r="AB52" s="57" t="str">
        <f aca="true">IF($A52="","",IF($S52&gt;=$H52-0.01,"Paid",IF(AND($S52&gt;0,$J52&lt;&gt;"Yes"),"Advance Paid",IF($J52="Yes",IF(AND($E52&lt;&gt;"",TODAY()&gt;$E52),"Overdue Payment","Awaiting Payment"),IF(AND($E52&lt;&gt;"",TODAY()&gt;$E52),"Overdue Service","Open")))))</f>
        <v/>
      </c>
      <c r="AC52" s="38"/>
    </row>
    <row r="53" customFormat="false" ht="15" hidden="false" customHeight="true" outlineLevel="0" collapsed="false">
      <c r="A53" s="36"/>
      <c r="B53" s="36"/>
      <c r="C53" s="36"/>
      <c r="D53" s="36"/>
      <c r="E53" s="36"/>
      <c r="F53" s="36"/>
      <c r="G53" s="47" t="str">
        <f aca="false">IF($F53="","",$F53*VATRate)</f>
        <v/>
      </c>
      <c r="H53" s="47" t="str">
        <f aca="false">IF($F53="","",$F53+$G53)</f>
        <v/>
      </c>
      <c r="I53" s="48" t="str">
        <f aca="false">IF($A53="","",SUMIFS(OrderExpenses!$G$5:$G$84,OrderExpenses!$B$5:$B$84,$A53))</f>
        <v/>
      </c>
      <c r="J53" s="36"/>
      <c r="K53" s="36"/>
      <c r="L53" s="36"/>
      <c r="M53" s="36"/>
      <c r="N53" s="36"/>
      <c r="O53" s="51" t="n">
        <f aca="false">OffRate</f>
        <v>26.5</v>
      </c>
      <c r="P53" s="47" t="str">
        <f aca="false">IF($N53="","",$N53/$O53)</f>
        <v/>
      </c>
      <c r="Q53" s="51" t="n">
        <f aca="false">StreetRate</f>
        <v>33</v>
      </c>
      <c r="R53" s="47" t="str">
        <f aca="false">IF($N53="","",$N53/$Q53)</f>
        <v/>
      </c>
      <c r="S53" s="47" t="str">
        <f aca="false">IF($A53="","",IF($M53="",0,$M53)+IF($N53="",0,$N53/$O53))</f>
        <v/>
      </c>
      <c r="T53" s="47" t="str">
        <f aca="false">IF($A53="","",IF($M53="",0,$M53)+IF($N53="",0,$N53/$Q53))</f>
        <v/>
      </c>
      <c r="U53" s="47" t="str">
        <f aca="false">IF($A53="","",$H53-$S53)</f>
        <v/>
      </c>
      <c r="V53" s="36"/>
      <c r="W53" s="36" t="str">
        <f aca="false">IF($A53="","",IF($S53&gt;=$H53-0.01,"Paid",IF($S53&gt;0,"Partially Paid","Unpaid")))</f>
        <v/>
      </c>
      <c r="X53" s="47" t="str">
        <f aca="false">IF($A53="","",$F53-$I53)</f>
        <v/>
      </c>
      <c r="Y53" s="48" t="str">
        <f aca="false">IF($A53="","",SUMIFS(Loans!$H$5:$H$44,Loans!$B$5:$B$44,$A53))</f>
        <v/>
      </c>
      <c r="Z53" s="47" t="str">
        <f aca="false">IF($A53="","",$X53-$Y53)</f>
        <v/>
      </c>
      <c r="AA53" s="52" t="str">
        <f aca="false">IF(OR($A53="",$F53=0),"",$X53/$F53)</f>
        <v/>
      </c>
      <c r="AB53" s="53" t="str">
        <f aca="true">IF($A53="","",IF($S53&gt;=$H53-0.01,"Paid",IF(AND($S53&gt;0,$J53&lt;&gt;"Yes"),"Advance Paid",IF($J53="Yes",IF(AND($E53&lt;&gt;"",TODAY()&gt;$E53),"Overdue Payment","Awaiting Payment"),IF(AND($E53&lt;&gt;"",TODAY()&gt;$E53),"Overdue Service","Open")))))</f>
        <v/>
      </c>
      <c r="AC53" s="36"/>
    </row>
    <row r="54" customFormat="false" ht="15" hidden="false" customHeight="true" outlineLevel="0" collapsed="false">
      <c r="A54" s="38"/>
      <c r="B54" s="38"/>
      <c r="C54" s="38"/>
      <c r="D54" s="38"/>
      <c r="E54" s="38"/>
      <c r="F54" s="38"/>
      <c r="G54" s="54" t="str">
        <f aca="false">IF($F54="","",$F54*VATRate)</f>
        <v/>
      </c>
      <c r="H54" s="54" t="str">
        <f aca="false">IF($F54="","",$F54+$G54)</f>
        <v/>
      </c>
      <c r="I54" s="55" t="str">
        <f aca="false">IF($A54="","",SUMIFS(OrderExpenses!$G$5:$G$84,OrderExpenses!$B$5:$B$84,$A54))</f>
        <v/>
      </c>
      <c r="J54" s="38"/>
      <c r="K54" s="38"/>
      <c r="L54" s="38"/>
      <c r="M54" s="38"/>
      <c r="N54" s="38"/>
      <c r="O54" s="51" t="n">
        <f aca="false">OffRate</f>
        <v>26.5</v>
      </c>
      <c r="P54" s="54" t="str">
        <f aca="false">IF($N54="","",$N54/$O54)</f>
        <v/>
      </c>
      <c r="Q54" s="51" t="n">
        <f aca="false">StreetRate</f>
        <v>33</v>
      </c>
      <c r="R54" s="54" t="str">
        <f aca="false">IF($N54="","",$N54/$Q54)</f>
        <v/>
      </c>
      <c r="S54" s="54" t="str">
        <f aca="false">IF($A54="","",IF($M54="",0,$M54)+IF($N54="",0,$N54/$O54))</f>
        <v/>
      </c>
      <c r="T54" s="54" t="str">
        <f aca="false">IF($A54="","",IF($M54="",0,$M54)+IF($N54="",0,$N54/$Q54))</f>
        <v/>
      </c>
      <c r="U54" s="54" t="str">
        <f aca="false">IF($A54="","",$H54-$S54)</f>
        <v/>
      </c>
      <c r="V54" s="38"/>
      <c r="W54" s="38" t="str">
        <f aca="false">IF($A54="","",IF($S54&gt;=$H54-0.01,"Paid",IF($S54&gt;0,"Partially Paid","Unpaid")))</f>
        <v/>
      </c>
      <c r="X54" s="54" t="str">
        <f aca="false">IF($A54="","",$F54-$I54)</f>
        <v/>
      </c>
      <c r="Y54" s="55" t="str">
        <f aca="false">IF($A54="","",SUMIFS(Loans!$H$5:$H$44,Loans!$B$5:$B$44,$A54))</f>
        <v/>
      </c>
      <c r="Z54" s="54" t="str">
        <f aca="false">IF($A54="","",$X54-$Y54)</f>
        <v/>
      </c>
      <c r="AA54" s="56" t="str">
        <f aca="false">IF(OR($A54="",$F54=0),"",$X54/$F54)</f>
        <v/>
      </c>
      <c r="AB54" s="57" t="str">
        <f aca="true">IF($A54="","",IF($S54&gt;=$H54-0.01,"Paid",IF(AND($S54&gt;0,$J54&lt;&gt;"Yes"),"Advance Paid",IF($J54="Yes",IF(AND($E54&lt;&gt;"",TODAY()&gt;$E54),"Overdue Payment","Awaiting Payment"),IF(AND($E54&lt;&gt;"",TODAY()&gt;$E54),"Overdue Service","Open")))))</f>
        <v/>
      </c>
      <c r="AC54" s="38"/>
    </row>
    <row r="55" customFormat="false" ht="15" hidden="false" customHeight="true" outlineLevel="0" collapsed="false">
      <c r="A55" s="36"/>
      <c r="B55" s="36"/>
      <c r="C55" s="36"/>
      <c r="D55" s="36"/>
      <c r="E55" s="36"/>
      <c r="F55" s="36"/>
      <c r="G55" s="47" t="str">
        <f aca="false">IF($F55="","",$F55*VATRate)</f>
        <v/>
      </c>
      <c r="H55" s="47" t="str">
        <f aca="false">IF($F55="","",$F55+$G55)</f>
        <v/>
      </c>
      <c r="I55" s="48" t="str">
        <f aca="false">IF($A55="","",SUMIFS(OrderExpenses!$G$5:$G$84,OrderExpenses!$B$5:$B$84,$A55))</f>
        <v/>
      </c>
      <c r="J55" s="36"/>
      <c r="K55" s="36"/>
      <c r="L55" s="36"/>
      <c r="M55" s="36"/>
      <c r="N55" s="36"/>
      <c r="O55" s="51" t="n">
        <f aca="false">OffRate</f>
        <v>26.5</v>
      </c>
      <c r="P55" s="47" t="str">
        <f aca="false">IF($N55="","",$N55/$O55)</f>
        <v/>
      </c>
      <c r="Q55" s="51" t="n">
        <f aca="false">StreetRate</f>
        <v>33</v>
      </c>
      <c r="R55" s="47" t="str">
        <f aca="false">IF($N55="","",$N55/$Q55)</f>
        <v/>
      </c>
      <c r="S55" s="47" t="str">
        <f aca="false">IF($A55="","",IF($M55="",0,$M55)+IF($N55="",0,$N55/$O55))</f>
        <v/>
      </c>
      <c r="T55" s="47" t="str">
        <f aca="false">IF($A55="","",IF($M55="",0,$M55)+IF($N55="",0,$N55/$Q55))</f>
        <v/>
      </c>
      <c r="U55" s="47" t="str">
        <f aca="false">IF($A55="","",$H55-$S55)</f>
        <v/>
      </c>
      <c r="V55" s="36"/>
      <c r="W55" s="36" t="str">
        <f aca="false">IF($A55="","",IF($S55&gt;=$H55-0.01,"Paid",IF($S55&gt;0,"Partially Paid","Unpaid")))</f>
        <v/>
      </c>
      <c r="X55" s="47" t="str">
        <f aca="false">IF($A55="","",$F55-$I55)</f>
        <v/>
      </c>
      <c r="Y55" s="48" t="str">
        <f aca="false">IF($A55="","",SUMIFS(Loans!$H$5:$H$44,Loans!$B$5:$B$44,$A55))</f>
        <v/>
      </c>
      <c r="Z55" s="47" t="str">
        <f aca="false">IF($A55="","",$X55-$Y55)</f>
        <v/>
      </c>
      <c r="AA55" s="52" t="str">
        <f aca="false">IF(OR($A55="",$F55=0),"",$X55/$F55)</f>
        <v/>
      </c>
      <c r="AB55" s="53" t="str">
        <f aca="true">IF($A55="","",IF($S55&gt;=$H55-0.01,"Paid",IF(AND($S55&gt;0,$J55&lt;&gt;"Yes"),"Advance Paid",IF($J55="Yes",IF(AND($E55&lt;&gt;"",TODAY()&gt;$E55),"Overdue Payment","Awaiting Payment"),IF(AND($E55&lt;&gt;"",TODAY()&gt;$E55),"Overdue Service","Open")))))</f>
        <v/>
      </c>
      <c r="AC55" s="36"/>
    </row>
    <row r="56" customFormat="false" ht="15" hidden="false" customHeight="true" outlineLevel="0" collapsed="false">
      <c r="A56" s="38"/>
      <c r="B56" s="38"/>
      <c r="C56" s="38"/>
      <c r="D56" s="38"/>
      <c r="E56" s="38"/>
      <c r="F56" s="38"/>
      <c r="G56" s="54" t="str">
        <f aca="false">IF($F56="","",$F56*VATRate)</f>
        <v/>
      </c>
      <c r="H56" s="54" t="str">
        <f aca="false">IF($F56="","",$F56+$G56)</f>
        <v/>
      </c>
      <c r="I56" s="55" t="str">
        <f aca="false">IF($A56="","",SUMIFS(OrderExpenses!$G$5:$G$84,OrderExpenses!$B$5:$B$84,$A56))</f>
        <v/>
      </c>
      <c r="J56" s="38"/>
      <c r="K56" s="38"/>
      <c r="L56" s="38"/>
      <c r="M56" s="38"/>
      <c r="N56" s="38"/>
      <c r="O56" s="51" t="n">
        <f aca="false">OffRate</f>
        <v>26.5</v>
      </c>
      <c r="P56" s="54" t="str">
        <f aca="false">IF($N56="","",$N56/$O56)</f>
        <v/>
      </c>
      <c r="Q56" s="51" t="n">
        <f aca="false">StreetRate</f>
        <v>33</v>
      </c>
      <c r="R56" s="54" t="str">
        <f aca="false">IF($N56="","",$N56/$Q56)</f>
        <v/>
      </c>
      <c r="S56" s="54" t="str">
        <f aca="false">IF($A56="","",IF($M56="",0,$M56)+IF($N56="",0,$N56/$O56))</f>
        <v/>
      </c>
      <c r="T56" s="54" t="str">
        <f aca="false">IF($A56="","",IF($M56="",0,$M56)+IF($N56="",0,$N56/$Q56))</f>
        <v/>
      </c>
      <c r="U56" s="54" t="str">
        <f aca="false">IF($A56="","",$H56-$S56)</f>
        <v/>
      </c>
      <c r="V56" s="38"/>
      <c r="W56" s="38" t="str">
        <f aca="false">IF($A56="","",IF($S56&gt;=$H56-0.01,"Paid",IF($S56&gt;0,"Partially Paid","Unpaid")))</f>
        <v/>
      </c>
      <c r="X56" s="54" t="str">
        <f aca="false">IF($A56="","",$F56-$I56)</f>
        <v/>
      </c>
      <c r="Y56" s="55" t="str">
        <f aca="false">IF($A56="","",SUMIFS(Loans!$H$5:$H$44,Loans!$B$5:$B$44,$A56))</f>
        <v/>
      </c>
      <c r="Z56" s="54" t="str">
        <f aca="false">IF($A56="","",$X56-$Y56)</f>
        <v/>
      </c>
      <c r="AA56" s="56" t="str">
        <f aca="false">IF(OR($A56="",$F56=0),"",$X56/$F56)</f>
        <v/>
      </c>
      <c r="AB56" s="57" t="str">
        <f aca="true">IF($A56="","",IF($S56&gt;=$H56-0.01,"Paid",IF(AND($S56&gt;0,$J56&lt;&gt;"Yes"),"Advance Paid",IF($J56="Yes",IF(AND($E56&lt;&gt;"",TODAY()&gt;$E56),"Overdue Payment","Awaiting Payment"),IF(AND($E56&lt;&gt;"",TODAY()&gt;$E56),"Overdue Service","Open")))))</f>
        <v/>
      </c>
      <c r="AC56" s="38"/>
    </row>
    <row r="57" customFormat="false" ht="15" hidden="false" customHeight="true" outlineLevel="0" collapsed="false">
      <c r="A57" s="36"/>
      <c r="B57" s="36"/>
      <c r="C57" s="36"/>
      <c r="D57" s="36"/>
      <c r="E57" s="36"/>
      <c r="F57" s="36"/>
      <c r="G57" s="47" t="str">
        <f aca="false">IF($F57="","",$F57*VATRate)</f>
        <v/>
      </c>
      <c r="H57" s="47" t="str">
        <f aca="false">IF($F57="","",$F57+$G57)</f>
        <v/>
      </c>
      <c r="I57" s="48" t="str">
        <f aca="false">IF($A57="","",SUMIFS(OrderExpenses!$G$5:$G$84,OrderExpenses!$B$5:$B$84,$A57))</f>
        <v/>
      </c>
      <c r="J57" s="36"/>
      <c r="K57" s="36"/>
      <c r="L57" s="36"/>
      <c r="M57" s="36"/>
      <c r="N57" s="36"/>
      <c r="O57" s="51" t="n">
        <f aca="false">OffRate</f>
        <v>26.5</v>
      </c>
      <c r="P57" s="47" t="str">
        <f aca="false">IF($N57="","",$N57/$O57)</f>
        <v/>
      </c>
      <c r="Q57" s="51" t="n">
        <f aca="false">StreetRate</f>
        <v>33</v>
      </c>
      <c r="R57" s="47" t="str">
        <f aca="false">IF($N57="","",$N57/$Q57)</f>
        <v/>
      </c>
      <c r="S57" s="47" t="str">
        <f aca="false">IF($A57="","",IF($M57="",0,$M57)+IF($N57="",0,$N57/$O57))</f>
        <v/>
      </c>
      <c r="T57" s="47" t="str">
        <f aca="false">IF($A57="","",IF($M57="",0,$M57)+IF($N57="",0,$N57/$Q57))</f>
        <v/>
      </c>
      <c r="U57" s="47" t="str">
        <f aca="false">IF($A57="","",$H57-$S57)</f>
        <v/>
      </c>
      <c r="V57" s="36"/>
      <c r="W57" s="36" t="str">
        <f aca="false">IF($A57="","",IF($S57&gt;=$H57-0.01,"Paid",IF($S57&gt;0,"Partially Paid","Unpaid")))</f>
        <v/>
      </c>
      <c r="X57" s="47" t="str">
        <f aca="false">IF($A57="","",$F57-$I57)</f>
        <v/>
      </c>
      <c r="Y57" s="48" t="str">
        <f aca="false">IF($A57="","",SUMIFS(Loans!$H$5:$H$44,Loans!$B$5:$B$44,$A57))</f>
        <v/>
      </c>
      <c r="Z57" s="47" t="str">
        <f aca="false">IF($A57="","",$X57-$Y57)</f>
        <v/>
      </c>
      <c r="AA57" s="52" t="str">
        <f aca="false">IF(OR($A57="",$F57=0),"",$X57/$F57)</f>
        <v/>
      </c>
      <c r="AB57" s="53" t="str">
        <f aca="true">IF($A57="","",IF($S57&gt;=$H57-0.01,"Paid",IF(AND($S57&gt;0,$J57&lt;&gt;"Yes"),"Advance Paid",IF($J57="Yes",IF(AND($E57&lt;&gt;"",TODAY()&gt;$E57),"Overdue Payment","Awaiting Payment"),IF(AND($E57&lt;&gt;"",TODAY()&gt;$E57),"Overdue Service","Open")))))</f>
        <v/>
      </c>
      <c r="AC57" s="36"/>
    </row>
    <row r="58" customFormat="false" ht="15" hidden="false" customHeight="true" outlineLevel="0" collapsed="false">
      <c r="A58" s="38"/>
      <c r="B58" s="38"/>
      <c r="C58" s="38"/>
      <c r="D58" s="38"/>
      <c r="E58" s="38"/>
      <c r="F58" s="38"/>
      <c r="G58" s="54" t="str">
        <f aca="false">IF($F58="","",$F58*VATRate)</f>
        <v/>
      </c>
      <c r="H58" s="54" t="str">
        <f aca="false">IF($F58="","",$F58+$G58)</f>
        <v/>
      </c>
      <c r="I58" s="55" t="str">
        <f aca="false">IF($A58="","",SUMIFS(OrderExpenses!$G$5:$G$84,OrderExpenses!$B$5:$B$84,$A58))</f>
        <v/>
      </c>
      <c r="J58" s="38"/>
      <c r="K58" s="38"/>
      <c r="L58" s="38"/>
      <c r="M58" s="38"/>
      <c r="N58" s="38"/>
      <c r="O58" s="51" t="n">
        <f aca="false">OffRate</f>
        <v>26.5</v>
      </c>
      <c r="P58" s="54" t="str">
        <f aca="false">IF($N58="","",$N58/$O58)</f>
        <v/>
      </c>
      <c r="Q58" s="51" t="n">
        <f aca="false">StreetRate</f>
        <v>33</v>
      </c>
      <c r="R58" s="54" t="str">
        <f aca="false">IF($N58="","",$N58/$Q58)</f>
        <v/>
      </c>
      <c r="S58" s="54" t="str">
        <f aca="false">IF($A58="","",IF($M58="",0,$M58)+IF($N58="",0,$N58/$O58))</f>
        <v/>
      </c>
      <c r="T58" s="54" t="str">
        <f aca="false">IF($A58="","",IF($M58="",0,$M58)+IF($N58="",0,$N58/$Q58))</f>
        <v/>
      </c>
      <c r="U58" s="54" t="str">
        <f aca="false">IF($A58="","",$H58-$S58)</f>
        <v/>
      </c>
      <c r="V58" s="38"/>
      <c r="W58" s="38" t="str">
        <f aca="false">IF($A58="","",IF($S58&gt;=$H58-0.01,"Paid",IF($S58&gt;0,"Partially Paid","Unpaid")))</f>
        <v/>
      </c>
      <c r="X58" s="54" t="str">
        <f aca="false">IF($A58="","",$F58-$I58)</f>
        <v/>
      </c>
      <c r="Y58" s="55" t="str">
        <f aca="false">IF($A58="","",SUMIFS(Loans!$H$5:$H$44,Loans!$B$5:$B$44,$A58))</f>
        <v/>
      </c>
      <c r="Z58" s="54" t="str">
        <f aca="false">IF($A58="","",$X58-$Y58)</f>
        <v/>
      </c>
      <c r="AA58" s="56" t="str">
        <f aca="false">IF(OR($A58="",$F58=0),"",$X58/$F58)</f>
        <v/>
      </c>
      <c r="AB58" s="57" t="str">
        <f aca="true">IF($A58="","",IF($S58&gt;=$H58-0.01,"Paid",IF(AND($S58&gt;0,$J58&lt;&gt;"Yes"),"Advance Paid",IF($J58="Yes",IF(AND($E58&lt;&gt;"",TODAY()&gt;$E58),"Overdue Payment","Awaiting Payment"),IF(AND($E58&lt;&gt;"",TODAY()&gt;$E58),"Overdue Service","Open")))))</f>
        <v/>
      </c>
      <c r="AC58" s="38"/>
    </row>
    <row r="59" customFormat="false" ht="15" hidden="false" customHeight="true" outlineLevel="0" collapsed="false">
      <c r="A59" s="36"/>
      <c r="B59" s="36"/>
      <c r="C59" s="36"/>
      <c r="D59" s="36"/>
      <c r="E59" s="36"/>
      <c r="F59" s="36"/>
      <c r="G59" s="47" t="str">
        <f aca="false">IF($F59="","",$F59*VATRate)</f>
        <v/>
      </c>
      <c r="H59" s="47" t="str">
        <f aca="false">IF($F59="","",$F59+$G59)</f>
        <v/>
      </c>
      <c r="I59" s="48" t="str">
        <f aca="false">IF($A59="","",SUMIFS(OrderExpenses!$G$5:$G$84,OrderExpenses!$B$5:$B$84,$A59))</f>
        <v/>
      </c>
      <c r="J59" s="36"/>
      <c r="K59" s="36"/>
      <c r="L59" s="36"/>
      <c r="M59" s="36"/>
      <c r="N59" s="36"/>
      <c r="O59" s="51" t="n">
        <f aca="false">OffRate</f>
        <v>26.5</v>
      </c>
      <c r="P59" s="47" t="str">
        <f aca="false">IF($N59="","",$N59/$O59)</f>
        <v/>
      </c>
      <c r="Q59" s="51" t="n">
        <f aca="false">StreetRate</f>
        <v>33</v>
      </c>
      <c r="R59" s="47" t="str">
        <f aca="false">IF($N59="","",$N59/$Q59)</f>
        <v/>
      </c>
      <c r="S59" s="47" t="str">
        <f aca="false">IF($A59="","",IF($M59="",0,$M59)+IF($N59="",0,$N59/$O59))</f>
        <v/>
      </c>
      <c r="T59" s="47" t="str">
        <f aca="false">IF($A59="","",IF($M59="",0,$M59)+IF($N59="",0,$N59/$Q59))</f>
        <v/>
      </c>
      <c r="U59" s="47" t="str">
        <f aca="false">IF($A59="","",$H59-$S59)</f>
        <v/>
      </c>
      <c r="V59" s="36"/>
      <c r="W59" s="36" t="str">
        <f aca="false">IF($A59="","",IF($S59&gt;=$H59-0.01,"Paid",IF($S59&gt;0,"Partially Paid","Unpaid")))</f>
        <v/>
      </c>
      <c r="X59" s="47" t="str">
        <f aca="false">IF($A59="","",$F59-$I59)</f>
        <v/>
      </c>
      <c r="Y59" s="48" t="str">
        <f aca="false">IF($A59="","",SUMIFS(Loans!$H$5:$H$44,Loans!$B$5:$B$44,$A59))</f>
        <v/>
      </c>
      <c r="Z59" s="47" t="str">
        <f aca="false">IF($A59="","",$X59-$Y59)</f>
        <v/>
      </c>
      <c r="AA59" s="52" t="str">
        <f aca="false">IF(OR($A59="",$F59=0),"",$X59/$F59)</f>
        <v/>
      </c>
      <c r="AB59" s="53" t="str">
        <f aca="true">IF($A59="","",IF($S59&gt;=$H59-0.01,"Paid",IF(AND($S59&gt;0,$J59&lt;&gt;"Yes"),"Advance Paid",IF($J59="Yes",IF(AND($E59&lt;&gt;"",TODAY()&gt;$E59),"Overdue Payment","Awaiting Payment"),IF(AND($E59&lt;&gt;"",TODAY()&gt;$E59),"Overdue Service","Open")))))</f>
        <v/>
      </c>
      <c r="AC59" s="36"/>
    </row>
    <row r="60" customFormat="false" ht="15" hidden="false" customHeight="true" outlineLevel="0" collapsed="false">
      <c r="A60" s="38"/>
      <c r="B60" s="38"/>
      <c r="C60" s="38"/>
      <c r="D60" s="38"/>
      <c r="E60" s="38"/>
      <c r="F60" s="38"/>
      <c r="G60" s="54" t="str">
        <f aca="false">IF($F60="","",$F60*VATRate)</f>
        <v/>
      </c>
      <c r="H60" s="54" t="str">
        <f aca="false">IF($F60="","",$F60+$G60)</f>
        <v/>
      </c>
      <c r="I60" s="55" t="str">
        <f aca="false">IF($A60="","",SUMIFS(OrderExpenses!$G$5:$G$84,OrderExpenses!$B$5:$B$84,$A60))</f>
        <v/>
      </c>
      <c r="J60" s="38"/>
      <c r="K60" s="38"/>
      <c r="L60" s="38"/>
      <c r="M60" s="38"/>
      <c r="N60" s="38"/>
      <c r="O60" s="51" t="n">
        <f aca="false">OffRate</f>
        <v>26.5</v>
      </c>
      <c r="P60" s="54" t="str">
        <f aca="false">IF($N60="","",$N60/$O60)</f>
        <v/>
      </c>
      <c r="Q60" s="51" t="n">
        <f aca="false">StreetRate</f>
        <v>33</v>
      </c>
      <c r="R60" s="54" t="str">
        <f aca="false">IF($N60="","",$N60/$Q60)</f>
        <v/>
      </c>
      <c r="S60" s="54" t="str">
        <f aca="false">IF($A60="","",IF($M60="",0,$M60)+IF($N60="",0,$N60/$O60))</f>
        <v/>
      </c>
      <c r="T60" s="54" t="str">
        <f aca="false">IF($A60="","",IF($M60="",0,$M60)+IF($N60="",0,$N60/$Q60))</f>
        <v/>
      </c>
      <c r="U60" s="54" t="str">
        <f aca="false">IF($A60="","",$H60-$S60)</f>
        <v/>
      </c>
      <c r="V60" s="38"/>
      <c r="W60" s="38" t="str">
        <f aca="false">IF($A60="","",IF($S60&gt;=$H60-0.01,"Paid",IF($S60&gt;0,"Partially Paid","Unpaid")))</f>
        <v/>
      </c>
      <c r="X60" s="54" t="str">
        <f aca="false">IF($A60="","",$F60-$I60)</f>
        <v/>
      </c>
      <c r="Y60" s="55" t="str">
        <f aca="false">IF($A60="","",SUMIFS(Loans!$H$5:$H$44,Loans!$B$5:$B$44,$A60))</f>
        <v/>
      </c>
      <c r="Z60" s="54" t="str">
        <f aca="false">IF($A60="","",$X60-$Y60)</f>
        <v/>
      </c>
      <c r="AA60" s="56" t="str">
        <f aca="false">IF(OR($A60="",$F60=0),"",$X60/$F60)</f>
        <v/>
      </c>
      <c r="AB60" s="57" t="str">
        <f aca="true">IF($A60="","",IF($S60&gt;=$H60-0.01,"Paid",IF(AND($S60&gt;0,$J60&lt;&gt;"Yes"),"Advance Paid",IF($J60="Yes",IF(AND($E60&lt;&gt;"",TODAY()&gt;$E60),"Overdue Payment","Awaiting Payment"),IF(AND($E60&lt;&gt;"",TODAY()&gt;$E60),"Overdue Service","Open")))))</f>
        <v/>
      </c>
      <c r="AC60" s="38"/>
    </row>
    <row r="61" customFormat="false" ht="15" hidden="false" customHeight="true" outlineLevel="0" collapsed="false">
      <c r="A61" s="36"/>
      <c r="B61" s="36"/>
      <c r="C61" s="36"/>
      <c r="D61" s="36"/>
      <c r="E61" s="36"/>
      <c r="F61" s="36"/>
      <c r="G61" s="47" t="str">
        <f aca="false">IF($F61="","",$F61*VATRate)</f>
        <v/>
      </c>
      <c r="H61" s="47" t="str">
        <f aca="false">IF($F61="","",$F61+$G61)</f>
        <v/>
      </c>
      <c r="I61" s="48" t="str">
        <f aca="false">IF($A61="","",SUMIFS(OrderExpenses!$G$5:$G$84,OrderExpenses!$B$5:$B$84,$A61))</f>
        <v/>
      </c>
      <c r="J61" s="36"/>
      <c r="K61" s="36"/>
      <c r="L61" s="36"/>
      <c r="M61" s="36"/>
      <c r="N61" s="36"/>
      <c r="O61" s="51" t="n">
        <f aca="false">OffRate</f>
        <v>26.5</v>
      </c>
      <c r="P61" s="47" t="str">
        <f aca="false">IF($N61="","",$N61/$O61)</f>
        <v/>
      </c>
      <c r="Q61" s="51" t="n">
        <f aca="false">StreetRate</f>
        <v>33</v>
      </c>
      <c r="R61" s="47" t="str">
        <f aca="false">IF($N61="","",$N61/$Q61)</f>
        <v/>
      </c>
      <c r="S61" s="47" t="str">
        <f aca="false">IF($A61="","",IF($M61="",0,$M61)+IF($N61="",0,$N61/$O61))</f>
        <v/>
      </c>
      <c r="T61" s="47" t="str">
        <f aca="false">IF($A61="","",IF($M61="",0,$M61)+IF($N61="",0,$N61/$Q61))</f>
        <v/>
      </c>
      <c r="U61" s="47" t="str">
        <f aca="false">IF($A61="","",$H61-$S61)</f>
        <v/>
      </c>
      <c r="V61" s="36"/>
      <c r="W61" s="36" t="str">
        <f aca="false">IF($A61="","",IF($S61&gt;=$H61-0.01,"Paid",IF($S61&gt;0,"Partially Paid","Unpaid")))</f>
        <v/>
      </c>
      <c r="X61" s="47" t="str">
        <f aca="false">IF($A61="","",$F61-$I61)</f>
        <v/>
      </c>
      <c r="Y61" s="48" t="str">
        <f aca="false">IF($A61="","",SUMIFS(Loans!$H$5:$H$44,Loans!$B$5:$B$44,$A61))</f>
        <v/>
      </c>
      <c r="Z61" s="47" t="str">
        <f aca="false">IF($A61="","",$X61-$Y61)</f>
        <v/>
      </c>
      <c r="AA61" s="52" t="str">
        <f aca="false">IF(OR($A61="",$F61=0),"",$X61/$F61)</f>
        <v/>
      </c>
      <c r="AB61" s="53" t="str">
        <f aca="true">IF($A61="","",IF($S61&gt;=$H61-0.01,"Paid",IF(AND($S61&gt;0,$J61&lt;&gt;"Yes"),"Advance Paid",IF($J61="Yes",IF(AND($E61&lt;&gt;"",TODAY()&gt;$E61),"Overdue Payment","Awaiting Payment"),IF(AND($E61&lt;&gt;"",TODAY()&gt;$E61),"Overdue Service","Open")))))</f>
        <v/>
      </c>
      <c r="AC61" s="36"/>
    </row>
    <row r="62" customFormat="false" ht="15" hidden="false" customHeight="true" outlineLevel="0" collapsed="false">
      <c r="A62" s="38"/>
      <c r="B62" s="38"/>
      <c r="C62" s="38"/>
      <c r="D62" s="38"/>
      <c r="E62" s="38"/>
      <c r="F62" s="38"/>
      <c r="G62" s="54" t="str">
        <f aca="false">IF($F62="","",$F62*VATRate)</f>
        <v/>
      </c>
      <c r="H62" s="54" t="str">
        <f aca="false">IF($F62="","",$F62+$G62)</f>
        <v/>
      </c>
      <c r="I62" s="55" t="str">
        <f aca="false">IF($A62="","",SUMIFS(OrderExpenses!$G$5:$G$84,OrderExpenses!$B$5:$B$84,$A62))</f>
        <v/>
      </c>
      <c r="J62" s="38"/>
      <c r="K62" s="38"/>
      <c r="L62" s="38"/>
      <c r="M62" s="38"/>
      <c r="N62" s="38"/>
      <c r="O62" s="51" t="n">
        <f aca="false">OffRate</f>
        <v>26.5</v>
      </c>
      <c r="P62" s="54" t="str">
        <f aca="false">IF($N62="","",$N62/$O62)</f>
        <v/>
      </c>
      <c r="Q62" s="51" t="n">
        <f aca="false">StreetRate</f>
        <v>33</v>
      </c>
      <c r="R62" s="54" t="str">
        <f aca="false">IF($N62="","",$N62/$Q62)</f>
        <v/>
      </c>
      <c r="S62" s="54" t="str">
        <f aca="false">IF($A62="","",IF($M62="",0,$M62)+IF($N62="",0,$N62/$O62))</f>
        <v/>
      </c>
      <c r="T62" s="54" t="str">
        <f aca="false">IF($A62="","",IF($M62="",0,$M62)+IF($N62="",0,$N62/$Q62))</f>
        <v/>
      </c>
      <c r="U62" s="54" t="str">
        <f aca="false">IF($A62="","",$H62-$S62)</f>
        <v/>
      </c>
      <c r="V62" s="38"/>
      <c r="W62" s="38" t="str">
        <f aca="false">IF($A62="","",IF($S62&gt;=$H62-0.01,"Paid",IF($S62&gt;0,"Partially Paid","Unpaid")))</f>
        <v/>
      </c>
      <c r="X62" s="54" t="str">
        <f aca="false">IF($A62="","",$F62-$I62)</f>
        <v/>
      </c>
      <c r="Y62" s="55" t="str">
        <f aca="false">IF($A62="","",SUMIFS(Loans!$H$5:$H$44,Loans!$B$5:$B$44,$A62))</f>
        <v/>
      </c>
      <c r="Z62" s="54" t="str">
        <f aca="false">IF($A62="","",$X62-$Y62)</f>
        <v/>
      </c>
      <c r="AA62" s="56" t="str">
        <f aca="false">IF(OR($A62="",$F62=0),"",$X62/$F62)</f>
        <v/>
      </c>
      <c r="AB62" s="57" t="str">
        <f aca="true">IF($A62="","",IF($S62&gt;=$H62-0.01,"Paid",IF(AND($S62&gt;0,$J62&lt;&gt;"Yes"),"Advance Paid",IF($J62="Yes",IF(AND($E62&lt;&gt;"",TODAY()&gt;$E62),"Overdue Payment","Awaiting Payment"),IF(AND($E62&lt;&gt;"",TODAY()&gt;$E62),"Overdue Service","Open")))))</f>
        <v/>
      </c>
      <c r="AC62" s="38"/>
    </row>
    <row r="63" customFormat="false" ht="15" hidden="false" customHeight="true" outlineLevel="0" collapsed="false">
      <c r="A63" s="36"/>
      <c r="B63" s="36"/>
      <c r="C63" s="36"/>
      <c r="D63" s="36"/>
      <c r="E63" s="36"/>
      <c r="F63" s="36"/>
      <c r="G63" s="47" t="str">
        <f aca="false">IF($F63="","",$F63*VATRate)</f>
        <v/>
      </c>
      <c r="H63" s="47" t="str">
        <f aca="false">IF($F63="","",$F63+$G63)</f>
        <v/>
      </c>
      <c r="I63" s="48" t="str">
        <f aca="false">IF($A63="","",SUMIFS(OrderExpenses!$G$5:$G$84,OrderExpenses!$B$5:$B$84,$A63))</f>
        <v/>
      </c>
      <c r="J63" s="36"/>
      <c r="K63" s="36"/>
      <c r="L63" s="36"/>
      <c r="M63" s="36"/>
      <c r="N63" s="36"/>
      <c r="O63" s="51" t="n">
        <f aca="false">OffRate</f>
        <v>26.5</v>
      </c>
      <c r="P63" s="47" t="str">
        <f aca="false">IF($N63="","",$N63/$O63)</f>
        <v/>
      </c>
      <c r="Q63" s="51" t="n">
        <f aca="false">StreetRate</f>
        <v>33</v>
      </c>
      <c r="R63" s="47" t="str">
        <f aca="false">IF($N63="","",$N63/$Q63)</f>
        <v/>
      </c>
      <c r="S63" s="47" t="str">
        <f aca="false">IF($A63="","",IF($M63="",0,$M63)+IF($N63="",0,$N63/$O63))</f>
        <v/>
      </c>
      <c r="T63" s="47" t="str">
        <f aca="false">IF($A63="","",IF($M63="",0,$M63)+IF($N63="",0,$N63/$Q63))</f>
        <v/>
      </c>
      <c r="U63" s="47" t="str">
        <f aca="false">IF($A63="","",$H63-$S63)</f>
        <v/>
      </c>
      <c r="V63" s="36"/>
      <c r="W63" s="36" t="str">
        <f aca="false">IF($A63="","",IF($S63&gt;=$H63-0.01,"Paid",IF($S63&gt;0,"Partially Paid","Unpaid")))</f>
        <v/>
      </c>
      <c r="X63" s="47" t="str">
        <f aca="false">IF($A63="","",$F63-$I63)</f>
        <v/>
      </c>
      <c r="Y63" s="48" t="str">
        <f aca="false">IF($A63="","",SUMIFS(Loans!$H$5:$H$44,Loans!$B$5:$B$44,$A63))</f>
        <v/>
      </c>
      <c r="Z63" s="47" t="str">
        <f aca="false">IF($A63="","",$X63-$Y63)</f>
        <v/>
      </c>
      <c r="AA63" s="52" t="str">
        <f aca="false">IF(OR($A63="",$F63=0),"",$X63/$F63)</f>
        <v/>
      </c>
      <c r="AB63" s="53" t="str">
        <f aca="true">IF($A63="","",IF($S63&gt;=$H63-0.01,"Paid",IF(AND($S63&gt;0,$J63&lt;&gt;"Yes"),"Advance Paid",IF($J63="Yes",IF(AND($E63&lt;&gt;"",TODAY()&gt;$E63),"Overdue Payment","Awaiting Payment"),IF(AND($E63&lt;&gt;"",TODAY()&gt;$E63),"Overdue Service","Open")))))</f>
        <v/>
      </c>
      <c r="AC63" s="36"/>
    </row>
    <row r="64" customFormat="false" ht="15" hidden="false" customHeight="true" outlineLevel="0" collapsed="false">
      <c r="A64" s="38"/>
      <c r="B64" s="38"/>
      <c r="C64" s="38"/>
      <c r="D64" s="38"/>
      <c r="E64" s="38"/>
      <c r="F64" s="38"/>
      <c r="G64" s="54" t="str">
        <f aca="false">IF($F64="","",$F64*VATRate)</f>
        <v/>
      </c>
      <c r="H64" s="54" t="str">
        <f aca="false">IF($F64="","",$F64+$G64)</f>
        <v/>
      </c>
      <c r="I64" s="55" t="str">
        <f aca="false">IF($A64="","",SUMIFS(OrderExpenses!$G$5:$G$84,OrderExpenses!$B$5:$B$84,$A64))</f>
        <v/>
      </c>
      <c r="J64" s="38"/>
      <c r="K64" s="38"/>
      <c r="L64" s="38"/>
      <c r="M64" s="38"/>
      <c r="N64" s="38"/>
      <c r="O64" s="51" t="n">
        <f aca="false">OffRate</f>
        <v>26.5</v>
      </c>
      <c r="P64" s="54" t="str">
        <f aca="false">IF($N64="","",$N64/$O64)</f>
        <v/>
      </c>
      <c r="Q64" s="51" t="n">
        <f aca="false">StreetRate</f>
        <v>33</v>
      </c>
      <c r="R64" s="54" t="str">
        <f aca="false">IF($N64="","",$N64/$Q64)</f>
        <v/>
      </c>
      <c r="S64" s="54" t="str">
        <f aca="false">IF($A64="","",IF($M64="",0,$M64)+IF($N64="",0,$N64/$O64))</f>
        <v/>
      </c>
      <c r="T64" s="54" t="str">
        <f aca="false">IF($A64="","",IF($M64="",0,$M64)+IF($N64="",0,$N64/$Q64))</f>
        <v/>
      </c>
      <c r="U64" s="54" t="str">
        <f aca="false">IF($A64="","",$H64-$S64)</f>
        <v/>
      </c>
      <c r="V64" s="38"/>
      <c r="W64" s="38" t="str">
        <f aca="false">IF($A64="","",IF($S64&gt;=$H64-0.01,"Paid",IF($S64&gt;0,"Partially Paid","Unpaid")))</f>
        <v/>
      </c>
      <c r="X64" s="54" t="str">
        <f aca="false">IF($A64="","",$F64-$I64)</f>
        <v/>
      </c>
      <c r="Y64" s="55" t="str">
        <f aca="false">IF($A64="","",SUMIFS(Loans!$H$5:$H$44,Loans!$B$5:$B$44,$A64))</f>
        <v/>
      </c>
      <c r="Z64" s="54" t="str">
        <f aca="false">IF($A64="","",$X64-$Y64)</f>
        <v/>
      </c>
      <c r="AA64" s="56" t="str">
        <f aca="false">IF(OR($A64="",$F64=0),"",$X64/$F64)</f>
        <v/>
      </c>
      <c r="AB64" s="57" t="str">
        <f aca="true">IF($A64="","",IF($S64&gt;=$H64-0.01,"Paid",IF(AND($S64&gt;0,$J64&lt;&gt;"Yes"),"Advance Paid",IF($J64="Yes",IF(AND($E64&lt;&gt;"",TODAY()&gt;$E64),"Overdue Payment","Awaiting Payment"),IF(AND($E64&lt;&gt;"",TODAY()&gt;$E64),"Overdue Service","Open")))))</f>
        <v/>
      </c>
      <c r="AC64" s="38"/>
    </row>
  </sheetData>
  <mergeCells count="2">
    <mergeCell ref="A1:AC1"/>
    <mergeCell ref="A2:AC2"/>
  </mergeCells>
  <conditionalFormatting sqref="AB5:AB64">
    <cfRule type="expression" priority="2" aboveAverage="0" equalAverage="0" bottom="0" percent="0" rank="0" text="" dxfId="1">
      <formula>EXACT($AB5,"Paid")</formula>
    </cfRule>
    <cfRule type="expression" priority="3" aboveAverage="0" equalAverage="0" bottom="0" percent="0" rank="0" text="" dxfId="2">
      <formula>EXACT($AB5,"Advance Paid")</formula>
    </cfRule>
    <cfRule type="expression" priority="4" aboveAverage="0" equalAverage="0" bottom="0" percent="0" rank="0" text="" dxfId="3">
      <formula>EXACT($AB5,"Awaiting Payment")</formula>
    </cfRule>
    <cfRule type="expression" priority="5" aboveAverage="0" equalAverage="0" bottom="0" percent="0" rank="0" text="" dxfId="0">
      <formula>EXACT($AB5,"Overdue Payment")</formula>
    </cfRule>
    <cfRule type="expression" priority="6" aboveAverage="0" equalAverage="0" bottom="0" percent="0" rank="0" text="" dxfId="0">
      <formula>EXACT($AB5,"Overdue Service")</formula>
    </cfRule>
    <cfRule type="expression" priority="7" aboveAverage="0" equalAverage="0" bottom="0" percent="0" rank="0" text="" dxfId="4">
      <formula>EXACT($AB5,"Open")</formula>
    </cfRule>
  </conditionalFormatting>
  <dataValidations count="3">
    <dataValidation allowBlank="true" error="Pick from the list" errorStyle="stop" errorTitle="Invalid entry" operator="between" showDropDown="false" showErrorMessage="false" showInputMessage="false" sqref="C5:C64" type="list">
      <formula1>ClientList</formula1>
      <formula2>0</formula2>
    </dataValidation>
    <dataValidation allowBlank="true" error="Pick from the list" errorStyle="stop" errorTitle="Invalid entry" operator="between" showDropDown="false" showErrorMessage="false" showInputMessage="false" sqref="J5:J64" type="list">
      <formula1>"Yes,No"</formula1>
      <formula2>0</formula2>
    </dataValidation>
    <dataValidation allowBlank="true" error="Pick from the list" errorStyle="stop" errorTitle="Invalid entry" operator="between" showDropDown="false" showErrorMessage="false" showInputMessage="false" sqref="L5:L6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16"/>
    <col collapsed="false" customWidth="true" hidden="false" outlineLevel="0" max="5" min="5" style="1" width="28"/>
    <col collapsed="false" customWidth="true" hidden="false" outlineLevel="0" max="6" min="6" style="1" width="13"/>
    <col collapsed="false" customWidth="true" hidden="false" outlineLevel="0" max="7" min="7" style="1" width="15"/>
    <col collapsed="false" customWidth="true" hidden="false" outlineLevel="0" max="8" min="8" style="1" width="9"/>
    <col collapsed="false" customWidth="true" hidden="false" outlineLevel="0" max="9" min="9" style="1" width="13"/>
    <col collapsed="false" customWidth="true" hidden="false" outlineLevel="0" max="10" min="10" style="1" width="15"/>
    <col collapsed="false" customWidth="true" hidden="false" outlineLevel="0" max="11" min="11" style="1" width="22"/>
  </cols>
  <sheetData>
    <row r="1" customFormat="false" ht="27.75" hidden="false" customHeight="true" outlineLevel="0" collapsed="false">
      <c r="A1" s="17" t="s">
        <v>204</v>
      </c>
      <c r="B1" s="17"/>
      <c r="C1" s="17"/>
      <c r="D1" s="17"/>
      <c r="E1" s="17"/>
      <c r="F1" s="17"/>
      <c r="G1" s="17"/>
      <c r="H1" s="17"/>
      <c r="I1" s="17"/>
      <c r="J1" s="17"/>
      <c r="K1" s="17"/>
    </row>
    <row r="2" customFormat="false" ht="15.75" hidden="false" customHeight="true" outlineLevel="0" collapsed="false">
      <c r="A2" s="18" t="s">
        <v>205</v>
      </c>
      <c r="B2" s="18"/>
      <c r="C2" s="18"/>
      <c r="D2" s="18"/>
      <c r="E2" s="18"/>
      <c r="F2" s="18"/>
      <c r="G2" s="18"/>
      <c r="H2" s="18"/>
      <c r="I2" s="18"/>
      <c r="J2" s="18"/>
      <c r="K2" s="18"/>
    </row>
    <row r="4" customFormat="false" ht="30" hidden="false" customHeight="true" outlineLevel="0" collapsed="false">
      <c r="A4" s="20" t="s">
        <v>206</v>
      </c>
      <c r="B4" s="20" t="s">
        <v>157</v>
      </c>
      <c r="C4" s="20" t="s">
        <v>158</v>
      </c>
      <c r="D4" s="20" t="s">
        <v>135</v>
      </c>
      <c r="E4" s="20" t="s">
        <v>207</v>
      </c>
      <c r="F4" s="20" t="s">
        <v>208</v>
      </c>
      <c r="G4" s="20" t="s">
        <v>209</v>
      </c>
      <c r="H4" s="20" t="s">
        <v>210</v>
      </c>
      <c r="I4" s="20" t="s">
        <v>211</v>
      </c>
      <c r="J4" s="20" t="s">
        <v>163</v>
      </c>
      <c r="K4" s="20" t="s">
        <v>33</v>
      </c>
    </row>
    <row r="5" customFormat="false" ht="15" hidden="false" customHeight="true" outlineLevel="0" collapsed="false">
      <c r="A5" s="40" t="n">
        <v>46152</v>
      </c>
      <c r="B5" s="35" t="s">
        <v>184</v>
      </c>
      <c r="C5" s="58" t="str">
        <f aca="false">IFERROR(VLOOKUP($B5,Orders!$A$5:$B$64,2,0),"")</f>
        <v>Underground ventilation doors (x10)</v>
      </c>
      <c r="D5" s="58" t="str">
        <f aca="false">IFERROR(VLOOKUP($B5,Orders!$A$5:$C$64,3,0),"")</f>
        <v>Zimplats</v>
      </c>
      <c r="E5" s="36" t="s">
        <v>212</v>
      </c>
      <c r="F5" s="36" t="s">
        <v>61</v>
      </c>
      <c r="G5" s="49" t="n">
        <v>6500</v>
      </c>
      <c r="H5" s="36" t="s">
        <v>59</v>
      </c>
      <c r="I5" s="47" t="n">
        <f aca="false">IF($G5="","",IF($H5="Yes",$G5*VATRate,0))</f>
        <v>1007.5</v>
      </c>
      <c r="J5" s="47" t="n">
        <f aca="false">IF($G5="","",$G5+IF($I5="",0,$I5))</f>
        <v>7507.5</v>
      </c>
      <c r="K5" s="36"/>
    </row>
    <row r="6" customFormat="false" ht="15" hidden="false" customHeight="true" outlineLevel="0" collapsed="false">
      <c r="A6" s="40" t="n">
        <v>46154</v>
      </c>
      <c r="B6" s="37" t="s">
        <v>184</v>
      </c>
      <c r="C6" s="59" t="str">
        <f aca="false">IFERROR(VLOOKUP($B6,Orders!$A$5:$B$64,2,0),"")</f>
        <v>Underground ventilation doors (x10)</v>
      </c>
      <c r="D6" s="59" t="str">
        <f aca="false">IFERROR(VLOOKUP($B6,Orders!$A$5:$C$64,3,0),"")</f>
        <v>Zimplats</v>
      </c>
      <c r="E6" s="38" t="s">
        <v>213</v>
      </c>
      <c r="F6" s="38" t="s">
        <v>65</v>
      </c>
      <c r="G6" s="49" t="n">
        <v>1800</v>
      </c>
      <c r="H6" s="38" t="s">
        <v>63</v>
      </c>
      <c r="I6" s="54" t="n">
        <f aca="false">IF($G6="","",IF($H6="Yes",$G6*VATRate,0))</f>
        <v>0</v>
      </c>
      <c r="J6" s="54" t="n">
        <f aca="false">IF($G6="","",$G6+IF($I6="",0,$I6))</f>
        <v>1800</v>
      </c>
      <c r="K6" s="38"/>
    </row>
    <row r="7" customFormat="false" ht="15" hidden="false" customHeight="true" outlineLevel="0" collapsed="false">
      <c r="A7" s="40" t="n">
        <v>46167</v>
      </c>
      <c r="B7" s="35" t="s">
        <v>186</v>
      </c>
      <c r="C7" s="58" t="str">
        <f aca="false">IFERROR(VLOOKUP($B7,Orders!$A$5:$B$64,2,0),"")</f>
        <v>Safety explosive storage boxes (x6)</v>
      </c>
      <c r="D7" s="58" t="str">
        <f aca="false">IFERROR(VLOOKUP($B7,Orders!$A$5:$C$64,3,0),"")</f>
        <v>Mimosa Mining</v>
      </c>
      <c r="E7" s="36" t="s">
        <v>214</v>
      </c>
      <c r="F7" s="36" t="s">
        <v>61</v>
      </c>
      <c r="G7" s="49" t="n">
        <v>3200</v>
      </c>
      <c r="H7" s="36" t="s">
        <v>59</v>
      </c>
      <c r="I7" s="47" t="n">
        <f aca="false">IF($G7="","",IF($H7="Yes",$G7*VATRate,0))</f>
        <v>496</v>
      </c>
      <c r="J7" s="47" t="n">
        <f aca="false">IF($G7="","",$G7+IF($I7="",0,$I7))</f>
        <v>3696</v>
      </c>
      <c r="K7" s="36"/>
    </row>
    <row r="8" customFormat="false" ht="15" hidden="false" customHeight="true" outlineLevel="0" collapsed="false">
      <c r="A8" s="40" t="n">
        <v>46176</v>
      </c>
      <c r="B8" s="37" t="s">
        <v>188</v>
      </c>
      <c r="C8" s="59" t="str">
        <f aca="false">IFERROR(VLOOKUP($B8,Orders!$A$5:$B$64,2,0),"")</f>
        <v>Air sampling services - Q2</v>
      </c>
      <c r="D8" s="59" t="str">
        <f aca="false">IFERROR(VLOOKUP($B8,Orders!$A$5:$C$64,3,0),"")</f>
        <v>Unki Mine</v>
      </c>
      <c r="E8" s="38" t="s">
        <v>215</v>
      </c>
      <c r="F8" s="38" t="s">
        <v>72</v>
      </c>
      <c r="G8" s="49" t="n">
        <v>1500</v>
      </c>
      <c r="H8" s="38" t="s">
        <v>59</v>
      </c>
      <c r="I8" s="54" t="n">
        <f aca="false">IF($G8="","",IF($H8="Yes",$G8*VATRate,0))</f>
        <v>232.5</v>
      </c>
      <c r="J8" s="54" t="n">
        <f aca="false">IF($G8="","",$G8+IF($I8="",0,$I8))</f>
        <v>1732.5</v>
      </c>
      <c r="K8" s="38"/>
    </row>
    <row r="9" customFormat="false" ht="15" hidden="false" customHeight="true" outlineLevel="0" collapsed="false">
      <c r="A9" s="40" t="n">
        <v>46122</v>
      </c>
      <c r="B9" s="35" t="s">
        <v>192</v>
      </c>
      <c r="C9" s="58" t="str">
        <f aca="false">IFERROR(VLOOKUP($B9,Orders!$A$5:$B$64,2,0),"")</f>
        <v>Safety explosive storage boxes x6</v>
      </c>
      <c r="D9" s="58" t="str">
        <f aca="false">IFERROR(VLOOKUP($B9,Orders!$A$5:$C$64,3,0),"")</f>
        <v>Zimplats</v>
      </c>
      <c r="E9" s="36" t="s">
        <v>216</v>
      </c>
      <c r="F9" s="36" t="s">
        <v>61</v>
      </c>
      <c r="G9" s="49" t="n">
        <v>9200</v>
      </c>
      <c r="H9" s="36" t="s">
        <v>59</v>
      </c>
      <c r="I9" s="47" t="n">
        <f aca="false">IF($G9="","",IF($H9="Yes",$G9*VATRate,0))</f>
        <v>1426</v>
      </c>
      <c r="J9" s="47" t="n">
        <f aca="false">IF($G9="","",$G9+IF($I9="",0,$I9))</f>
        <v>10626</v>
      </c>
      <c r="K9" s="36" t="s">
        <v>154</v>
      </c>
    </row>
    <row r="10" customFormat="false" ht="15" hidden="false" customHeight="true" outlineLevel="0" collapsed="false">
      <c r="A10" s="40" t="n">
        <v>46130</v>
      </c>
      <c r="B10" s="35" t="s">
        <v>192</v>
      </c>
      <c r="C10" s="58" t="str">
        <f aca="false">IFERROR(VLOOKUP($B10,Orders!$A$5:$B$64,2,0),"")</f>
        <v>Safety explosive storage boxes x6</v>
      </c>
      <c r="D10" s="58" t="str">
        <f aca="false">IFERROR(VLOOKUP($B10,Orders!$A$5:$C$64,3,0),"")</f>
        <v>Zimplats</v>
      </c>
      <c r="E10" s="36" t="s">
        <v>217</v>
      </c>
      <c r="F10" s="36" t="s">
        <v>72</v>
      </c>
      <c r="G10" s="49" t="n">
        <v>2100</v>
      </c>
      <c r="H10" s="36" t="s">
        <v>59</v>
      </c>
      <c r="I10" s="47" t="n">
        <f aca="false">IF($G10="","",IF($H10="Yes",$G10*VATRate,0))</f>
        <v>325.5</v>
      </c>
      <c r="J10" s="47" t="n">
        <f aca="false">IF($G10="","",$G10+IF($I10="",0,$I10))</f>
        <v>2425.5</v>
      </c>
      <c r="K10" s="36" t="s">
        <v>154</v>
      </c>
    </row>
    <row r="11" customFormat="false" ht="15" hidden="false" customHeight="true" outlineLevel="0" collapsed="false">
      <c r="A11" s="40" t="n">
        <v>46132</v>
      </c>
      <c r="B11" s="35" t="s">
        <v>194</v>
      </c>
      <c r="C11" s="58" t="str">
        <f aca="false">IFERROR(VLOOKUP($B11,Orders!$A$5:$B$64,2,0),"")</f>
        <v>Air sampling services Q2</v>
      </c>
      <c r="D11" s="58" t="str">
        <f aca="false">IFERROR(VLOOKUP($B11,Orders!$A$5:$C$64,3,0),"")</f>
        <v>Mimosa Mining</v>
      </c>
      <c r="E11" s="36" t="s">
        <v>218</v>
      </c>
      <c r="F11" s="36" t="s">
        <v>61</v>
      </c>
      <c r="G11" s="49" t="n">
        <v>1150</v>
      </c>
      <c r="H11" s="36" t="s">
        <v>59</v>
      </c>
      <c r="I11" s="47" t="n">
        <f aca="false">IF($G11="","",IF($H11="Yes",$G11*VATRate,0))</f>
        <v>178.25</v>
      </c>
      <c r="J11" s="47" t="n">
        <f aca="false">IF($G11="","",$G11+IF($I11="",0,$I11))</f>
        <v>1328.25</v>
      </c>
      <c r="K11" s="36" t="s">
        <v>154</v>
      </c>
    </row>
    <row r="12" customFormat="false" ht="15" hidden="false" customHeight="true" outlineLevel="0" collapsed="false">
      <c r="A12" s="40" t="n">
        <v>46150</v>
      </c>
      <c r="B12" s="35" t="s">
        <v>196</v>
      </c>
      <c r="C12" s="58" t="str">
        <f aca="false">IFERROR(VLOOKUP($B12,Orders!$A$5:$B$64,2,0),"")</f>
        <v>Underground ventilation doors x4</v>
      </c>
      <c r="D12" s="58" t="str">
        <f aca="false">IFERROR(VLOOKUP($B12,Orders!$A$5:$C$64,3,0),"")</f>
        <v>Unki Mine</v>
      </c>
      <c r="E12" s="36" t="s">
        <v>219</v>
      </c>
      <c r="F12" s="36" t="s">
        <v>61</v>
      </c>
      <c r="G12" s="49" t="n">
        <v>11800</v>
      </c>
      <c r="H12" s="36" t="s">
        <v>59</v>
      </c>
      <c r="I12" s="47" t="n">
        <f aca="false">IF($G12="","",IF($H12="Yes",$G12*VATRate,0))</f>
        <v>1829</v>
      </c>
      <c r="J12" s="47" t="n">
        <f aca="false">IF($G12="","",$G12+IF($I12="",0,$I12))</f>
        <v>13629</v>
      </c>
      <c r="K12" s="36" t="s">
        <v>154</v>
      </c>
    </row>
    <row r="13" customFormat="false" ht="15" hidden="false" customHeight="true" outlineLevel="0" collapsed="false">
      <c r="A13" s="40" t="n">
        <v>46157</v>
      </c>
      <c r="B13" s="35" t="s">
        <v>196</v>
      </c>
      <c r="C13" s="58" t="str">
        <f aca="false">IFERROR(VLOOKUP($B13,Orders!$A$5:$B$64,2,0),"")</f>
        <v>Underground ventilation doors x4</v>
      </c>
      <c r="D13" s="58" t="str">
        <f aca="false">IFERROR(VLOOKUP($B13,Orders!$A$5:$C$64,3,0),"")</f>
        <v>Unki Mine</v>
      </c>
      <c r="E13" s="36" t="s">
        <v>220</v>
      </c>
      <c r="F13" s="36" t="s">
        <v>65</v>
      </c>
      <c r="G13" s="49" t="n">
        <v>5200</v>
      </c>
      <c r="H13" s="36" t="s">
        <v>63</v>
      </c>
      <c r="I13" s="47" t="n">
        <f aca="false">IF($G13="","",IF($H13="Yes",$G13*VATRate,0))</f>
        <v>0</v>
      </c>
      <c r="J13" s="47" t="n">
        <f aca="false">IF($G13="","",$G13+IF($I13="",0,$I13))</f>
        <v>5200</v>
      </c>
      <c r="K13" s="36" t="s">
        <v>154</v>
      </c>
    </row>
    <row r="14" customFormat="false" ht="15" hidden="false" customHeight="true" outlineLevel="0" collapsed="false">
      <c r="A14" s="40" t="n">
        <v>46167</v>
      </c>
      <c r="B14" s="35" t="s">
        <v>198</v>
      </c>
      <c r="C14" s="58" t="str">
        <f aca="false">IFERROR(VLOOKUP($B14,Orders!$A$5:$B$64,2,0),"")</f>
        <v>Refuge chamber service kit</v>
      </c>
      <c r="D14" s="58" t="str">
        <f aca="false">IFERROR(VLOOKUP($B14,Orders!$A$5:$C$64,3,0),"")</f>
        <v>Zimplats</v>
      </c>
      <c r="E14" s="36" t="s">
        <v>221</v>
      </c>
      <c r="F14" s="36" t="s">
        <v>61</v>
      </c>
      <c r="G14" s="49" t="n">
        <v>1900</v>
      </c>
      <c r="H14" s="36" t="s">
        <v>59</v>
      </c>
      <c r="I14" s="47" t="n">
        <f aca="false">IF($G14="","",IF($H14="Yes",$G14*VATRate,0))</f>
        <v>294.5</v>
      </c>
      <c r="J14" s="47" t="n">
        <f aca="false">IF($G14="","",$G14+IF($I14="",0,$I14))</f>
        <v>2194.5</v>
      </c>
      <c r="K14" s="36" t="s">
        <v>154</v>
      </c>
    </row>
    <row r="15" customFormat="false" ht="15" hidden="false" customHeight="true" outlineLevel="0" collapsed="false">
      <c r="A15" s="40" t="n">
        <v>46178</v>
      </c>
      <c r="B15" s="35" t="s">
        <v>200</v>
      </c>
      <c r="C15" s="58" t="str">
        <f aca="false">IFERROR(VLOOKUP($B15,Orders!$A$5:$B$64,2,0),"")</f>
        <v>Ducting fabrication 300m</v>
      </c>
      <c r="D15" s="58" t="str">
        <f aca="false">IFERROR(VLOOKUP($B15,Orders!$A$5:$C$64,3,0),"")</f>
        <v>Mimosa Mining</v>
      </c>
      <c r="E15" s="36" t="s">
        <v>222</v>
      </c>
      <c r="F15" s="36" t="s">
        <v>61</v>
      </c>
      <c r="G15" s="49" t="n">
        <v>8600</v>
      </c>
      <c r="H15" s="36" t="s">
        <v>59</v>
      </c>
      <c r="I15" s="47" t="n">
        <f aca="false">IF($G15="","",IF($H15="Yes",$G15*VATRate,0))</f>
        <v>1333</v>
      </c>
      <c r="J15" s="47" t="n">
        <f aca="false">IF($G15="","",$G15+IF($I15="",0,$I15))</f>
        <v>9933</v>
      </c>
      <c r="K15" s="36" t="s">
        <v>154</v>
      </c>
    </row>
    <row r="16" customFormat="false" ht="15" hidden="false" customHeight="true" outlineLevel="0" collapsed="false">
      <c r="A16" s="40" t="n">
        <v>46185</v>
      </c>
      <c r="B16" s="35" t="s">
        <v>202</v>
      </c>
      <c r="C16" s="58" t="str">
        <f aca="false">IFERROR(VLOOKUP($B16,Orders!$A$5:$B$64,2,0),"")</f>
        <v>Airflow measurement audit</v>
      </c>
      <c r="D16" s="58" t="str">
        <f aca="false">IFERROR(VLOOKUP($B16,Orders!$A$5:$C$64,3,0),"")</f>
        <v>Zvishavane Engineering Ltd</v>
      </c>
      <c r="E16" s="36" t="s">
        <v>223</v>
      </c>
      <c r="F16" s="36" t="s">
        <v>70</v>
      </c>
      <c r="G16" s="49" t="n">
        <v>900</v>
      </c>
      <c r="H16" s="36" t="s">
        <v>59</v>
      </c>
      <c r="I16" s="47" t="n">
        <f aca="false">IF($G16="","",IF($H16="Yes",$G16*VATRate,0))</f>
        <v>139.5</v>
      </c>
      <c r="J16" s="47" t="n">
        <f aca="false">IF($G16="","",$G16+IF($I16="",0,$I16))</f>
        <v>1039.5</v>
      </c>
      <c r="K16" s="36" t="s">
        <v>154</v>
      </c>
    </row>
    <row r="17" customFormat="false" ht="15" hidden="false" customHeight="true" outlineLevel="0" collapsed="false">
      <c r="A17" s="36"/>
      <c r="B17" s="36"/>
      <c r="C17" s="58" t="str">
        <f aca="false">IFERROR(VLOOKUP($B17,Orders!$A$5:$B$64,2,0),"")</f>
        <v/>
      </c>
      <c r="D17" s="58" t="str">
        <f aca="false">IFERROR(VLOOKUP($B17,Orders!$A$5:$C$64,3,0),"")</f>
        <v/>
      </c>
      <c r="E17" s="36"/>
      <c r="F17" s="36"/>
      <c r="G17" s="36"/>
      <c r="H17" s="36"/>
      <c r="I17" s="47" t="str">
        <f aca="false">IF($G17="","",IF($H17="Yes",$G17*VATRate,0))</f>
        <v/>
      </c>
      <c r="J17" s="47" t="str">
        <f aca="false">IF($G17="","",$G17+IF($I17="",0,$I17))</f>
        <v/>
      </c>
      <c r="K17" s="36"/>
    </row>
    <row r="18" customFormat="false" ht="15" hidden="false" customHeight="true" outlineLevel="0" collapsed="false">
      <c r="A18" s="38"/>
      <c r="B18" s="38"/>
      <c r="C18" s="59" t="str">
        <f aca="false">IFERROR(VLOOKUP($B18,Orders!$A$5:$B$64,2,0),"")</f>
        <v/>
      </c>
      <c r="D18" s="59" t="str">
        <f aca="false">IFERROR(VLOOKUP($B18,Orders!$A$5:$C$64,3,0),"")</f>
        <v/>
      </c>
      <c r="E18" s="38"/>
      <c r="F18" s="38"/>
      <c r="G18" s="38"/>
      <c r="H18" s="38"/>
      <c r="I18" s="54" t="str">
        <f aca="false">IF($G18="","",IF($H18="Yes",$G18*VATRate,0))</f>
        <v/>
      </c>
      <c r="J18" s="54" t="str">
        <f aca="false">IF($G18="","",$G18+IF($I18="",0,$I18))</f>
        <v/>
      </c>
      <c r="K18" s="38"/>
    </row>
    <row r="19" customFormat="false" ht="15" hidden="false" customHeight="true" outlineLevel="0" collapsed="false">
      <c r="A19" s="36"/>
      <c r="B19" s="36"/>
      <c r="C19" s="58" t="str">
        <f aca="false">IFERROR(VLOOKUP($B19,Orders!$A$5:$B$64,2,0),"")</f>
        <v/>
      </c>
      <c r="D19" s="58" t="str">
        <f aca="false">IFERROR(VLOOKUP($B19,Orders!$A$5:$C$64,3,0),"")</f>
        <v/>
      </c>
      <c r="E19" s="36"/>
      <c r="F19" s="36"/>
      <c r="G19" s="36"/>
      <c r="H19" s="36"/>
      <c r="I19" s="47" t="str">
        <f aca="false">IF($G19="","",IF($H19="Yes",$G19*VATRate,0))</f>
        <v/>
      </c>
      <c r="J19" s="47" t="str">
        <f aca="false">IF($G19="","",$G19+IF($I19="",0,$I19))</f>
        <v/>
      </c>
      <c r="K19" s="36"/>
    </row>
    <row r="20" customFormat="false" ht="15" hidden="false" customHeight="true" outlineLevel="0" collapsed="false">
      <c r="A20" s="38"/>
      <c r="B20" s="38"/>
      <c r="C20" s="59" t="str">
        <f aca="false">IFERROR(VLOOKUP($B20,Orders!$A$5:$B$64,2,0),"")</f>
        <v/>
      </c>
      <c r="D20" s="59" t="str">
        <f aca="false">IFERROR(VLOOKUP($B20,Orders!$A$5:$C$64,3,0),"")</f>
        <v/>
      </c>
      <c r="E20" s="38"/>
      <c r="F20" s="38"/>
      <c r="G20" s="38"/>
      <c r="H20" s="38"/>
      <c r="I20" s="54" t="str">
        <f aca="false">IF($G20="","",IF($H20="Yes",$G20*VATRate,0))</f>
        <v/>
      </c>
      <c r="J20" s="54" t="str">
        <f aca="false">IF($G20="","",$G20+IF($I20="",0,$I20))</f>
        <v/>
      </c>
      <c r="K20" s="38"/>
    </row>
    <row r="21" customFormat="false" ht="15" hidden="false" customHeight="true" outlineLevel="0" collapsed="false">
      <c r="A21" s="36"/>
      <c r="B21" s="36"/>
      <c r="C21" s="58" t="str">
        <f aca="false">IFERROR(VLOOKUP($B21,Orders!$A$5:$B$64,2,0),"")</f>
        <v/>
      </c>
      <c r="D21" s="58" t="str">
        <f aca="false">IFERROR(VLOOKUP($B21,Orders!$A$5:$C$64,3,0),"")</f>
        <v/>
      </c>
      <c r="E21" s="36"/>
      <c r="F21" s="36"/>
      <c r="G21" s="36"/>
      <c r="H21" s="36"/>
      <c r="I21" s="47" t="str">
        <f aca="false">IF($G21="","",IF($H21="Yes",$G21*VATRate,0))</f>
        <v/>
      </c>
      <c r="J21" s="47" t="str">
        <f aca="false">IF($G21="","",$G21+IF($I21="",0,$I21))</f>
        <v/>
      </c>
      <c r="K21" s="36"/>
    </row>
    <row r="22" customFormat="false" ht="15" hidden="false" customHeight="true" outlineLevel="0" collapsed="false">
      <c r="A22" s="38"/>
      <c r="B22" s="38"/>
      <c r="C22" s="59" t="str">
        <f aca="false">IFERROR(VLOOKUP($B22,Orders!$A$5:$B$64,2,0),"")</f>
        <v/>
      </c>
      <c r="D22" s="59" t="str">
        <f aca="false">IFERROR(VLOOKUP($B22,Orders!$A$5:$C$64,3,0),"")</f>
        <v/>
      </c>
      <c r="E22" s="38"/>
      <c r="F22" s="38"/>
      <c r="G22" s="38"/>
      <c r="H22" s="38"/>
      <c r="I22" s="54" t="str">
        <f aca="false">IF($G22="","",IF($H22="Yes",$G22*VATRate,0))</f>
        <v/>
      </c>
      <c r="J22" s="54" t="str">
        <f aca="false">IF($G22="","",$G22+IF($I22="",0,$I22))</f>
        <v/>
      </c>
      <c r="K22" s="38"/>
    </row>
    <row r="23" customFormat="false" ht="15" hidden="false" customHeight="true" outlineLevel="0" collapsed="false">
      <c r="A23" s="36"/>
      <c r="B23" s="36"/>
      <c r="C23" s="58" t="str">
        <f aca="false">IFERROR(VLOOKUP($B23,Orders!$A$5:$B$64,2,0),"")</f>
        <v/>
      </c>
      <c r="D23" s="58" t="str">
        <f aca="false">IFERROR(VLOOKUP($B23,Orders!$A$5:$C$64,3,0),"")</f>
        <v/>
      </c>
      <c r="E23" s="36"/>
      <c r="F23" s="36"/>
      <c r="G23" s="36"/>
      <c r="H23" s="36"/>
      <c r="I23" s="47" t="str">
        <f aca="false">IF($G23="","",IF($H23="Yes",$G23*VATRate,0))</f>
        <v/>
      </c>
      <c r="J23" s="47" t="str">
        <f aca="false">IF($G23="","",$G23+IF($I23="",0,$I23))</f>
        <v/>
      </c>
      <c r="K23" s="36"/>
    </row>
    <row r="24" customFormat="false" ht="15" hidden="false" customHeight="true" outlineLevel="0" collapsed="false">
      <c r="A24" s="38"/>
      <c r="B24" s="38"/>
      <c r="C24" s="59" t="str">
        <f aca="false">IFERROR(VLOOKUP($B24,Orders!$A$5:$B$64,2,0),"")</f>
        <v/>
      </c>
      <c r="D24" s="59" t="str">
        <f aca="false">IFERROR(VLOOKUP($B24,Orders!$A$5:$C$64,3,0),"")</f>
        <v/>
      </c>
      <c r="E24" s="38"/>
      <c r="F24" s="38"/>
      <c r="G24" s="38"/>
      <c r="H24" s="38"/>
      <c r="I24" s="54" t="str">
        <f aca="false">IF($G24="","",IF($H24="Yes",$G24*VATRate,0))</f>
        <v/>
      </c>
      <c r="J24" s="54" t="str">
        <f aca="false">IF($G24="","",$G24+IF($I24="",0,$I24))</f>
        <v/>
      </c>
      <c r="K24" s="38"/>
    </row>
    <row r="25" customFormat="false" ht="15" hidden="false" customHeight="true" outlineLevel="0" collapsed="false">
      <c r="A25" s="36"/>
      <c r="B25" s="36"/>
      <c r="C25" s="58" t="str">
        <f aca="false">IFERROR(VLOOKUP($B25,Orders!$A$5:$B$64,2,0),"")</f>
        <v/>
      </c>
      <c r="D25" s="58" t="str">
        <f aca="false">IFERROR(VLOOKUP($B25,Orders!$A$5:$C$64,3,0),"")</f>
        <v/>
      </c>
      <c r="E25" s="36"/>
      <c r="F25" s="36"/>
      <c r="G25" s="36"/>
      <c r="H25" s="36"/>
      <c r="I25" s="47" t="str">
        <f aca="false">IF($G25="","",IF($H25="Yes",$G25*VATRate,0))</f>
        <v/>
      </c>
      <c r="J25" s="47" t="str">
        <f aca="false">IF($G25="","",$G25+IF($I25="",0,$I25))</f>
        <v/>
      </c>
      <c r="K25" s="36"/>
    </row>
    <row r="26" customFormat="false" ht="15" hidden="false" customHeight="true" outlineLevel="0" collapsed="false">
      <c r="A26" s="38"/>
      <c r="B26" s="38"/>
      <c r="C26" s="59" t="str">
        <f aca="false">IFERROR(VLOOKUP($B26,Orders!$A$5:$B$64,2,0),"")</f>
        <v/>
      </c>
      <c r="D26" s="59" t="str">
        <f aca="false">IFERROR(VLOOKUP($B26,Orders!$A$5:$C$64,3,0),"")</f>
        <v/>
      </c>
      <c r="E26" s="38"/>
      <c r="F26" s="38"/>
      <c r="G26" s="38"/>
      <c r="H26" s="38"/>
      <c r="I26" s="54" t="str">
        <f aca="false">IF($G26="","",IF($H26="Yes",$G26*VATRate,0))</f>
        <v/>
      </c>
      <c r="J26" s="54" t="str">
        <f aca="false">IF($G26="","",$G26+IF($I26="",0,$I26))</f>
        <v/>
      </c>
      <c r="K26" s="38"/>
    </row>
    <row r="27" customFormat="false" ht="15" hidden="false" customHeight="true" outlineLevel="0" collapsed="false">
      <c r="A27" s="36"/>
      <c r="B27" s="36"/>
      <c r="C27" s="58" t="str">
        <f aca="false">IFERROR(VLOOKUP($B27,Orders!$A$5:$B$64,2,0),"")</f>
        <v/>
      </c>
      <c r="D27" s="58" t="str">
        <f aca="false">IFERROR(VLOOKUP($B27,Orders!$A$5:$C$64,3,0),"")</f>
        <v/>
      </c>
      <c r="E27" s="36"/>
      <c r="F27" s="36"/>
      <c r="G27" s="36"/>
      <c r="H27" s="36"/>
      <c r="I27" s="47" t="str">
        <f aca="false">IF($G27="","",IF($H27="Yes",$G27*VATRate,0))</f>
        <v/>
      </c>
      <c r="J27" s="47" t="str">
        <f aca="false">IF($G27="","",$G27+IF($I27="",0,$I27))</f>
        <v/>
      </c>
      <c r="K27" s="36"/>
    </row>
    <row r="28" customFormat="false" ht="15" hidden="false" customHeight="true" outlineLevel="0" collapsed="false">
      <c r="A28" s="38"/>
      <c r="B28" s="38"/>
      <c r="C28" s="59" t="str">
        <f aca="false">IFERROR(VLOOKUP($B28,Orders!$A$5:$B$64,2,0),"")</f>
        <v/>
      </c>
      <c r="D28" s="59" t="str">
        <f aca="false">IFERROR(VLOOKUP($B28,Orders!$A$5:$C$64,3,0),"")</f>
        <v/>
      </c>
      <c r="E28" s="38"/>
      <c r="F28" s="38"/>
      <c r="G28" s="38"/>
      <c r="H28" s="38"/>
      <c r="I28" s="54" t="str">
        <f aca="false">IF($G28="","",IF($H28="Yes",$G28*VATRate,0))</f>
        <v/>
      </c>
      <c r="J28" s="54" t="str">
        <f aca="false">IF($G28="","",$G28+IF($I28="",0,$I28))</f>
        <v/>
      </c>
      <c r="K28" s="38"/>
    </row>
    <row r="29" customFormat="false" ht="15" hidden="false" customHeight="true" outlineLevel="0" collapsed="false">
      <c r="A29" s="36"/>
      <c r="B29" s="36"/>
      <c r="C29" s="58" t="str">
        <f aca="false">IFERROR(VLOOKUP($B29,Orders!$A$5:$B$64,2,0),"")</f>
        <v/>
      </c>
      <c r="D29" s="58" t="str">
        <f aca="false">IFERROR(VLOOKUP($B29,Orders!$A$5:$C$64,3,0),"")</f>
        <v/>
      </c>
      <c r="E29" s="36"/>
      <c r="F29" s="36"/>
      <c r="G29" s="36"/>
      <c r="H29" s="36"/>
      <c r="I29" s="47" t="str">
        <f aca="false">IF($G29="","",IF($H29="Yes",$G29*VATRate,0))</f>
        <v/>
      </c>
      <c r="J29" s="47" t="str">
        <f aca="false">IF($G29="","",$G29+IF($I29="",0,$I29))</f>
        <v/>
      </c>
      <c r="K29" s="36"/>
    </row>
    <row r="30" customFormat="false" ht="15" hidden="false" customHeight="true" outlineLevel="0" collapsed="false">
      <c r="A30" s="38"/>
      <c r="B30" s="38"/>
      <c r="C30" s="59" t="str">
        <f aca="false">IFERROR(VLOOKUP($B30,Orders!$A$5:$B$64,2,0),"")</f>
        <v/>
      </c>
      <c r="D30" s="59" t="str">
        <f aca="false">IFERROR(VLOOKUP($B30,Orders!$A$5:$C$64,3,0),"")</f>
        <v/>
      </c>
      <c r="E30" s="38"/>
      <c r="F30" s="38"/>
      <c r="G30" s="38"/>
      <c r="H30" s="38"/>
      <c r="I30" s="54" t="str">
        <f aca="false">IF($G30="","",IF($H30="Yes",$G30*VATRate,0))</f>
        <v/>
      </c>
      <c r="J30" s="54" t="str">
        <f aca="false">IF($G30="","",$G30+IF($I30="",0,$I30))</f>
        <v/>
      </c>
      <c r="K30" s="38"/>
    </row>
    <row r="31" customFormat="false" ht="15" hidden="false" customHeight="true" outlineLevel="0" collapsed="false">
      <c r="A31" s="36"/>
      <c r="B31" s="36"/>
      <c r="C31" s="58" t="str">
        <f aca="false">IFERROR(VLOOKUP($B31,Orders!$A$5:$B$64,2,0),"")</f>
        <v/>
      </c>
      <c r="D31" s="58" t="str">
        <f aca="false">IFERROR(VLOOKUP($B31,Orders!$A$5:$C$64,3,0),"")</f>
        <v/>
      </c>
      <c r="E31" s="36"/>
      <c r="F31" s="36"/>
      <c r="G31" s="36"/>
      <c r="H31" s="36"/>
      <c r="I31" s="47" t="str">
        <f aca="false">IF($G31="","",IF($H31="Yes",$G31*VATRate,0))</f>
        <v/>
      </c>
      <c r="J31" s="47" t="str">
        <f aca="false">IF($G31="","",$G31+IF($I31="",0,$I31))</f>
        <v/>
      </c>
      <c r="K31" s="36"/>
    </row>
    <row r="32" customFormat="false" ht="15" hidden="false" customHeight="true" outlineLevel="0" collapsed="false">
      <c r="A32" s="38"/>
      <c r="B32" s="38"/>
      <c r="C32" s="59" t="str">
        <f aca="false">IFERROR(VLOOKUP($B32,Orders!$A$5:$B$64,2,0),"")</f>
        <v/>
      </c>
      <c r="D32" s="59" t="str">
        <f aca="false">IFERROR(VLOOKUP($B32,Orders!$A$5:$C$64,3,0),"")</f>
        <v/>
      </c>
      <c r="E32" s="38"/>
      <c r="F32" s="38"/>
      <c r="G32" s="38"/>
      <c r="H32" s="38"/>
      <c r="I32" s="54" t="str">
        <f aca="false">IF($G32="","",IF($H32="Yes",$G32*VATRate,0))</f>
        <v/>
      </c>
      <c r="J32" s="54" t="str">
        <f aca="false">IF($G32="","",$G32+IF($I32="",0,$I32))</f>
        <v/>
      </c>
      <c r="K32" s="38"/>
    </row>
    <row r="33" customFormat="false" ht="15" hidden="false" customHeight="true" outlineLevel="0" collapsed="false">
      <c r="A33" s="36"/>
      <c r="B33" s="36"/>
      <c r="C33" s="58" t="str">
        <f aca="false">IFERROR(VLOOKUP($B33,Orders!$A$5:$B$64,2,0),"")</f>
        <v/>
      </c>
      <c r="D33" s="58" t="str">
        <f aca="false">IFERROR(VLOOKUP($B33,Orders!$A$5:$C$64,3,0),"")</f>
        <v/>
      </c>
      <c r="E33" s="36"/>
      <c r="F33" s="36"/>
      <c r="G33" s="36"/>
      <c r="H33" s="36"/>
      <c r="I33" s="47" t="str">
        <f aca="false">IF($G33="","",IF($H33="Yes",$G33*VATRate,0))</f>
        <v/>
      </c>
      <c r="J33" s="47" t="str">
        <f aca="false">IF($G33="","",$G33+IF($I33="",0,$I33))</f>
        <v/>
      </c>
      <c r="K33" s="36"/>
    </row>
    <row r="34" customFormat="false" ht="15" hidden="false" customHeight="true" outlineLevel="0" collapsed="false">
      <c r="A34" s="38"/>
      <c r="B34" s="38"/>
      <c r="C34" s="59" t="str">
        <f aca="false">IFERROR(VLOOKUP($B34,Orders!$A$5:$B$64,2,0),"")</f>
        <v/>
      </c>
      <c r="D34" s="59" t="str">
        <f aca="false">IFERROR(VLOOKUP($B34,Orders!$A$5:$C$64,3,0),"")</f>
        <v/>
      </c>
      <c r="E34" s="38"/>
      <c r="F34" s="38"/>
      <c r="G34" s="38"/>
      <c r="H34" s="38"/>
      <c r="I34" s="54" t="str">
        <f aca="false">IF($G34="","",IF($H34="Yes",$G34*VATRate,0))</f>
        <v/>
      </c>
      <c r="J34" s="54" t="str">
        <f aca="false">IF($G34="","",$G34+IF($I34="",0,$I34))</f>
        <v/>
      </c>
      <c r="K34" s="38"/>
    </row>
    <row r="35" customFormat="false" ht="15" hidden="false" customHeight="true" outlineLevel="0" collapsed="false">
      <c r="A35" s="36"/>
      <c r="B35" s="36"/>
      <c r="C35" s="58" t="str">
        <f aca="false">IFERROR(VLOOKUP($B35,Orders!$A$5:$B$64,2,0),"")</f>
        <v/>
      </c>
      <c r="D35" s="58" t="str">
        <f aca="false">IFERROR(VLOOKUP($B35,Orders!$A$5:$C$64,3,0),"")</f>
        <v/>
      </c>
      <c r="E35" s="36"/>
      <c r="F35" s="36"/>
      <c r="G35" s="36"/>
      <c r="H35" s="36"/>
      <c r="I35" s="47" t="str">
        <f aca="false">IF($G35="","",IF($H35="Yes",$G35*VATRate,0))</f>
        <v/>
      </c>
      <c r="J35" s="47" t="str">
        <f aca="false">IF($G35="","",$G35+IF($I35="",0,$I35))</f>
        <v/>
      </c>
      <c r="K35" s="36"/>
    </row>
    <row r="36" customFormat="false" ht="15" hidden="false" customHeight="true" outlineLevel="0" collapsed="false">
      <c r="A36" s="38"/>
      <c r="B36" s="38"/>
      <c r="C36" s="59" t="str">
        <f aca="false">IFERROR(VLOOKUP($B36,Orders!$A$5:$B$64,2,0),"")</f>
        <v/>
      </c>
      <c r="D36" s="59" t="str">
        <f aca="false">IFERROR(VLOOKUP($B36,Orders!$A$5:$C$64,3,0),"")</f>
        <v/>
      </c>
      <c r="E36" s="38"/>
      <c r="F36" s="38"/>
      <c r="G36" s="38"/>
      <c r="H36" s="38"/>
      <c r="I36" s="54" t="str">
        <f aca="false">IF($G36="","",IF($H36="Yes",$G36*VATRate,0))</f>
        <v/>
      </c>
      <c r="J36" s="54" t="str">
        <f aca="false">IF($G36="","",$G36+IF($I36="",0,$I36))</f>
        <v/>
      </c>
      <c r="K36" s="38"/>
    </row>
    <row r="37" customFormat="false" ht="15" hidden="false" customHeight="true" outlineLevel="0" collapsed="false">
      <c r="A37" s="36"/>
      <c r="B37" s="36"/>
      <c r="C37" s="58" t="str">
        <f aca="false">IFERROR(VLOOKUP($B37,Orders!$A$5:$B$64,2,0),"")</f>
        <v/>
      </c>
      <c r="D37" s="58" t="str">
        <f aca="false">IFERROR(VLOOKUP($B37,Orders!$A$5:$C$64,3,0),"")</f>
        <v/>
      </c>
      <c r="E37" s="36"/>
      <c r="F37" s="36"/>
      <c r="G37" s="36"/>
      <c r="H37" s="36"/>
      <c r="I37" s="47" t="str">
        <f aca="false">IF($G37="","",IF($H37="Yes",$G37*VATRate,0))</f>
        <v/>
      </c>
      <c r="J37" s="47" t="str">
        <f aca="false">IF($G37="","",$G37+IF($I37="",0,$I37))</f>
        <v/>
      </c>
      <c r="K37" s="36"/>
    </row>
    <row r="38" customFormat="false" ht="15" hidden="false" customHeight="true" outlineLevel="0" collapsed="false">
      <c r="A38" s="38"/>
      <c r="B38" s="38"/>
      <c r="C38" s="59" t="str">
        <f aca="false">IFERROR(VLOOKUP($B38,Orders!$A$5:$B$64,2,0),"")</f>
        <v/>
      </c>
      <c r="D38" s="59" t="str">
        <f aca="false">IFERROR(VLOOKUP($B38,Orders!$A$5:$C$64,3,0),"")</f>
        <v/>
      </c>
      <c r="E38" s="38"/>
      <c r="F38" s="38"/>
      <c r="G38" s="38"/>
      <c r="H38" s="38"/>
      <c r="I38" s="54" t="str">
        <f aca="false">IF($G38="","",IF($H38="Yes",$G38*VATRate,0))</f>
        <v/>
      </c>
      <c r="J38" s="54" t="str">
        <f aca="false">IF($G38="","",$G38+IF($I38="",0,$I38))</f>
        <v/>
      </c>
      <c r="K38" s="38"/>
    </row>
    <row r="39" customFormat="false" ht="15" hidden="false" customHeight="true" outlineLevel="0" collapsed="false">
      <c r="A39" s="36"/>
      <c r="B39" s="36"/>
      <c r="C39" s="58" t="str">
        <f aca="false">IFERROR(VLOOKUP($B39,Orders!$A$5:$B$64,2,0),"")</f>
        <v/>
      </c>
      <c r="D39" s="58" t="str">
        <f aca="false">IFERROR(VLOOKUP($B39,Orders!$A$5:$C$64,3,0),"")</f>
        <v/>
      </c>
      <c r="E39" s="36"/>
      <c r="F39" s="36"/>
      <c r="G39" s="36"/>
      <c r="H39" s="36"/>
      <c r="I39" s="47" t="str">
        <f aca="false">IF($G39="","",IF($H39="Yes",$G39*VATRate,0))</f>
        <v/>
      </c>
      <c r="J39" s="47" t="str">
        <f aca="false">IF($G39="","",$G39+IF($I39="",0,$I39))</f>
        <v/>
      </c>
      <c r="K39" s="36"/>
    </row>
    <row r="40" customFormat="false" ht="15" hidden="false" customHeight="true" outlineLevel="0" collapsed="false">
      <c r="A40" s="38"/>
      <c r="B40" s="38"/>
      <c r="C40" s="59" t="str">
        <f aca="false">IFERROR(VLOOKUP($B40,Orders!$A$5:$B$64,2,0),"")</f>
        <v/>
      </c>
      <c r="D40" s="59" t="str">
        <f aca="false">IFERROR(VLOOKUP($B40,Orders!$A$5:$C$64,3,0),"")</f>
        <v/>
      </c>
      <c r="E40" s="38"/>
      <c r="F40" s="38"/>
      <c r="G40" s="38"/>
      <c r="H40" s="38"/>
      <c r="I40" s="54" t="str">
        <f aca="false">IF($G40="","",IF($H40="Yes",$G40*VATRate,0))</f>
        <v/>
      </c>
      <c r="J40" s="54" t="str">
        <f aca="false">IF($G40="","",$G40+IF($I40="",0,$I40))</f>
        <v/>
      </c>
      <c r="K40" s="38"/>
    </row>
    <row r="41" customFormat="false" ht="15" hidden="false" customHeight="true" outlineLevel="0" collapsed="false">
      <c r="A41" s="36"/>
      <c r="B41" s="36"/>
      <c r="C41" s="58" t="str">
        <f aca="false">IFERROR(VLOOKUP($B41,Orders!$A$5:$B$64,2,0),"")</f>
        <v/>
      </c>
      <c r="D41" s="58" t="str">
        <f aca="false">IFERROR(VLOOKUP($B41,Orders!$A$5:$C$64,3,0),"")</f>
        <v/>
      </c>
      <c r="E41" s="36"/>
      <c r="F41" s="36"/>
      <c r="G41" s="36"/>
      <c r="H41" s="36"/>
      <c r="I41" s="47" t="str">
        <f aca="false">IF($G41="","",IF($H41="Yes",$G41*VATRate,0))</f>
        <v/>
      </c>
      <c r="J41" s="47" t="str">
        <f aca="false">IF($G41="","",$G41+IF($I41="",0,$I41))</f>
        <v/>
      </c>
      <c r="K41" s="36"/>
    </row>
    <row r="42" customFormat="false" ht="15" hidden="false" customHeight="true" outlineLevel="0" collapsed="false">
      <c r="A42" s="38"/>
      <c r="B42" s="38"/>
      <c r="C42" s="59" t="str">
        <f aca="false">IFERROR(VLOOKUP($B42,Orders!$A$5:$B$64,2,0),"")</f>
        <v/>
      </c>
      <c r="D42" s="59" t="str">
        <f aca="false">IFERROR(VLOOKUP($B42,Orders!$A$5:$C$64,3,0),"")</f>
        <v/>
      </c>
      <c r="E42" s="38"/>
      <c r="F42" s="38"/>
      <c r="G42" s="38"/>
      <c r="H42" s="38"/>
      <c r="I42" s="54" t="str">
        <f aca="false">IF($G42="","",IF($H42="Yes",$G42*VATRate,0))</f>
        <v/>
      </c>
      <c r="J42" s="54" t="str">
        <f aca="false">IF($G42="","",$G42+IF($I42="",0,$I42))</f>
        <v/>
      </c>
      <c r="K42" s="38"/>
    </row>
    <row r="43" customFormat="false" ht="15" hidden="false" customHeight="true" outlineLevel="0" collapsed="false">
      <c r="A43" s="36"/>
      <c r="B43" s="36"/>
      <c r="C43" s="58" t="str">
        <f aca="false">IFERROR(VLOOKUP($B43,Orders!$A$5:$B$64,2,0),"")</f>
        <v/>
      </c>
      <c r="D43" s="58" t="str">
        <f aca="false">IFERROR(VLOOKUP($B43,Orders!$A$5:$C$64,3,0),"")</f>
        <v/>
      </c>
      <c r="E43" s="36"/>
      <c r="F43" s="36"/>
      <c r="G43" s="36"/>
      <c r="H43" s="36"/>
      <c r="I43" s="47" t="str">
        <f aca="false">IF($G43="","",IF($H43="Yes",$G43*VATRate,0))</f>
        <v/>
      </c>
      <c r="J43" s="47" t="str">
        <f aca="false">IF($G43="","",$G43+IF($I43="",0,$I43))</f>
        <v/>
      </c>
      <c r="K43" s="36"/>
    </row>
    <row r="44" customFormat="false" ht="15" hidden="false" customHeight="true" outlineLevel="0" collapsed="false">
      <c r="A44" s="38"/>
      <c r="B44" s="38"/>
      <c r="C44" s="59" t="str">
        <f aca="false">IFERROR(VLOOKUP($B44,Orders!$A$5:$B$64,2,0),"")</f>
        <v/>
      </c>
      <c r="D44" s="59" t="str">
        <f aca="false">IFERROR(VLOOKUP($B44,Orders!$A$5:$C$64,3,0),"")</f>
        <v/>
      </c>
      <c r="E44" s="38"/>
      <c r="F44" s="38"/>
      <c r="G44" s="38"/>
      <c r="H44" s="38"/>
      <c r="I44" s="54" t="str">
        <f aca="false">IF($G44="","",IF($H44="Yes",$G44*VATRate,0))</f>
        <v/>
      </c>
      <c r="J44" s="54" t="str">
        <f aca="false">IF($G44="","",$G44+IF($I44="",0,$I44))</f>
        <v/>
      </c>
      <c r="K44" s="38"/>
    </row>
    <row r="45" customFormat="false" ht="15" hidden="false" customHeight="true" outlineLevel="0" collapsed="false">
      <c r="A45" s="36"/>
      <c r="B45" s="36"/>
      <c r="C45" s="58" t="str">
        <f aca="false">IFERROR(VLOOKUP($B45,Orders!$A$5:$B$64,2,0),"")</f>
        <v/>
      </c>
      <c r="D45" s="58" t="str">
        <f aca="false">IFERROR(VLOOKUP($B45,Orders!$A$5:$C$64,3,0),"")</f>
        <v/>
      </c>
      <c r="E45" s="36"/>
      <c r="F45" s="36"/>
      <c r="G45" s="36"/>
      <c r="H45" s="36"/>
      <c r="I45" s="47" t="str">
        <f aca="false">IF($G45="","",IF($H45="Yes",$G45*VATRate,0))</f>
        <v/>
      </c>
      <c r="J45" s="47" t="str">
        <f aca="false">IF($G45="","",$G45+IF($I45="",0,$I45))</f>
        <v/>
      </c>
      <c r="K45" s="36"/>
    </row>
    <row r="46" customFormat="false" ht="15" hidden="false" customHeight="true" outlineLevel="0" collapsed="false">
      <c r="A46" s="38"/>
      <c r="B46" s="38"/>
      <c r="C46" s="59" t="str">
        <f aca="false">IFERROR(VLOOKUP($B46,Orders!$A$5:$B$64,2,0),"")</f>
        <v/>
      </c>
      <c r="D46" s="59" t="str">
        <f aca="false">IFERROR(VLOOKUP($B46,Orders!$A$5:$C$64,3,0),"")</f>
        <v/>
      </c>
      <c r="E46" s="38"/>
      <c r="F46" s="38"/>
      <c r="G46" s="38"/>
      <c r="H46" s="38"/>
      <c r="I46" s="54" t="str">
        <f aca="false">IF($G46="","",IF($H46="Yes",$G46*VATRate,0))</f>
        <v/>
      </c>
      <c r="J46" s="54" t="str">
        <f aca="false">IF($G46="","",$G46+IF($I46="",0,$I46))</f>
        <v/>
      </c>
      <c r="K46" s="38"/>
    </row>
    <row r="47" customFormat="false" ht="15" hidden="false" customHeight="true" outlineLevel="0" collapsed="false">
      <c r="A47" s="36"/>
      <c r="B47" s="36"/>
      <c r="C47" s="58" t="str">
        <f aca="false">IFERROR(VLOOKUP($B47,Orders!$A$5:$B$64,2,0),"")</f>
        <v/>
      </c>
      <c r="D47" s="58" t="str">
        <f aca="false">IFERROR(VLOOKUP($B47,Orders!$A$5:$C$64,3,0),"")</f>
        <v/>
      </c>
      <c r="E47" s="36"/>
      <c r="F47" s="36"/>
      <c r="G47" s="36"/>
      <c r="H47" s="36"/>
      <c r="I47" s="47" t="str">
        <f aca="false">IF($G47="","",IF($H47="Yes",$G47*VATRate,0))</f>
        <v/>
      </c>
      <c r="J47" s="47" t="str">
        <f aca="false">IF($G47="","",$G47+IF($I47="",0,$I47))</f>
        <v/>
      </c>
      <c r="K47" s="36"/>
    </row>
    <row r="48" customFormat="false" ht="15" hidden="false" customHeight="true" outlineLevel="0" collapsed="false">
      <c r="A48" s="38"/>
      <c r="B48" s="38"/>
      <c r="C48" s="59" t="str">
        <f aca="false">IFERROR(VLOOKUP($B48,Orders!$A$5:$B$64,2,0),"")</f>
        <v/>
      </c>
      <c r="D48" s="59" t="str">
        <f aca="false">IFERROR(VLOOKUP($B48,Orders!$A$5:$C$64,3,0),"")</f>
        <v/>
      </c>
      <c r="E48" s="38"/>
      <c r="F48" s="38"/>
      <c r="G48" s="38"/>
      <c r="H48" s="38"/>
      <c r="I48" s="54" t="str">
        <f aca="false">IF($G48="","",IF($H48="Yes",$G48*VATRate,0))</f>
        <v/>
      </c>
      <c r="J48" s="54" t="str">
        <f aca="false">IF($G48="","",$G48+IF($I48="",0,$I48))</f>
        <v/>
      </c>
      <c r="K48" s="38"/>
    </row>
    <row r="49" customFormat="false" ht="15" hidden="false" customHeight="true" outlineLevel="0" collapsed="false">
      <c r="A49" s="36"/>
      <c r="B49" s="36"/>
      <c r="C49" s="58" t="str">
        <f aca="false">IFERROR(VLOOKUP($B49,Orders!$A$5:$B$64,2,0),"")</f>
        <v/>
      </c>
      <c r="D49" s="58" t="str">
        <f aca="false">IFERROR(VLOOKUP($B49,Orders!$A$5:$C$64,3,0),"")</f>
        <v/>
      </c>
      <c r="E49" s="36"/>
      <c r="F49" s="36"/>
      <c r="G49" s="36"/>
      <c r="H49" s="36"/>
      <c r="I49" s="47" t="str">
        <f aca="false">IF($G49="","",IF($H49="Yes",$G49*VATRate,0))</f>
        <v/>
      </c>
      <c r="J49" s="47" t="str">
        <f aca="false">IF($G49="","",$G49+IF($I49="",0,$I49))</f>
        <v/>
      </c>
      <c r="K49" s="36"/>
    </row>
    <row r="50" customFormat="false" ht="15" hidden="false" customHeight="true" outlineLevel="0" collapsed="false">
      <c r="A50" s="38"/>
      <c r="B50" s="38"/>
      <c r="C50" s="59" t="str">
        <f aca="false">IFERROR(VLOOKUP($B50,Orders!$A$5:$B$64,2,0),"")</f>
        <v/>
      </c>
      <c r="D50" s="59" t="str">
        <f aca="false">IFERROR(VLOOKUP($B50,Orders!$A$5:$C$64,3,0),"")</f>
        <v/>
      </c>
      <c r="E50" s="38"/>
      <c r="F50" s="38"/>
      <c r="G50" s="38"/>
      <c r="H50" s="38"/>
      <c r="I50" s="54" t="str">
        <f aca="false">IF($G50="","",IF($H50="Yes",$G50*VATRate,0))</f>
        <v/>
      </c>
      <c r="J50" s="54" t="str">
        <f aca="false">IF($G50="","",$G50+IF($I50="",0,$I50))</f>
        <v/>
      </c>
      <c r="K50" s="38"/>
    </row>
    <row r="51" customFormat="false" ht="15" hidden="false" customHeight="true" outlineLevel="0" collapsed="false">
      <c r="A51" s="36"/>
      <c r="B51" s="36"/>
      <c r="C51" s="58" t="str">
        <f aca="false">IFERROR(VLOOKUP($B51,Orders!$A$5:$B$64,2,0),"")</f>
        <v/>
      </c>
      <c r="D51" s="58" t="str">
        <f aca="false">IFERROR(VLOOKUP($B51,Orders!$A$5:$C$64,3,0),"")</f>
        <v/>
      </c>
      <c r="E51" s="36"/>
      <c r="F51" s="36"/>
      <c r="G51" s="36"/>
      <c r="H51" s="36"/>
      <c r="I51" s="47" t="str">
        <f aca="false">IF($G51="","",IF($H51="Yes",$G51*VATRate,0))</f>
        <v/>
      </c>
      <c r="J51" s="47" t="str">
        <f aca="false">IF($G51="","",$G51+IF($I51="",0,$I51))</f>
        <v/>
      </c>
      <c r="K51" s="36"/>
    </row>
    <row r="52" customFormat="false" ht="15" hidden="false" customHeight="true" outlineLevel="0" collapsed="false">
      <c r="A52" s="38"/>
      <c r="B52" s="38"/>
      <c r="C52" s="59" t="str">
        <f aca="false">IFERROR(VLOOKUP($B52,Orders!$A$5:$B$64,2,0),"")</f>
        <v/>
      </c>
      <c r="D52" s="59" t="str">
        <f aca="false">IFERROR(VLOOKUP($B52,Orders!$A$5:$C$64,3,0),"")</f>
        <v/>
      </c>
      <c r="E52" s="38"/>
      <c r="F52" s="38"/>
      <c r="G52" s="38"/>
      <c r="H52" s="38"/>
      <c r="I52" s="54" t="str">
        <f aca="false">IF($G52="","",IF($H52="Yes",$G52*VATRate,0))</f>
        <v/>
      </c>
      <c r="J52" s="54" t="str">
        <f aca="false">IF($G52="","",$G52+IF($I52="",0,$I52))</f>
        <v/>
      </c>
      <c r="K52" s="38"/>
    </row>
    <row r="53" customFormat="false" ht="15" hidden="false" customHeight="true" outlineLevel="0" collapsed="false">
      <c r="A53" s="36"/>
      <c r="B53" s="36"/>
      <c r="C53" s="58" t="str">
        <f aca="false">IFERROR(VLOOKUP($B53,Orders!$A$5:$B$64,2,0),"")</f>
        <v/>
      </c>
      <c r="D53" s="58" t="str">
        <f aca="false">IFERROR(VLOOKUP($B53,Orders!$A$5:$C$64,3,0),"")</f>
        <v/>
      </c>
      <c r="E53" s="36"/>
      <c r="F53" s="36"/>
      <c r="G53" s="36"/>
      <c r="H53" s="36"/>
      <c r="I53" s="47" t="str">
        <f aca="false">IF($G53="","",IF($H53="Yes",$G53*VATRate,0))</f>
        <v/>
      </c>
      <c r="J53" s="47" t="str">
        <f aca="false">IF($G53="","",$G53+IF($I53="",0,$I53))</f>
        <v/>
      </c>
      <c r="K53" s="36"/>
    </row>
    <row r="54" customFormat="false" ht="15" hidden="false" customHeight="true" outlineLevel="0" collapsed="false">
      <c r="A54" s="38"/>
      <c r="B54" s="38"/>
      <c r="C54" s="59" t="str">
        <f aca="false">IFERROR(VLOOKUP($B54,Orders!$A$5:$B$64,2,0),"")</f>
        <v/>
      </c>
      <c r="D54" s="59" t="str">
        <f aca="false">IFERROR(VLOOKUP($B54,Orders!$A$5:$C$64,3,0),"")</f>
        <v/>
      </c>
      <c r="E54" s="38"/>
      <c r="F54" s="38"/>
      <c r="G54" s="38"/>
      <c r="H54" s="38"/>
      <c r="I54" s="54" t="str">
        <f aca="false">IF($G54="","",IF($H54="Yes",$G54*VATRate,0))</f>
        <v/>
      </c>
      <c r="J54" s="54" t="str">
        <f aca="false">IF($G54="","",$G54+IF($I54="",0,$I54))</f>
        <v/>
      </c>
      <c r="K54" s="38"/>
    </row>
    <row r="55" customFormat="false" ht="15" hidden="false" customHeight="true" outlineLevel="0" collapsed="false">
      <c r="A55" s="36"/>
      <c r="B55" s="36"/>
      <c r="C55" s="58" t="str">
        <f aca="false">IFERROR(VLOOKUP($B55,Orders!$A$5:$B$64,2,0),"")</f>
        <v/>
      </c>
      <c r="D55" s="58" t="str">
        <f aca="false">IFERROR(VLOOKUP($B55,Orders!$A$5:$C$64,3,0),"")</f>
        <v/>
      </c>
      <c r="E55" s="36"/>
      <c r="F55" s="36"/>
      <c r="G55" s="36"/>
      <c r="H55" s="36"/>
      <c r="I55" s="47" t="str">
        <f aca="false">IF($G55="","",IF($H55="Yes",$G55*VATRate,0))</f>
        <v/>
      </c>
      <c r="J55" s="47" t="str">
        <f aca="false">IF($G55="","",$G55+IF($I55="",0,$I55))</f>
        <v/>
      </c>
      <c r="K55" s="36"/>
    </row>
    <row r="56" customFormat="false" ht="15" hidden="false" customHeight="true" outlineLevel="0" collapsed="false">
      <c r="A56" s="38"/>
      <c r="B56" s="38"/>
      <c r="C56" s="59" t="str">
        <f aca="false">IFERROR(VLOOKUP($B56,Orders!$A$5:$B$64,2,0),"")</f>
        <v/>
      </c>
      <c r="D56" s="59" t="str">
        <f aca="false">IFERROR(VLOOKUP($B56,Orders!$A$5:$C$64,3,0),"")</f>
        <v/>
      </c>
      <c r="E56" s="38"/>
      <c r="F56" s="38"/>
      <c r="G56" s="38"/>
      <c r="H56" s="38"/>
      <c r="I56" s="54" t="str">
        <f aca="false">IF($G56="","",IF($H56="Yes",$G56*VATRate,0))</f>
        <v/>
      </c>
      <c r="J56" s="54" t="str">
        <f aca="false">IF($G56="","",$G56+IF($I56="",0,$I56))</f>
        <v/>
      </c>
      <c r="K56" s="38"/>
    </row>
    <row r="57" customFormat="false" ht="15" hidden="false" customHeight="true" outlineLevel="0" collapsed="false">
      <c r="A57" s="36"/>
      <c r="B57" s="36"/>
      <c r="C57" s="58" t="str">
        <f aca="false">IFERROR(VLOOKUP($B57,Orders!$A$5:$B$64,2,0),"")</f>
        <v/>
      </c>
      <c r="D57" s="58" t="str">
        <f aca="false">IFERROR(VLOOKUP($B57,Orders!$A$5:$C$64,3,0),"")</f>
        <v/>
      </c>
      <c r="E57" s="36"/>
      <c r="F57" s="36"/>
      <c r="G57" s="36"/>
      <c r="H57" s="36"/>
      <c r="I57" s="47" t="str">
        <f aca="false">IF($G57="","",IF($H57="Yes",$G57*VATRate,0))</f>
        <v/>
      </c>
      <c r="J57" s="47" t="str">
        <f aca="false">IF($G57="","",$G57+IF($I57="",0,$I57))</f>
        <v/>
      </c>
      <c r="K57" s="36"/>
    </row>
    <row r="58" customFormat="false" ht="15" hidden="false" customHeight="true" outlineLevel="0" collapsed="false">
      <c r="A58" s="38"/>
      <c r="B58" s="38"/>
      <c r="C58" s="59" t="str">
        <f aca="false">IFERROR(VLOOKUP($B58,Orders!$A$5:$B$64,2,0),"")</f>
        <v/>
      </c>
      <c r="D58" s="59" t="str">
        <f aca="false">IFERROR(VLOOKUP($B58,Orders!$A$5:$C$64,3,0),"")</f>
        <v/>
      </c>
      <c r="E58" s="38"/>
      <c r="F58" s="38"/>
      <c r="G58" s="38"/>
      <c r="H58" s="38"/>
      <c r="I58" s="54" t="str">
        <f aca="false">IF($G58="","",IF($H58="Yes",$G58*VATRate,0))</f>
        <v/>
      </c>
      <c r="J58" s="54" t="str">
        <f aca="false">IF($G58="","",$G58+IF($I58="",0,$I58))</f>
        <v/>
      </c>
      <c r="K58" s="38"/>
    </row>
    <row r="59" customFormat="false" ht="15" hidden="false" customHeight="true" outlineLevel="0" collapsed="false">
      <c r="A59" s="36"/>
      <c r="B59" s="36"/>
      <c r="C59" s="58" t="str">
        <f aca="false">IFERROR(VLOOKUP($B59,Orders!$A$5:$B$64,2,0),"")</f>
        <v/>
      </c>
      <c r="D59" s="58" t="str">
        <f aca="false">IFERROR(VLOOKUP($B59,Orders!$A$5:$C$64,3,0),"")</f>
        <v/>
      </c>
      <c r="E59" s="36"/>
      <c r="F59" s="36"/>
      <c r="G59" s="36"/>
      <c r="H59" s="36"/>
      <c r="I59" s="47" t="str">
        <f aca="false">IF($G59="","",IF($H59="Yes",$G59*VATRate,0))</f>
        <v/>
      </c>
      <c r="J59" s="47" t="str">
        <f aca="false">IF($G59="","",$G59+IF($I59="",0,$I59))</f>
        <v/>
      </c>
      <c r="K59" s="36"/>
    </row>
    <row r="60" customFormat="false" ht="15" hidden="false" customHeight="true" outlineLevel="0" collapsed="false">
      <c r="A60" s="38"/>
      <c r="B60" s="38"/>
      <c r="C60" s="59" t="str">
        <f aca="false">IFERROR(VLOOKUP($B60,Orders!$A$5:$B$64,2,0),"")</f>
        <v/>
      </c>
      <c r="D60" s="59" t="str">
        <f aca="false">IFERROR(VLOOKUP($B60,Orders!$A$5:$C$64,3,0),"")</f>
        <v/>
      </c>
      <c r="E60" s="38"/>
      <c r="F60" s="38"/>
      <c r="G60" s="38"/>
      <c r="H60" s="38"/>
      <c r="I60" s="54" t="str">
        <f aca="false">IF($G60="","",IF($H60="Yes",$G60*VATRate,0))</f>
        <v/>
      </c>
      <c r="J60" s="54" t="str">
        <f aca="false">IF($G60="","",$G60+IF($I60="",0,$I60))</f>
        <v/>
      </c>
      <c r="K60" s="38"/>
    </row>
    <row r="61" customFormat="false" ht="15" hidden="false" customHeight="true" outlineLevel="0" collapsed="false">
      <c r="A61" s="36"/>
      <c r="B61" s="36"/>
      <c r="C61" s="58" t="str">
        <f aca="false">IFERROR(VLOOKUP($B61,Orders!$A$5:$B$64,2,0),"")</f>
        <v/>
      </c>
      <c r="D61" s="58" t="str">
        <f aca="false">IFERROR(VLOOKUP($B61,Orders!$A$5:$C$64,3,0),"")</f>
        <v/>
      </c>
      <c r="E61" s="36"/>
      <c r="F61" s="36"/>
      <c r="G61" s="36"/>
      <c r="H61" s="36"/>
      <c r="I61" s="47" t="str">
        <f aca="false">IF($G61="","",IF($H61="Yes",$G61*VATRate,0))</f>
        <v/>
      </c>
      <c r="J61" s="47" t="str">
        <f aca="false">IF($G61="","",$G61+IF($I61="",0,$I61))</f>
        <v/>
      </c>
      <c r="K61" s="36"/>
    </row>
    <row r="62" customFormat="false" ht="15" hidden="false" customHeight="true" outlineLevel="0" collapsed="false">
      <c r="A62" s="38"/>
      <c r="B62" s="38"/>
      <c r="C62" s="59" t="str">
        <f aca="false">IFERROR(VLOOKUP($B62,Orders!$A$5:$B$64,2,0),"")</f>
        <v/>
      </c>
      <c r="D62" s="59" t="str">
        <f aca="false">IFERROR(VLOOKUP($B62,Orders!$A$5:$C$64,3,0),"")</f>
        <v/>
      </c>
      <c r="E62" s="38"/>
      <c r="F62" s="38"/>
      <c r="G62" s="38"/>
      <c r="H62" s="38"/>
      <c r="I62" s="54" t="str">
        <f aca="false">IF($G62="","",IF($H62="Yes",$G62*VATRate,0))</f>
        <v/>
      </c>
      <c r="J62" s="54" t="str">
        <f aca="false">IF($G62="","",$G62+IF($I62="",0,$I62))</f>
        <v/>
      </c>
      <c r="K62" s="38"/>
    </row>
    <row r="63" customFormat="false" ht="15" hidden="false" customHeight="true" outlineLevel="0" collapsed="false">
      <c r="A63" s="36"/>
      <c r="B63" s="36"/>
      <c r="C63" s="58" t="str">
        <f aca="false">IFERROR(VLOOKUP($B63,Orders!$A$5:$B$64,2,0),"")</f>
        <v/>
      </c>
      <c r="D63" s="58" t="str">
        <f aca="false">IFERROR(VLOOKUP($B63,Orders!$A$5:$C$64,3,0),"")</f>
        <v/>
      </c>
      <c r="E63" s="36"/>
      <c r="F63" s="36"/>
      <c r="G63" s="36"/>
      <c r="H63" s="36"/>
      <c r="I63" s="47" t="str">
        <f aca="false">IF($G63="","",IF($H63="Yes",$G63*VATRate,0))</f>
        <v/>
      </c>
      <c r="J63" s="47" t="str">
        <f aca="false">IF($G63="","",$G63+IF($I63="",0,$I63))</f>
        <v/>
      </c>
      <c r="K63" s="36"/>
    </row>
    <row r="64" customFormat="false" ht="15" hidden="false" customHeight="true" outlineLevel="0" collapsed="false">
      <c r="A64" s="38"/>
      <c r="B64" s="38"/>
      <c r="C64" s="59" t="str">
        <f aca="false">IFERROR(VLOOKUP($B64,Orders!$A$5:$B$64,2,0),"")</f>
        <v/>
      </c>
      <c r="D64" s="59" t="str">
        <f aca="false">IFERROR(VLOOKUP($B64,Orders!$A$5:$C$64,3,0),"")</f>
        <v/>
      </c>
      <c r="E64" s="38"/>
      <c r="F64" s="38"/>
      <c r="G64" s="38"/>
      <c r="H64" s="38"/>
      <c r="I64" s="54" t="str">
        <f aca="false">IF($G64="","",IF($H64="Yes",$G64*VATRate,0))</f>
        <v/>
      </c>
      <c r="J64" s="54" t="str">
        <f aca="false">IF($G64="","",$G64+IF($I64="",0,$I64))</f>
        <v/>
      </c>
      <c r="K64" s="38"/>
    </row>
    <row r="65" customFormat="false" ht="15" hidden="false" customHeight="true" outlineLevel="0" collapsed="false">
      <c r="A65" s="36"/>
      <c r="B65" s="36"/>
      <c r="C65" s="58" t="str">
        <f aca="false">IFERROR(VLOOKUP($B65,Orders!$A$5:$B$64,2,0),"")</f>
        <v/>
      </c>
      <c r="D65" s="58" t="str">
        <f aca="false">IFERROR(VLOOKUP($B65,Orders!$A$5:$C$64,3,0),"")</f>
        <v/>
      </c>
      <c r="E65" s="36"/>
      <c r="F65" s="36"/>
      <c r="G65" s="36"/>
      <c r="H65" s="36"/>
      <c r="I65" s="47" t="str">
        <f aca="false">IF($G65="","",IF($H65="Yes",$G65*VATRate,0))</f>
        <v/>
      </c>
      <c r="J65" s="47" t="str">
        <f aca="false">IF($G65="","",$G65+IF($I65="",0,$I65))</f>
        <v/>
      </c>
      <c r="K65" s="36"/>
    </row>
    <row r="66" customFormat="false" ht="15" hidden="false" customHeight="true" outlineLevel="0" collapsed="false">
      <c r="A66" s="38"/>
      <c r="B66" s="38"/>
      <c r="C66" s="59" t="str">
        <f aca="false">IFERROR(VLOOKUP($B66,Orders!$A$5:$B$64,2,0),"")</f>
        <v/>
      </c>
      <c r="D66" s="59" t="str">
        <f aca="false">IFERROR(VLOOKUP($B66,Orders!$A$5:$C$64,3,0),"")</f>
        <v/>
      </c>
      <c r="E66" s="38"/>
      <c r="F66" s="38"/>
      <c r="G66" s="38"/>
      <c r="H66" s="38"/>
      <c r="I66" s="54" t="str">
        <f aca="false">IF($G66="","",IF($H66="Yes",$G66*VATRate,0))</f>
        <v/>
      </c>
      <c r="J66" s="54" t="str">
        <f aca="false">IF($G66="","",$G66+IF($I66="",0,$I66))</f>
        <v/>
      </c>
      <c r="K66" s="38"/>
    </row>
    <row r="67" customFormat="false" ht="15" hidden="false" customHeight="true" outlineLevel="0" collapsed="false">
      <c r="A67" s="36"/>
      <c r="B67" s="36"/>
      <c r="C67" s="58" t="str">
        <f aca="false">IFERROR(VLOOKUP($B67,Orders!$A$5:$B$64,2,0),"")</f>
        <v/>
      </c>
      <c r="D67" s="58" t="str">
        <f aca="false">IFERROR(VLOOKUP($B67,Orders!$A$5:$C$64,3,0),"")</f>
        <v/>
      </c>
      <c r="E67" s="36"/>
      <c r="F67" s="36"/>
      <c r="G67" s="36"/>
      <c r="H67" s="36"/>
      <c r="I67" s="47" t="str">
        <f aca="false">IF($G67="","",IF($H67="Yes",$G67*VATRate,0))</f>
        <v/>
      </c>
      <c r="J67" s="47" t="str">
        <f aca="false">IF($G67="","",$G67+IF($I67="",0,$I67))</f>
        <v/>
      </c>
      <c r="K67" s="36"/>
    </row>
    <row r="68" customFormat="false" ht="15" hidden="false" customHeight="true" outlineLevel="0" collapsed="false">
      <c r="A68" s="38"/>
      <c r="B68" s="38"/>
      <c r="C68" s="59" t="str">
        <f aca="false">IFERROR(VLOOKUP($B68,Orders!$A$5:$B$64,2,0),"")</f>
        <v/>
      </c>
      <c r="D68" s="59" t="str">
        <f aca="false">IFERROR(VLOOKUP($B68,Orders!$A$5:$C$64,3,0),"")</f>
        <v/>
      </c>
      <c r="E68" s="38"/>
      <c r="F68" s="38"/>
      <c r="G68" s="38"/>
      <c r="H68" s="38"/>
      <c r="I68" s="54" t="str">
        <f aca="false">IF($G68="","",IF($H68="Yes",$G68*VATRate,0))</f>
        <v/>
      </c>
      <c r="J68" s="54" t="str">
        <f aca="false">IF($G68="","",$G68+IF($I68="",0,$I68))</f>
        <v/>
      </c>
      <c r="K68" s="38"/>
    </row>
    <row r="69" customFormat="false" ht="15" hidden="false" customHeight="true" outlineLevel="0" collapsed="false">
      <c r="A69" s="36"/>
      <c r="B69" s="36"/>
      <c r="C69" s="58" t="str">
        <f aca="false">IFERROR(VLOOKUP($B69,Orders!$A$5:$B$64,2,0),"")</f>
        <v/>
      </c>
      <c r="D69" s="58" t="str">
        <f aca="false">IFERROR(VLOOKUP($B69,Orders!$A$5:$C$64,3,0),"")</f>
        <v/>
      </c>
      <c r="E69" s="36"/>
      <c r="F69" s="36"/>
      <c r="G69" s="36"/>
      <c r="H69" s="36"/>
      <c r="I69" s="47" t="str">
        <f aca="false">IF($G69="","",IF($H69="Yes",$G69*VATRate,0))</f>
        <v/>
      </c>
      <c r="J69" s="47" t="str">
        <f aca="false">IF($G69="","",$G69+IF($I69="",0,$I69))</f>
        <v/>
      </c>
      <c r="K69" s="36"/>
    </row>
    <row r="70" customFormat="false" ht="15" hidden="false" customHeight="true" outlineLevel="0" collapsed="false">
      <c r="A70" s="38"/>
      <c r="B70" s="38"/>
      <c r="C70" s="59" t="str">
        <f aca="false">IFERROR(VLOOKUP($B70,Orders!$A$5:$B$64,2,0),"")</f>
        <v/>
      </c>
      <c r="D70" s="59" t="str">
        <f aca="false">IFERROR(VLOOKUP($B70,Orders!$A$5:$C$64,3,0),"")</f>
        <v/>
      </c>
      <c r="E70" s="38"/>
      <c r="F70" s="38"/>
      <c r="G70" s="38"/>
      <c r="H70" s="38"/>
      <c r="I70" s="54" t="str">
        <f aca="false">IF($G70="","",IF($H70="Yes",$G70*VATRate,0))</f>
        <v/>
      </c>
      <c r="J70" s="54" t="str">
        <f aca="false">IF($G70="","",$G70+IF($I70="",0,$I70))</f>
        <v/>
      </c>
      <c r="K70" s="38"/>
    </row>
    <row r="71" customFormat="false" ht="15" hidden="false" customHeight="true" outlineLevel="0" collapsed="false">
      <c r="A71" s="36"/>
      <c r="B71" s="36"/>
      <c r="C71" s="58" t="str">
        <f aca="false">IFERROR(VLOOKUP($B71,Orders!$A$5:$B$64,2,0),"")</f>
        <v/>
      </c>
      <c r="D71" s="58" t="str">
        <f aca="false">IFERROR(VLOOKUP($B71,Orders!$A$5:$C$64,3,0),"")</f>
        <v/>
      </c>
      <c r="E71" s="36"/>
      <c r="F71" s="36"/>
      <c r="G71" s="36"/>
      <c r="H71" s="36"/>
      <c r="I71" s="47" t="str">
        <f aca="false">IF($G71="","",IF($H71="Yes",$G71*VATRate,0))</f>
        <v/>
      </c>
      <c r="J71" s="47" t="str">
        <f aca="false">IF($G71="","",$G71+IF($I71="",0,$I71))</f>
        <v/>
      </c>
      <c r="K71" s="36"/>
    </row>
    <row r="72" customFormat="false" ht="15" hidden="false" customHeight="true" outlineLevel="0" collapsed="false">
      <c r="A72" s="38"/>
      <c r="B72" s="38"/>
      <c r="C72" s="59" t="str">
        <f aca="false">IFERROR(VLOOKUP($B72,Orders!$A$5:$B$64,2,0),"")</f>
        <v/>
      </c>
      <c r="D72" s="59" t="str">
        <f aca="false">IFERROR(VLOOKUP($B72,Orders!$A$5:$C$64,3,0),"")</f>
        <v/>
      </c>
      <c r="E72" s="38"/>
      <c r="F72" s="38"/>
      <c r="G72" s="38"/>
      <c r="H72" s="38"/>
      <c r="I72" s="54" t="str">
        <f aca="false">IF($G72="","",IF($H72="Yes",$G72*VATRate,0))</f>
        <v/>
      </c>
      <c r="J72" s="54" t="str">
        <f aca="false">IF($G72="","",$G72+IF($I72="",0,$I72))</f>
        <v/>
      </c>
      <c r="K72" s="38"/>
    </row>
    <row r="73" customFormat="false" ht="15" hidden="false" customHeight="true" outlineLevel="0" collapsed="false">
      <c r="A73" s="36"/>
      <c r="B73" s="36"/>
      <c r="C73" s="58" t="str">
        <f aca="false">IFERROR(VLOOKUP($B73,Orders!$A$5:$B$64,2,0),"")</f>
        <v/>
      </c>
      <c r="D73" s="58" t="str">
        <f aca="false">IFERROR(VLOOKUP($B73,Orders!$A$5:$C$64,3,0),"")</f>
        <v/>
      </c>
      <c r="E73" s="36"/>
      <c r="F73" s="36"/>
      <c r="G73" s="36"/>
      <c r="H73" s="36"/>
      <c r="I73" s="47" t="str">
        <f aca="false">IF($G73="","",IF($H73="Yes",$G73*VATRate,0))</f>
        <v/>
      </c>
      <c r="J73" s="47" t="str">
        <f aca="false">IF($G73="","",$G73+IF($I73="",0,$I73))</f>
        <v/>
      </c>
      <c r="K73" s="36"/>
    </row>
    <row r="74" customFormat="false" ht="15" hidden="false" customHeight="true" outlineLevel="0" collapsed="false">
      <c r="A74" s="38"/>
      <c r="B74" s="38"/>
      <c r="C74" s="59" t="str">
        <f aca="false">IFERROR(VLOOKUP($B74,Orders!$A$5:$B$64,2,0),"")</f>
        <v/>
      </c>
      <c r="D74" s="59" t="str">
        <f aca="false">IFERROR(VLOOKUP($B74,Orders!$A$5:$C$64,3,0),"")</f>
        <v/>
      </c>
      <c r="E74" s="38"/>
      <c r="F74" s="38"/>
      <c r="G74" s="38"/>
      <c r="H74" s="38"/>
      <c r="I74" s="54" t="str">
        <f aca="false">IF($G74="","",IF($H74="Yes",$G74*VATRate,0))</f>
        <v/>
      </c>
      <c r="J74" s="54" t="str">
        <f aca="false">IF($G74="","",$G74+IF($I74="",0,$I74))</f>
        <v/>
      </c>
      <c r="K74" s="38"/>
    </row>
    <row r="75" customFormat="false" ht="15" hidden="false" customHeight="true" outlineLevel="0" collapsed="false">
      <c r="A75" s="36"/>
      <c r="B75" s="36"/>
      <c r="C75" s="58" t="str">
        <f aca="false">IFERROR(VLOOKUP($B75,Orders!$A$5:$B$64,2,0),"")</f>
        <v/>
      </c>
      <c r="D75" s="58" t="str">
        <f aca="false">IFERROR(VLOOKUP($B75,Orders!$A$5:$C$64,3,0),"")</f>
        <v/>
      </c>
      <c r="E75" s="36"/>
      <c r="F75" s="36"/>
      <c r="G75" s="36"/>
      <c r="H75" s="36"/>
      <c r="I75" s="47" t="str">
        <f aca="false">IF($G75="","",IF($H75="Yes",$G75*VATRate,0))</f>
        <v/>
      </c>
      <c r="J75" s="47" t="str">
        <f aca="false">IF($G75="","",$G75+IF($I75="",0,$I75))</f>
        <v/>
      </c>
      <c r="K75" s="36"/>
    </row>
    <row r="76" customFormat="false" ht="15" hidden="false" customHeight="true" outlineLevel="0" collapsed="false">
      <c r="A76" s="38"/>
      <c r="B76" s="38"/>
      <c r="C76" s="59" t="str">
        <f aca="false">IFERROR(VLOOKUP($B76,Orders!$A$5:$B$64,2,0),"")</f>
        <v/>
      </c>
      <c r="D76" s="59" t="str">
        <f aca="false">IFERROR(VLOOKUP($B76,Orders!$A$5:$C$64,3,0),"")</f>
        <v/>
      </c>
      <c r="E76" s="38"/>
      <c r="F76" s="38"/>
      <c r="G76" s="38"/>
      <c r="H76" s="38"/>
      <c r="I76" s="54" t="str">
        <f aca="false">IF($G76="","",IF($H76="Yes",$G76*VATRate,0))</f>
        <v/>
      </c>
      <c r="J76" s="54" t="str">
        <f aca="false">IF($G76="","",$G76+IF($I76="",0,$I76))</f>
        <v/>
      </c>
      <c r="K76" s="38"/>
    </row>
    <row r="77" customFormat="false" ht="15" hidden="false" customHeight="true" outlineLevel="0" collapsed="false">
      <c r="A77" s="36"/>
      <c r="B77" s="36"/>
      <c r="C77" s="58" t="str">
        <f aca="false">IFERROR(VLOOKUP($B77,Orders!$A$5:$B$64,2,0),"")</f>
        <v/>
      </c>
      <c r="D77" s="58" t="str">
        <f aca="false">IFERROR(VLOOKUP($B77,Orders!$A$5:$C$64,3,0),"")</f>
        <v/>
      </c>
      <c r="E77" s="36"/>
      <c r="F77" s="36"/>
      <c r="G77" s="36"/>
      <c r="H77" s="36"/>
      <c r="I77" s="47" t="str">
        <f aca="false">IF($G77="","",IF($H77="Yes",$G77*VATRate,0))</f>
        <v/>
      </c>
      <c r="J77" s="47" t="str">
        <f aca="false">IF($G77="","",$G77+IF($I77="",0,$I77))</f>
        <v/>
      </c>
      <c r="K77" s="36"/>
    </row>
    <row r="78" customFormat="false" ht="15" hidden="false" customHeight="true" outlineLevel="0" collapsed="false">
      <c r="A78" s="38"/>
      <c r="B78" s="38"/>
      <c r="C78" s="59" t="str">
        <f aca="false">IFERROR(VLOOKUP($B78,Orders!$A$5:$B$64,2,0),"")</f>
        <v/>
      </c>
      <c r="D78" s="59" t="str">
        <f aca="false">IFERROR(VLOOKUP($B78,Orders!$A$5:$C$64,3,0),"")</f>
        <v/>
      </c>
      <c r="E78" s="38"/>
      <c r="F78" s="38"/>
      <c r="G78" s="38"/>
      <c r="H78" s="38"/>
      <c r="I78" s="54" t="str">
        <f aca="false">IF($G78="","",IF($H78="Yes",$G78*VATRate,0))</f>
        <v/>
      </c>
      <c r="J78" s="54" t="str">
        <f aca="false">IF($G78="","",$G78+IF($I78="",0,$I78))</f>
        <v/>
      </c>
      <c r="K78" s="38"/>
    </row>
    <row r="79" customFormat="false" ht="15" hidden="false" customHeight="true" outlineLevel="0" collapsed="false">
      <c r="A79" s="36"/>
      <c r="B79" s="36"/>
      <c r="C79" s="58" t="str">
        <f aca="false">IFERROR(VLOOKUP($B79,Orders!$A$5:$B$64,2,0),"")</f>
        <v/>
      </c>
      <c r="D79" s="58" t="str">
        <f aca="false">IFERROR(VLOOKUP($B79,Orders!$A$5:$C$64,3,0),"")</f>
        <v/>
      </c>
      <c r="E79" s="36"/>
      <c r="F79" s="36"/>
      <c r="G79" s="36"/>
      <c r="H79" s="36"/>
      <c r="I79" s="47" t="str">
        <f aca="false">IF($G79="","",IF($H79="Yes",$G79*VATRate,0))</f>
        <v/>
      </c>
      <c r="J79" s="47" t="str">
        <f aca="false">IF($G79="","",$G79+IF($I79="",0,$I79))</f>
        <v/>
      </c>
      <c r="K79" s="36"/>
    </row>
    <row r="80" customFormat="false" ht="15" hidden="false" customHeight="true" outlineLevel="0" collapsed="false">
      <c r="A80" s="38"/>
      <c r="B80" s="38"/>
      <c r="C80" s="59" t="str">
        <f aca="false">IFERROR(VLOOKUP($B80,Orders!$A$5:$B$64,2,0),"")</f>
        <v/>
      </c>
      <c r="D80" s="59" t="str">
        <f aca="false">IFERROR(VLOOKUP($B80,Orders!$A$5:$C$64,3,0),"")</f>
        <v/>
      </c>
      <c r="E80" s="38"/>
      <c r="F80" s="38"/>
      <c r="G80" s="38"/>
      <c r="H80" s="38"/>
      <c r="I80" s="54" t="str">
        <f aca="false">IF($G80="","",IF($H80="Yes",$G80*VATRate,0))</f>
        <v/>
      </c>
      <c r="J80" s="54" t="str">
        <f aca="false">IF($G80="","",$G80+IF($I80="",0,$I80))</f>
        <v/>
      </c>
      <c r="K80" s="38"/>
    </row>
    <row r="81" customFormat="false" ht="15" hidden="false" customHeight="true" outlineLevel="0" collapsed="false">
      <c r="A81" s="36"/>
      <c r="B81" s="36"/>
      <c r="C81" s="58" t="str">
        <f aca="false">IFERROR(VLOOKUP($B81,Orders!$A$5:$B$64,2,0),"")</f>
        <v/>
      </c>
      <c r="D81" s="58" t="str">
        <f aca="false">IFERROR(VLOOKUP($B81,Orders!$A$5:$C$64,3,0),"")</f>
        <v/>
      </c>
      <c r="E81" s="36"/>
      <c r="F81" s="36"/>
      <c r="G81" s="36"/>
      <c r="H81" s="36"/>
      <c r="I81" s="47" t="str">
        <f aca="false">IF($G81="","",IF($H81="Yes",$G81*VATRate,0))</f>
        <v/>
      </c>
      <c r="J81" s="47" t="str">
        <f aca="false">IF($G81="","",$G81+IF($I81="",0,$I81))</f>
        <v/>
      </c>
      <c r="K81" s="36"/>
    </row>
    <row r="82" customFormat="false" ht="15" hidden="false" customHeight="true" outlineLevel="0" collapsed="false">
      <c r="A82" s="38"/>
      <c r="B82" s="38"/>
      <c r="C82" s="59" t="str">
        <f aca="false">IFERROR(VLOOKUP($B82,Orders!$A$5:$B$64,2,0),"")</f>
        <v/>
      </c>
      <c r="D82" s="59" t="str">
        <f aca="false">IFERROR(VLOOKUP($B82,Orders!$A$5:$C$64,3,0),"")</f>
        <v/>
      </c>
      <c r="E82" s="38"/>
      <c r="F82" s="38"/>
      <c r="G82" s="38"/>
      <c r="H82" s="38"/>
      <c r="I82" s="54" t="str">
        <f aca="false">IF($G82="","",IF($H82="Yes",$G82*VATRate,0))</f>
        <v/>
      </c>
      <c r="J82" s="54" t="str">
        <f aca="false">IF($G82="","",$G82+IF($I82="",0,$I82))</f>
        <v/>
      </c>
      <c r="K82" s="38"/>
    </row>
    <row r="83" customFormat="false" ht="15" hidden="false" customHeight="true" outlineLevel="0" collapsed="false">
      <c r="A83" s="36"/>
      <c r="B83" s="36"/>
      <c r="C83" s="58" t="str">
        <f aca="false">IFERROR(VLOOKUP($B83,Orders!$A$5:$B$64,2,0),"")</f>
        <v/>
      </c>
      <c r="D83" s="58" t="str">
        <f aca="false">IFERROR(VLOOKUP($B83,Orders!$A$5:$C$64,3,0),"")</f>
        <v/>
      </c>
      <c r="E83" s="36"/>
      <c r="F83" s="36"/>
      <c r="G83" s="36"/>
      <c r="H83" s="36"/>
      <c r="I83" s="47" t="str">
        <f aca="false">IF($G83="","",IF($H83="Yes",$G83*VATRate,0))</f>
        <v/>
      </c>
      <c r="J83" s="47" t="str">
        <f aca="false">IF($G83="","",$G83+IF($I83="",0,$I83))</f>
        <v/>
      </c>
      <c r="K83" s="36"/>
    </row>
    <row r="84" customFormat="false" ht="15" hidden="false" customHeight="true" outlineLevel="0" collapsed="false">
      <c r="A84" s="38"/>
      <c r="B84" s="38"/>
      <c r="C84" s="59" t="str">
        <f aca="false">IFERROR(VLOOKUP($B84,Orders!$A$5:$B$64,2,0),"")</f>
        <v/>
      </c>
      <c r="D84" s="59" t="str">
        <f aca="false">IFERROR(VLOOKUP($B84,Orders!$A$5:$C$64,3,0),"")</f>
        <v/>
      </c>
      <c r="E84" s="38"/>
      <c r="F84" s="38"/>
      <c r="G84" s="38"/>
      <c r="H84" s="38"/>
      <c r="I84" s="54" t="str">
        <f aca="false">IF($G84="","",IF($H84="Yes",$G84*VATRate,0))</f>
        <v/>
      </c>
      <c r="J84" s="54" t="str">
        <f aca="false">IF($G84="","",$G84+IF($I84="",0,$I84))</f>
        <v/>
      </c>
      <c r="K84" s="38"/>
    </row>
  </sheetData>
  <mergeCells count="2">
    <mergeCell ref="A1:K1"/>
    <mergeCell ref="A2:K2"/>
  </mergeCells>
  <dataValidations count="3">
    <dataValidation allowBlank="true" error="Pick from the list" errorStyle="stop" errorTitle="Invalid entry" operator="between" showDropDown="false" showErrorMessage="false" showInputMessage="false" sqref="B5:B84" type="list">
      <formula1>OrderList</formula1>
      <formula2>0</formula2>
    </dataValidation>
    <dataValidation allowBlank="true" error="Pick from the list" errorStyle="stop" errorTitle="Invalid entry" operator="between" showDropDown="false" showErrorMessage="false" showInputMessage="false" sqref="F5:F84" type="list">
      <formula1>CatList</formula1>
      <formula2>0</formula2>
    </dataValidation>
    <dataValidation allowBlank="true" error="Pick from the list" errorStyle="stop" errorTitle="Invalid entry" operator="between" showDropDown="false" showErrorMessage="false" showInputMessage="false" sqref="H5:H8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3"/>
    <col collapsed="false" customWidth="true" hidden="false" outlineLevel="0" max="4" min="4" style="1" width="15"/>
    <col collapsed="false" customWidth="true" hidden="false" outlineLevel="0" max="5" min="5" style="1" width="9"/>
    <col collapsed="false" customWidth="true" hidden="false" outlineLevel="0" max="6" min="6" style="1" width="13"/>
    <col collapsed="false" customWidth="true" hidden="false" outlineLevel="0" max="7" min="7" style="1" width="15"/>
    <col collapsed="false" customWidth="true" hidden="false" outlineLevel="0" max="8" min="8" style="1" width="28"/>
  </cols>
  <sheetData>
    <row r="1" customFormat="false" ht="27.75" hidden="false" customHeight="true" outlineLevel="0" collapsed="false">
      <c r="A1" s="17" t="s">
        <v>224</v>
      </c>
      <c r="B1" s="17"/>
      <c r="C1" s="17"/>
      <c r="D1" s="17"/>
      <c r="E1" s="17"/>
      <c r="F1" s="17"/>
      <c r="G1" s="17"/>
      <c r="H1" s="17"/>
    </row>
    <row r="2" customFormat="false" ht="15.75" hidden="false" customHeight="true" outlineLevel="0" collapsed="false">
      <c r="A2" s="18" t="s">
        <v>225</v>
      </c>
      <c r="B2" s="18"/>
      <c r="C2" s="18"/>
      <c r="D2" s="18"/>
      <c r="E2" s="18"/>
      <c r="F2" s="18"/>
      <c r="G2" s="18"/>
      <c r="H2" s="18"/>
    </row>
    <row r="4" customFormat="false" ht="30" hidden="false" customHeight="true" outlineLevel="0" collapsed="false">
      <c r="A4" s="20" t="s">
        <v>206</v>
      </c>
      <c r="B4" s="20" t="s">
        <v>207</v>
      </c>
      <c r="C4" s="20" t="s">
        <v>208</v>
      </c>
      <c r="D4" s="20" t="s">
        <v>209</v>
      </c>
      <c r="E4" s="20" t="s">
        <v>210</v>
      </c>
      <c r="F4" s="20" t="s">
        <v>211</v>
      </c>
      <c r="G4" s="20" t="s">
        <v>163</v>
      </c>
      <c r="H4" s="20" t="s">
        <v>226</v>
      </c>
    </row>
    <row r="5" customFormat="false" ht="15" hidden="false" customHeight="true" outlineLevel="0" collapsed="false">
      <c r="A5" s="40" t="n">
        <v>46173</v>
      </c>
      <c r="B5" s="36" t="s">
        <v>227</v>
      </c>
      <c r="C5" s="36" t="s">
        <v>74</v>
      </c>
      <c r="D5" s="49" t="n">
        <v>250</v>
      </c>
      <c r="E5" s="36" t="s">
        <v>59</v>
      </c>
      <c r="F5" s="47" t="n">
        <f aca="false">IF($D5="","",IF($E5="Yes",$D5*VATRate,0))</f>
        <v>38.75</v>
      </c>
      <c r="G5" s="47" t="n">
        <f aca="false">IF($D5="","",$D5+IF($F5="",0,$F5))</f>
        <v>288.75</v>
      </c>
      <c r="H5" s="36"/>
    </row>
    <row r="6" customFormat="false" ht="15" hidden="false" customHeight="true" outlineLevel="0" collapsed="false">
      <c r="A6" s="40" t="n">
        <v>46178</v>
      </c>
      <c r="B6" s="38" t="s">
        <v>228</v>
      </c>
      <c r="C6" s="38" t="s">
        <v>68</v>
      </c>
      <c r="D6" s="49" t="n">
        <v>600</v>
      </c>
      <c r="E6" s="38" t="s">
        <v>63</v>
      </c>
      <c r="F6" s="54" t="n">
        <f aca="false">IF($D6="","",IF($E6="Yes",$D6*VATRate,0))</f>
        <v>0</v>
      </c>
      <c r="G6" s="54" t="n">
        <f aca="false">IF($D6="","",$D6+IF($F6="",0,$F6))</f>
        <v>600</v>
      </c>
      <c r="H6" s="38"/>
    </row>
    <row r="7" customFormat="false" ht="15" hidden="false" customHeight="true" outlineLevel="0" collapsed="false">
      <c r="A7" s="40" t="n">
        <v>46188</v>
      </c>
      <c r="B7" s="36" t="s">
        <v>229</v>
      </c>
      <c r="C7" s="36" t="s">
        <v>75</v>
      </c>
      <c r="D7" s="49" t="n">
        <v>180</v>
      </c>
      <c r="E7" s="36" t="s">
        <v>63</v>
      </c>
      <c r="F7" s="47" t="n">
        <f aca="false">IF($D7="","",IF($E7="Yes",$D7*VATRate,0))</f>
        <v>0</v>
      </c>
      <c r="G7" s="47" t="n">
        <f aca="false">IF($D7="","",$D7+IF($F7="",0,$F7))</f>
        <v>180</v>
      </c>
      <c r="H7" s="36"/>
    </row>
    <row r="8" customFormat="false" ht="15" hidden="false" customHeight="true" outlineLevel="0" collapsed="false">
      <c r="A8" s="40" t="n">
        <v>46145</v>
      </c>
      <c r="B8" s="36" t="s">
        <v>230</v>
      </c>
      <c r="C8" s="36" t="s">
        <v>68</v>
      </c>
      <c r="D8" s="49" t="n">
        <v>480</v>
      </c>
      <c r="E8" s="36" t="s">
        <v>59</v>
      </c>
      <c r="F8" s="47" t="n">
        <f aca="false">IF($D8="","",IF($E8="Yes",$D8*VATRate,0))</f>
        <v>74.4</v>
      </c>
      <c r="G8" s="47" t="n">
        <f aca="false">IF($D8="","",$D8+IF($F8="",0,$F8))</f>
        <v>554.4</v>
      </c>
      <c r="H8" s="36" t="s">
        <v>154</v>
      </c>
    </row>
    <row r="9" customFormat="false" ht="15" hidden="false" customHeight="true" outlineLevel="0" collapsed="false">
      <c r="A9" s="40" t="n">
        <v>46175</v>
      </c>
      <c r="B9" s="36" t="s">
        <v>231</v>
      </c>
      <c r="C9" s="36" t="s">
        <v>232</v>
      </c>
      <c r="D9" s="49" t="n">
        <v>760</v>
      </c>
      <c r="E9" s="36" t="s">
        <v>59</v>
      </c>
      <c r="F9" s="47" t="n">
        <f aca="false">IF($D9="","",IF($E9="Yes",$D9*VATRate,0))</f>
        <v>117.8</v>
      </c>
      <c r="G9" s="47" t="n">
        <f aca="false">IF($D9="","",$D9+IF($F9="",0,$F9))</f>
        <v>877.8</v>
      </c>
      <c r="H9" s="36" t="s">
        <v>154</v>
      </c>
    </row>
    <row r="10" customFormat="false" ht="15" hidden="false" customHeight="true" outlineLevel="0" collapsed="false">
      <c r="A10" s="40" t="n">
        <v>46193</v>
      </c>
      <c r="B10" s="36" t="s">
        <v>233</v>
      </c>
      <c r="C10" s="36" t="s">
        <v>75</v>
      </c>
      <c r="D10" s="49" t="n">
        <v>95</v>
      </c>
      <c r="E10" s="36" t="s">
        <v>63</v>
      </c>
      <c r="F10" s="47" t="n">
        <f aca="false">IF($D10="","",IF($E10="Yes",$D10*VATRate,0))</f>
        <v>0</v>
      </c>
      <c r="G10" s="47" t="n">
        <f aca="false">IF($D10="","",$D10+IF($F10="",0,$F10))</f>
        <v>95</v>
      </c>
      <c r="H10" s="36" t="s">
        <v>154</v>
      </c>
    </row>
    <row r="11" customFormat="false" ht="15" hidden="false" customHeight="true" outlineLevel="0" collapsed="false">
      <c r="A11" s="36"/>
      <c r="B11" s="36"/>
      <c r="C11" s="36"/>
      <c r="D11" s="36"/>
      <c r="E11" s="36"/>
      <c r="F11" s="47" t="str">
        <f aca="false">IF($D11="","",IF($E11="Yes",$D11*VATRate,0))</f>
        <v/>
      </c>
      <c r="G11" s="47" t="str">
        <f aca="false">IF($D11="","",$D11+IF($F11="",0,$F11))</f>
        <v/>
      </c>
      <c r="H11" s="36"/>
    </row>
    <row r="12" customFormat="false" ht="15" hidden="false" customHeight="true" outlineLevel="0" collapsed="false">
      <c r="A12" s="38"/>
      <c r="B12" s="38"/>
      <c r="C12" s="38"/>
      <c r="D12" s="38"/>
      <c r="E12" s="38"/>
      <c r="F12" s="54" t="str">
        <f aca="false">IF($D12="","",IF($E12="Yes",$D12*VATRate,0))</f>
        <v/>
      </c>
      <c r="G12" s="54" t="str">
        <f aca="false">IF($D12="","",$D12+IF($F12="",0,$F12))</f>
        <v/>
      </c>
      <c r="H12" s="38"/>
    </row>
    <row r="13" customFormat="false" ht="15" hidden="false" customHeight="true" outlineLevel="0" collapsed="false">
      <c r="A13" s="36"/>
      <c r="B13" s="36"/>
      <c r="C13" s="36"/>
      <c r="D13" s="36"/>
      <c r="E13" s="36"/>
      <c r="F13" s="47" t="str">
        <f aca="false">IF($D13="","",IF($E13="Yes",$D13*VATRate,0))</f>
        <v/>
      </c>
      <c r="G13" s="47" t="str">
        <f aca="false">IF($D13="","",$D13+IF($F13="",0,$F13))</f>
        <v/>
      </c>
      <c r="H13" s="36"/>
    </row>
    <row r="14" customFormat="false" ht="15" hidden="false" customHeight="true" outlineLevel="0" collapsed="false">
      <c r="A14" s="38"/>
      <c r="B14" s="38"/>
      <c r="C14" s="38"/>
      <c r="D14" s="38"/>
      <c r="E14" s="38"/>
      <c r="F14" s="54" t="str">
        <f aca="false">IF($D14="","",IF($E14="Yes",$D14*VATRate,0))</f>
        <v/>
      </c>
      <c r="G14" s="54" t="str">
        <f aca="false">IF($D14="","",$D14+IF($F14="",0,$F14))</f>
        <v/>
      </c>
      <c r="H14" s="38"/>
    </row>
    <row r="15" customFormat="false" ht="15" hidden="false" customHeight="true" outlineLevel="0" collapsed="false">
      <c r="A15" s="36"/>
      <c r="B15" s="36"/>
      <c r="C15" s="36"/>
      <c r="D15" s="36"/>
      <c r="E15" s="36"/>
      <c r="F15" s="47" t="str">
        <f aca="false">IF($D15="","",IF($E15="Yes",$D15*VATRate,0))</f>
        <v/>
      </c>
      <c r="G15" s="47" t="str">
        <f aca="false">IF($D15="","",$D15+IF($F15="",0,$F15))</f>
        <v/>
      </c>
      <c r="H15" s="36"/>
    </row>
    <row r="16" customFormat="false" ht="15" hidden="false" customHeight="true" outlineLevel="0" collapsed="false">
      <c r="A16" s="38"/>
      <c r="B16" s="38"/>
      <c r="C16" s="38"/>
      <c r="D16" s="38"/>
      <c r="E16" s="38"/>
      <c r="F16" s="54" t="str">
        <f aca="false">IF($D16="","",IF($E16="Yes",$D16*VATRate,0))</f>
        <v/>
      </c>
      <c r="G16" s="54" t="str">
        <f aca="false">IF($D16="","",$D16+IF($F16="",0,$F16))</f>
        <v/>
      </c>
      <c r="H16" s="38"/>
    </row>
    <row r="17" customFormat="false" ht="15" hidden="false" customHeight="true" outlineLevel="0" collapsed="false">
      <c r="A17" s="36"/>
      <c r="B17" s="36"/>
      <c r="C17" s="36"/>
      <c r="D17" s="36"/>
      <c r="E17" s="36"/>
      <c r="F17" s="47" t="str">
        <f aca="false">IF($D17="","",IF($E17="Yes",$D17*VATRate,0))</f>
        <v/>
      </c>
      <c r="G17" s="47" t="str">
        <f aca="false">IF($D17="","",$D17+IF($F17="",0,$F17))</f>
        <v/>
      </c>
      <c r="H17" s="36"/>
    </row>
    <row r="18" customFormat="false" ht="15" hidden="false" customHeight="true" outlineLevel="0" collapsed="false">
      <c r="A18" s="38"/>
      <c r="B18" s="38"/>
      <c r="C18" s="38"/>
      <c r="D18" s="38"/>
      <c r="E18" s="38"/>
      <c r="F18" s="54" t="str">
        <f aca="false">IF($D18="","",IF($E18="Yes",$D18*VATRate,0))</f>
        <v/>
      </c>
      <c r="G18" s="54" t="str">
        <f aca="false">IF($D18="","",$D18+IF($F18="",0,$F18))</f>
        <v/>
      </c>
      <c r="H18" s="38"/>
    </row>
    <row r="19" customFormat="false" ht="15" hidden="false" customHeight="true" outlineLevel="0" collapsed="false">
      <c r="A19" s="36"/>
      <c r="B19" s="36"/>
      <c r="C19" s="36"/>
      <c r="D19" s="36"/>
      <c r="E19" s="36"/>
      <c r="F19" s="47" t="str">
        <f aca="false">IF($D19="","",IF($E19="Yes",$D19*VATRate,0))</f>
        <v/>
      </c>
      <c r="G19" s="47" t="str">
        <f aca="false">IF($D19="","",$D19+IF($F19="",0,$F19))</f>
        <v/>
      </c>
      <c r="H19" s="36"/>
    </row>
    <row r="20" customFormat="false" ht="15" hidden="false" customHeight="true" outlineLevel="0" collapsed="false">
      <c r="A20" s="38"/>
      <c r="B20" s="38"/>
      <c r="C20" s="38"/>
      <c r="D20" s="38"/>
      <c r="E20" s="38"/>
      <c r="F20" s="54" t="str">
        <f aca="false">IF($D20="","",IF($E20="Yes",$D20*VATRate,0))</f>
        <v/>
      </c>
      <c r="G20" s="54" t="str">
        <f aca="false">IF($D20="","",$D20+IF($F20="",0,$F20))</f>
        <v/>
      </c>
      <c r="H20" s="38"/>
    </row>
    <row r="21" customFormat="false" ht="15" hidden="false" customHeight="true" outlineLevel="0" collapsed="false">
      <c r="A21" s="36"/>
      <c r="B21" s="36"/>
      <c r="C21" s="36"/>
      <c r="D21" s="36"/>
      <c r="E21" s="36"/>
      <c r="F21" s="47" t="str">
        <f aca="false">IF($D21="","",IF($E21="Yes",$D21*VATRate,0))</f>
        <v/>
      </c>
      <c r="G21" s="47" t="str">
        <f aca="false">IF($D21="","",$D21+IF($F21="",0,$F21))</f>
        <v/>
      </c>
      <c r="H21" s="36"/>
    </row>
    <row r="22" customFormat="false" ht="15" hidden="false" customHeight="true" outlineLevel="0" collapsed="false">
      <c r="A22" s="38"/>
      <c r="B22" s="38"/>
      <c r="C22" s="38"/>
      <c r="D22" s="38"/>
      <c r="E22" s="38"/>
      <c r="F22" s="54" t="str">
        <f aca="false">IF($D22="","",IF($E22="Yes",$D22*VATRate,0))</f>
        <v/>
      </c>
      <c r="G22" s="54" t="str">
        <f aca="false">IF($D22="","",$D22+IF($F22="",0,$F22))</f>
        <v/>
      </c>
      <c r="H22" s="38"/>
    </row>
    <row r="23" customFormat="false" ht="15" hidden="false" customHeight="true" outlineLevel="0" collapsed="false">
      <c r="A23" s="36"/>
      <c r="B23" s="36"/>
      <c r="C23" s="36"/>
      <c r="D23" s="36"/>
      <c r="E23" s="36"/>
      <c r="F23" s="47" t="str">
        <f aca="false">IF($D23="","",IF($E23="Yes",$D23*VATRate,0))</f>
        <v/>
      </c>
      <c r="G23" s="47" t="str">
        <f aca="false">IF($D23="","",$D23+IF($F23="",0,$F23))</f>
        <v/>
      </c>
      <c r="H23" s="36"/>
    </row>
    <row r="24" customFormat="false" ht="15" hidden="false" customHeight="true" outlineLevel="0" collapsed="false">
      <c r="A24" s="38"/>
      <c r="B24" s="38"/>
      <c r="C24" s="38"/>
      <c r="D24" s="38"/>
      <c r="E24" s="38"/>
      <c r="F24" s="54" t="str">
        <f aca="false">IF($D24="","",IF($E24="Yes",$D24*VATRate,0))</f>
        <v/>
      </c>
      <c r="G24" s="54" t="str">
        <f aca="false">IF($D24="","",$D24+IF($F24="",0,$F24))</f>
        <v/>
      </c>
      <c r="H24" s="38"/>
    </row>
    <row r="25" customFormat="false" ht="15" hidden="false" customHeight="true" outlineLevel="0" collapsed="false">
      <c r="A25" s="36"/>
      <c r="B25" s="36"/>
      <c r="C25" s="36"/>
      <c r="D25" s="36"/>
      <c r="E25" s="36"/>
      <c r="F25" s="47" t="str">
        <f aca="false">IF($D25="","",IF($E25="Yes",$D25*VATRate,0))</f>
        <v/>
      </c>
      <c r="G25" s="47" t="str">
        <f aca="false">IF($D25="","",$D25+IF($F25="",0,$F25))</f>
        <v/>
      </c>
      <c r="H25" s="36"/>
    </row>
    <row r="26" customFormat="false" ht="15" hidden="false" customHeight="true" outlineLevel="0" collapsed="false">
      <c r="A26" s="38"/>
      <c r="B26" s="38"/>
      <c r="C26" s="38"/>
      <c r="D26" s="38"/>
      <c r="E26" s="38"/>
      <c r="F26" s="54" t="str">
        <f aca="false">IF($D26="","",IF($E26="Yes",$D26*VATRate,0))</f>
        <v/>
      </c>
      <c r="G26" s="54" t="str">
        <f aca="false">IF($D26="","",$D26+IF($F26="",0,$F26))</f>
        <v/>
      </c>
      <c r="H26" s="38"/>
    </row>
    <row r="27" customFormat="false" ht="15" hidden="false" customHeight="true" outlineLevel="0" collapsed="false">
      <c r="A27" s="36"/>
      <c r="B27" s="36"/>
      <c r="C27" s="36"/>
      <c r="D27" s="36"/>
      <c r="E27" s="36"/>
      <c r="F27" s="47" t="str">
        <f aca="false">IF($D27="","",IF($E27="Yes",$D27*VATRate,0))</f>
        <v/>
      </c>
      <c r="G27" s="47" t="str">
        <f aca="false">IF($D27="","",$D27+IF($F27="",0,$F27))</f>
        <v/>
      </c>
      <c r="H27" s="36"/>
    </row>
    <row r="28" customFormat="false" ht="15" hidden="false" customHeight="true" outlineLevel="0" collapsed="false">
      <c r="A28" s="38"/>
      <c r="B28" s="38"/>
      <c r="C28" s="38"/>
      <c r="D28" s="38"/>
      <c r="E28" s="38"/>
      <c r="F28" s="54" t="str">
        <f aca="false">IF($D28="","",IF($E28="Yes",$D28*VATRate,0))</f>
        <v/>
      </c>
      <c r="G28" s="54" t="str">
        <f aca="false">IF($D28="","",$D28+IF($F28="",0,$F28))</f>
        <v/>
      </c>
      <c r="H28" s="38"/>
    </row>
    <row r="29" customFormat="false" ht="15" hidden="false" customHeight="true" outlineLevel="0" collapsed="false">
      <c r="A29" s="36"/>
      <c r="B29" s="36"/>
      <c r="C29" s="36"/>
      <c r="D29" s="36"/>
      <c r="E29" s="36"/>
      <c r="F29" s="47" t="str">
        <f aca="false">IF($D29="","",IF($E29="Yes",$D29*VATRate,0))</f>
        <v/>
      </c>
      <c r="G29" s="47" t="str">
        <f aca="false">IF($D29="","",$D29+IF($F29="",0,$F29))</f>
        <v/>
      </c>
      <c r="H29" s="36"/>
    </row>
    <row r="30" customFormat="false" ht="15" hidden="false" customHeight="true" outlineLevel="0" collapsed="false">
      <c r="A30" s="38"/>
      <c r="B30" s="38"/>
      <c r="C30" s="38"/>
      <c r="D30" s="38"/>
      <c r="E30" s="38"/>
      <c r="F30" s="54" t="str">
        <f aca="false">IF($D30="","",IF($E30="Yes",$D30*VATRate,0))</f>
        <v/>
      </c>
      <c r="G30" s="54" t="str">
        <f aca="false">IF($D30="","",$D30+IF($F30="",0,$F30))</f>
        <v/>
      </c>
      <c r="H30" s="38"/>
    </row>
    <row r="31" customFormat="false" ht="15" hidden="false" customHeight="true" outlineLevel="0" collapsed="false">
      <c r="A31" s="36"/>
      <c r="B31" s="36"/>
      <c r="C31" s="36"/>
      <c r="D31" s="36"/>
      <c r="E31" s="36"/>
      <c r="F31" s="47" t="str">
        <f aca="false">IF($D31="","",IF($E31="Yes",$D31*VATRate,0))</f>
        <v/>
      </c>
      <c r="G31" s="47" t="str">
        <f aca="false">IF($D31="","",$D31+IF($F31="",0,$F31))</f>
        <v/>
      </c>
      <c r="H31" s="36"/>
    </row>
    <row r="32" customFormat="false" ht="15" hidden="false" customHeight="true" outlineLevel="0" collapsed="false">
      <c r="A32" s="38"/>
      <c r="B32" s="38"/>
      <c r="C32" s="38"/>
      <c r="D32" s="38"/>
      <c r="E32" s="38"/>
      <c r="F32" s="54" t="str">
        <f aca="false">IF($D32="","",IF($E32="Yes",$D32*VATRate,0))</f>
        <v/>
      </c>
      <c r="G32" s="54" t="str">
        <f aca="false">IF($D32="","",$D32+IF($F32="",0,$F32))</f>
        <v/>
      </c>
      <c r="H32" s="38"/>
    </row>
    <row r="33" customFormat="false" ht="15" hidden="false" customHeight="true" outlineLevel="0" collapsed="false">
      <c r="A33" s="36"/>
      <c r="B33" s="36"/>
      <c r="C33" s="36"/>
      <c r="D33" s="36"/>
      <c r="E33" s="36"/>
      <c r="F33" s="47" t="str">
        <f aca="false">IF($D33="","",IF($E33="Yes",$D33*VATRate,0))</f>
        <v/>
      </c>
      <c r="G33" s="47" t="str">
        <f aca="false">IF($D33="","",$D33+IF($F33="",0,$F33))</f>
        <v/>
      </c>
      <c r="H33" s="36"/>
    </row>
    <row r="34" customFormat="false" ht="15" hidden="false" customHeight="true" outlineLevel="0" collapsed="false">
      <c r="A34" s="38"/>
      <c r="B34" s="38"/>
      <c r="C34" s="38"/>
      <c r="D34" s="38"/>
      <c r="E34" s="38"/>
      <c r="F34" s="54" t="str">
        <f aca="false">IF($D34="","",IF($E34="Yes",$D34*VATRate,0))</f>
        <v/>
      </c>
      <c r="G34" s="54" t="str">
        <f aca="false">IF($D34="","",$D34+IF($F34="",0,$F34))</f>
        <v/>
      </c>
      <c r="H34" s="38"/>
    </row>
    <row r="35" customFormat="false" ht="15" hidden="false" customHeight="true" outlineLevel="0" collapsed="false">
      <c r="A35" s="36"/>
      <c r="B35" s="36"/>
      <c r="C35" s="36"/>
      <c r="D35" s="36"/>
      <c r="E35" s="36"/>
      <c r="F35" s="47" t="str">
        <f aca="false">IF($D35="","",IF($E35="Yes",$D35*VATRate,0))</f>
        <v/>
      </c>
      <c r="G35" s="47" t="str">
        <f aca="false">IF($D35="","",$D35+IF($F35="",0,$F35))</f>
        <v/>
      </c>
      <c r="H35" s="36"/>
    </row>
    <row r="36" customFormat="false" ht="15" hidden="false" customHeight="true" outlineLevel="0" collapsed="false">
      <c r="A36" s="38"/>
      <c r="B36" s="38"/>
      <c r="C36" s="38"/>
      <c r="D36" s="38"/>
      <c r="E36" s="38"/>
      <c r="F36" s="54" t="str">
        <f aca="false">IF($D36="","",IF($E36="Yes",$D36*VATRate,0))</f>
        <v/>
      </c>
      <c r="G36" s="54" t="str">
        <f aca="false">IF($D36="","",$D36+IF($F36="",0,$F36))</f>
        <v/>
      </c>
      <c r="H36" s="38"/>
    </row>
    <row r="37" customFormat="false" ht="15" hidden="false" customHeight="true" outlineLevel="0" collapsed="false">
      <c r="A37" s="36"/>
      <c r="B37" s="36"/>
      <c r="C37" s="36"/>
      <c r="D37" s="36"/>
      <c r="E37" s="36"/>
      <c r="F37" s="47" t="str">
        <f aca="false">IF($D37="","",IF($E37="Yes",$D37*VATRate,0))</f>
        <v/>
      </c>
      <c r="G37" s="47" t="str">
        <f aca="false">IF($D37="","",$D37+IF($F37="",0,$F37))</f>
        <v/>
      </c>
      <c r="H37" s="36"/>
    </row>
    <row r="38" customFormat="false" ht="15" hidden="false" customHeight="true" outlineLevel="0" collapsed="false">
      <c r="A38" s="38"/>
      <c r="B38" s="38"/>
      <c r="C38" s="38"/>
      <c r="D38" s="38"/>
      <c r="E38" s="38"/>
      <c r="F38" s="54" t="str">
        <f aca="false">IF($D38="","",IF($E38="Yes",$D38*VATRate,0))</f>
        <v/>
      </c>
      <c r="G38" s="54" t="str">
        <f aca="false">IF($D38="","",$D38+IF($F38="",0,$F38))</f>
        <v/>
      </c>
      <c r="H38" s="38"/>
    </row>
    <row r="39" customFormat="false" ht="15" hidden="false" customHeight="true" outlineLevel="0" collapsed="false">
      <c r="A39" s="36"/>
      <c r="B39" s="36"/>
      <c r="C39" s="36"/>
      <c r="D39" s="36"/>
      <c r="E39" s="36"/>
      <c r="F39" s="47" t="str">
        <f aca="false">IF($D39="","",IF($E39="Yes",$D39*VATRate,0))</f>
        <v/>
      </c>
      <c r="G39" s="47" t="str">
        <f aca="false">IF($D39="","",$D39+IF($F39="",0,$F39))</f>
        <v/>
      </c>
      <c r="H39" s="36"/>
    </row>
    <row r="40" customFormat="false" ht="15" hidden="false" customHeight="true" outlineLevel="0" collapsed="false">
      <c r="A40" s="38"/>
      <c r="B40" s="38"/>
      <c r="C40" s="38"/>
      <c r="D40" s="38"/>
      <c r="E40" s="38"/>
      <c r="F40" s="54" t="str">
        <f aca="false">IF($D40="","",IF($E40="Yes",$D40*VATRate,0))</f>
        <v/>
      </c>
      <c r="G40" s="54" t="str">
        <f aca="false">IF($D40="","",$D40+IF($F40="",0,$F40))</f>
        <v/>
      </c>
      <c r="H40" s="38"/>
    </row>
    <row r="41" customFormat="false" ht="15" hidden="false" customHeight="true" outlineLevel="0" collapsed="false">
      <c r="A41" s="36"/>
      <c r="B41" s="36"/>
      <c r="C41" s="36"/>
      <c r="D41" s="36"/>
      <c r="E41" s="36"/>
      <c r="F41" s="47" t="str">
        <f aca="false">IF($D41="","",IF($E41="Yes",$D41*VATRate,0))</f>
        <v/>
      </c>
      <c r="G41" s="47" t="str">
        <f aca="false">IF($D41="","",$D41+IF($F41="",0,$F41))</f>
        <v/>
      </c>
      <c r="H41" s="36"/>
    </row>
    <row r="42" customFormat="false" ht="15" hidden="false" customHeight="true" outlineLevel="0" collapsed="false">
      <c r="A42" s="38"/>
      <c r="B42" s="38"/>
      <c r="C42" s="38"/>
      <c r="D42" s="38"/>
      <c r="E42" s="38"/>
      <c r="F42" s="54" t="str">
        <f aca="false">IF($D42="","",IF($E42="Yes",$D42*VATRate,0))</f>
        <v/>
      </c>
      <c r="G42" s="54" t="str">
        <f aca="false">IF($D42="","",$D42+IF($F42="",0,$F42))</f>
        <v/>
      </c>
      <c r="H42" s="38"/>
    </row>
    <row r="43" customFormat="false" ht="15" hidden="false" customHeight="true" outlineLevel="0" collapsed="false">
      <c r="A43" s="36"/>
      <c r="B43" s="36"/>
      <c r="C43" s="36"/>
      <c r="D43" s="36"/>
      <c r="E43" s="36"/>
      <c r="F43" s="47" t="str">
        <f aca="false">IF($D43="","",IF($E43="Yes",$D43*VATRate,0))</f>
        <v/>
      </c>
      <c r="G43" s="47" t="str">
        <f aca="false">IF($D43="","",$D43+IF($F43="",0,$F43))</f>
        <v/>
      </c>
      <c r="H43" s="36"/>
    </row>
    <row r="44" customFormat="false" ht="15" hidden="false" customHeight="true" outlineLevel="0" collapsed="false">
      <c r="A44" s="38"/>
      <c r="B44" s="38"/>
      <c r="C44" s="38"/>
      <c r="D44" s="38"/>
      <c r="E44" s="38"/>
      <c r="F44" s="54" t="str">
        <f aca="false">IF($D44="","",IF($E44="Yes",$D44*VATRate,0))</f>
        <v/>
      </c>
      <c r="G44" s="54" t="str">
        <f aca="false">IF($D44="","",$D44+IF($F44="",0,$F44))</f>
        <v/>
      </c>
      <c r="H44" s="38"/>
    </row>
  </sheetData>
  <mergeCells count="2">
    <mergeCell ref="A1:H1"/>
    <mergeCell ref="A2:H2"/>
  </mergeCells>
  <dataValidations count="2">
    <dataValidation allowBlank="true" error="Pick from the list" errorStyle="stop" errorTitle="Invalid entry" operator="between" showDropDown="false" showErrorMessage="false" showInputMessage="false" sqref="C5:C44" type="list">
      <formula1>CatList</formula1>
      <formula2>0</formula2>
    </dataValidation>
    <dataValidation allowBlank="true" error="Pick from the list" errorStyle="stop" errorTitle="Invalid entry" operator="between" showDropDown="false" showErrorMessage="false" showInputMessage="false" sqref="E5:E4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4" min="3" style="1" width="12"/>
    <col collapsed="false" customWidth="true" hidden="false" outlineLevel="0" max="5" min="5" style="1" width="13"/>
    <col collapsed="false" customWidth="true" hidden="false" outlineLevel="0" max="9" min="6" style="1" width="11"/>
    <col collapsed="false" customWidth="true" hidden="false" outlineLevel="0" max="10" min="10" style="1" width="12"/>
    <col collapsed="false" customWidth="true" hidden="false" outlineLevel="0" max="11" min="11" style="1" width="15"/>
    <col collapsed="false" customWidth="true" hidden="false" outlineLevel="0" max="12" min="12" style="1" width="24"/>
  </cols>
  <sheetData>
    <row r="1" customFormat="false" ht="27.75" hidden="false" customHeight="true" outlineLevel="0" collapsed="false">
      <c r="A1" s="17" t="s">
        <v>234</v>
      </c>
      <c r="B1" s="17"/>
      <c r="C1" s="17"/>
      <c r="D1" s="17"/>
      <c r="E1" s="17"/>
      <c r="F1" s="17"/>
      <c r="G1" s="17"/>
      <c r="H1" s="17"/>
      <c r="I1" s="17"/>
      <c r="J1" s="17"/>
      <c r="K1" s="17"/>
      <c r="L1" s="17"/>
    </row>
    <row r="2" customFormat="false" ht="15.75" hidden="false" customHeight="true" outlineLevel="0" collapsed="false">
      <c r="A2" s="18" t="s">
        <v>235</v>
      </c>
      <c r="B2" s="18"/>
      <c r="C2" s="18"/>
      <c r="D2" s="18"/>
      <c r="E2" s="18"/>
      <c r="F2" s="18"/>
      <c r="G2" s="18"/>
      <c r="H2" s="18"/>
      <c r="I2" s="18"/>
      <c r="J2" s="18"/>
      <c r="K2" s="18"/>
      <c r="L2" s="18"/>
    </row>
    <row r="4" customFormat="false" ht="30" hidden="false" customHeight="true" outlineLevel="0" collapsed="false">
      <c r="A4" s="20" t="s">
        <v>236</v>
      </c>
      <c r="B4" s="20" t="s">
        <v>237</v>
      </c>
      <c r="C4" s="20" t="s">
        <v>238</v>
      </c>
      <c r="D4" s="20" t="s">
        <v>239</v>
      </c>
      <c r="E4" s="20" t="s">
        <v>240</v>
      </c>
      <c r="F4" s="20" t="s">
        <v>241</v>
      </c>
      <c r="G4" s="20" t="s">
        <v>242</v>
      </c>
      <c r="H4" s="20" t="s">
        <v>243</v>
      </c>
      <c r="I4" s="20" t="s">
        <v>244</v>
      </c>
      <c r="J4" s="20" t="s">
        <v>211</v>
      </c>
      <c r="K4" s="20" t="s">
        <v>245</v>
      </c>
      <c r="L4" s="20" t="s">
        <v>226</v>
      </c>
    </row>
    <row r="5" customFormat="false" ht="15" hidden="false" customHeight="true" outlineLevel="0" collapsed="false">
      <c r="A5" s="60" t="n">
        <v>46142</v>
      </c>
      <c r="B5" s="39" t="n">
        <v>8000</v>
      </c>
      <c r="C5" s="39" t="n">
        <v>1200</v>
      </c>
      <c r="D5" s="39" t="n">
        <v>1200</v>
      </c>
      <c r="E5" s="42" t="n">
        <f aca="false">IF($A5="","",IF($C5="",0,$C5)-IF($D5="",0,$D5))</f>
        <v>0</v>
      </c>
      <c r="F5" s="39" t="n">
        <v>300</v>
      </c>
      <c r="G5" s="39" t="n">
        <v>150</v>
      </c>
      <c r="H5" s="39" t="n">
        <v>1000</v>
      </c>
      <c r="I5" s="39" t="n">
        <v>200</v>
      </c>
      <c r="J5" s="39" t="n">
        <v>200</v>
      </c>
      <c r="K5" s="42" t="n">
        <f aca="false">IF($A5="","",IF($B5="",0,$B5)+IF($F5="",0,$F5)+IF($G5="",0,$G5)+IF($H5="",0,$H5)+IF($I5="",0,$I5))</f>
        <v>9650</v>
      </c>
      <c r="L5" s="36"/>
    </row>
    <row r="6" customFormat="false" ht="15" hidden="false" customHeight="true" outlineLevel="0" collapsed="false">
      <c r="A6" s="60" t="n">
        <v>46173</v>
      </c>
      <c r="B6" s="39" t="n">
        <v>8000</v>
      </c>
      <c r="C6" s="39" t="n">
        <v>1200</v>
      </c>
      <c r="D6" s="39" t="n">
        <v>600</v>
      </c>
      <c r="E6" s="45" t="n">
        <f aca="false">IF($A6="","",IF($C6="",0,$C6)-IF($D6="",0,$D6))</f>
        <v>600</v>
      </c>
      <c r="F6" s="39" t="n">
        <v>300</v>
      </c>
      <c r="G6" s="39" t="n">
        <v>150</v>
      </c>
      <c r="H6" s="39" t="n">
        <v>1000</v>
      </c>
      <c r="I6" s="39" t="n">
        <v>250</v>
      </c>
      <c r="J6" s="39" t="n">
        <v>200</v>
      </c>
      <c r="K6" s="45" t="n">
        <f aca="false">IF($A6="","",IF($B6="",0,$B6)+IF($F6="",0,$F6)+IF($G6="",0,$G6)+IF($H6="",0,$H6)+IF($I6="",0,$I6))</f>
        <v>9700</v>
      </c>
      <c r="L6" s="38"/>
    </row>
    <row r="7" customFormat="false" ht="15" hidden="false" customHeight="true" outlineLevel="0" collapsed="false">
      <c r="A7" s="60" t="n">
        <v>46203</v>
      </c>
      <c r="B7" s="39" t="n">
        <v>8500</v>
      </c>
      <c r="C7" s="39" t="n">
        <v>1300</v>
      </c>
      <c r="D7" s="39" t="n">
        <v>0</v>
      </c>
      <c r="E7" s="42" t="n">
        <f aca="false">IF($A7="","",IF($C7="",0,$C7)-IF($D7="",0,$D7))</f>
        <v>1300</v>
      </c>
      <c r="F7" s="39" t="n">
        <v>300</v>
      </c>
      <c r="G7" s="39" t="n">
        <v>150</v>
      </c>
      <c r="H7" s="39" t="n">
        <v>1000</v>
      </c>
      <c r="I7" s="39" t="n">
        <v>300</v>
      </c>
      <c r="J7" s="39" t="n">
        <v>200</v>
      </c>
      <c r="K7" s="42" t="n">
        <f aca="false">IF($A7="","",IF($B7="",0,$B7)+IF($F7="",0,$F7)+IF($G7="",0,$G7)+IF($H7="",0,$H7)+IF($I7="",0,$I7))</f>
        <v>10250</v>
      </c>
      <c r="L7" s="36"/>
    </row>
    <row r="8" customFormat="false" ht="15" hidden="false" customHeight="true" outlineLevel="0" collapsed="false">
      <c r="A8" s="60" t="n">
        <v>46142</v>
      </c>
      <c r="B8" s="39" t="n">
        <v>9200</v>
      </c>
      <c r="C8" s="39" t="n">
        <v>1380</v>
      </c>
      <c r="D8" s="39" t="n">
        <v>1380</v>
      </c>
      <c r="E8" s="42" t="n">
        <f aca="false">IF($A8="","",IF($C8="",0,$C8)-IF($D8="",0,$D8))</f>
        <v>0</v>
      </c>
      <c r="F8" s="39" t="n">
        <v>300</v>
      </c>
      <c r="G8" s="39" t="n">
        <v>150</v>
      </c>
      <c r="H8" s="39" t="n">
        <v>1000</v>
      </c>
      <c r="I8" s="39" t="n">
        <v>240</v>
      </c>
      <c r="J8" s="39" t="n">
        <v>210</v>
      </c>
      <c r="K8" s="42" t="n">
        <f aca="false">IF($A8="","",IF($B8="",0,$B8)+IF($F8="",0,$F8)+IF($G8="",0,$G8)+IF($H8="",0,$H8)+IF($I8="",0,$I8))</f>
        <v>10890</v>
      </c>
      <c r="L8" s="36" t="s">
        <v>154</v>
      </c>
    </row>
    <row r="9" customFormat="false" ht="15" hidden="false" customHeight="true" outlineLevel="0" collapsed="false">
      <c r="A9" s="60" t="n">
        <v>46173</v>
      </c>
      <c r="B9" s="39" t="n">
        <v>9200</v>
      </c>
      <c r="C9" s="39" t="n">
        <v>1380</v>
      </c>
      <c r="D9" s="39" t="n">
        <v>900</v>
      </c>
      <c r="E9" s="42" t="n">
        <f aca="false">IF($A9="","",IF($C9="",0,$C9)-IF($D9="",0,$D9))</f>
        <v>480</v>
      </c>
      <c r="F9" s="39" t="n">
        <v>300</v>
      </c>
      <c r="G9" s="39" t="n">
        <v>150</v>
      </c>
      <c r="H9" s="39" t="n">
        <v>1000</v>
      </c>
      <c r="I9" s="39" t="n">
        <v>310</v>
      </c>
      <c r="J9" s="39" t="n">
        <v>205</v>
      </c>
      <c r="K9" s="42" t="n">
        <f aca="false">IF($A9="","",IF($B9="",0,$B9)+IF($F9="",0,$F9)+IF($G9="",0,$G9)+IF($H9="",0,$H9)+IF($I9="",0,$I9))</f>
        <v>10960</v>
      </c>
      <c r="L9" s="36" t="s">
        <v>154</v>
      </c>
    </row>
    <row r="10" customFormat="false" ht="15" hidden="false" customHeight="true" outlineLevel="0" collapsed="false">
      <c r="A10" s="60" t="n">
        <v>46203</v>
      </c>
      <c r="B10" s="39" t="n">
        <v>9650</v>
      </c>
      <c r="C10" s="39" t="n">
        <v>1447</v>
      </c>
      <c r="D10" s="39" t="n">
        <v>0</v>
      </c>
      <c r="E10" s="42" t="n">
        <f aca="false">IF($A10="","",IF($C10="",0,$C10)-IF($D10="",0,$D10))</f>
        <v>1447</v>
      </c>
      <c r="F10" s="39" t="n">
        <v>300</v>
      </c>
      <c r="G10" s="39" t="n">
        <v>150</v>
      </c>
      <c r="H10" s="39" t="n">
        <v>1000</v>
      </c>
      <c r="I10" s="39" t="n">
        <v>180</v>
      </c>
      <c r="J10" s="39" t="n">
        <v>198</v>
      </c>
      <c r="K10" s="42" t="n">
        <f aca="false">IF($A10="","",IF($B10="",0,$B10)+IF($F10="",0,$F10)+IF($G10="",0,$G10)+IF($H10="",0,$H10)+IF($I10="",0,$I10))</f>
        <v>11280</v>
      </c>
      <c r="L10" s="36" t="s">
        <v>154</v>
      </c>
    </row>
    <row r="11" customFormat="false" ht="15" hidden="false" customHeight="true" outlineLevel="0" collapsed="false">
      <c r="A11" s="36"/>
      <c r="B11" s="36"/>
      <c r="C11" s="36"/>
      <c r="D11" s="36"/>
      <c r="E11" s="42" t="str">
        <f aca="false">IF($A11="","",IF($C11="",0,$C11)-IF($D11="",0,$D11))</f>
        <v/>
      </c>
      <c r="F11" s="36"/>
      <c r="G11" s="36"/>
      <c r="H11" s="36"/>
      <c r="I11" s="36"/>
      <c r="J11" s="36"/>
      <c r="K11" s="42" t="str">
        <f aca="false">IF($A11="","",IF($B11="",0,$B11)+IF($F11="",0,$F11)+IF($G11="",0,$G11)+IF($H11="",0,$H11)+IF($I11="",0,$I11))</f>
        <v/>
      </c>
      <c r="L11" s="36"/>
    </row>
    <row r="12" customFormat="false" ht="15" hidden="false" customHeight="true" outlineLevel="0" collapsed="false">
      <c r="A12" s="38"/>
      <c r="B12" s="38"/>
      <c r="C12" s="38"/>
      <c r="D12" s="38"/>
      <c r="E12" s="45" t="str">
        <f aca="false">IF($A12="","",IF($C12="",0,$C12)-IF($D12="",0,$D12))</f>
        <v/>
      </c>
      <c r="F12" s="38"/>
      <c r="G12" s="38"/>
      <c r="H12" s="38"/>
      <c r="I12" s="38"/>
      <c r="J12" s="38"/>
      <c r="K12" s="45" t="str">
        <f aca="false">IF($A12="","",IF($B12="",0,$B12)+IF($F12="",0,$F12)+IF($G12="",0,$G12)+IF($H12="",0,$H12)+IF($I12="",0,$I12))</f>
        <v/>
      </c>
      <c r="L12" s="38"/>
    </row>
    <row r="13" customFormat="false" ht="15" hidden="false" customHeight="true" outlineLevel="0" collapsed="false">
      <c r="A13" s="36"/>
      <c r="B13" s="36"/>
      <c r="C13" s="36"/>
      <c r="D13" s="36"/>
      <c r="E13" s="42" t="str">
        <f aca="false">IF($A13="","",IF($C13="",0,$C13)-IF($D13="",0,$D13))</f>
        <v/>
      </c>
      <c r="F13" s="36"/>
      <c r="G13" s="36"/>
      <c r="H13" s="36"/>
      <c r="I13" s="36"/>
      <c r="J13" s="36"/>
      <c r="K13" s="42" t="str">
        <f aca="false">IF($A13="","",IF($B13="",0,$B13)+IF($F13="",0,$F13)+IF($G13="",0,$G13)+IF($H13="",0,$H13)+IF($I13="",0,$I13))</f>
        <v/>
      </c>
      <c r="L13" s="36"/>
    </row>
    <row r="14" customFormat="false" ht="15" hidden="false" customHeight="true" outlineLevel="0" collapsed="false">
      <c r="A14" s="38"/>
      <c r="B14" s="38"/>
      <c r="C14" s="38"/>
      <c r="D14" s="38"/>
      <c r="E14" s="45" t="str">
        <f aca="false">IF($A14="","",IF($C14="",0,$C14)-IF($D14="",0,$D14))</f>
        <v/>
      </c>
      <c r="F14" s="38"/>
      <c r="G14" s="38"/>
      <c r="H14" s="38"/>
      <c r="I14" s="38"/>
      <c r="J14" s="38"/>
      <c r="K14" s="45" t="str">
        <f aca="false">IF($A14="","",IF($B14="",0,$B14)+IF($F14="",0,$F14)+IF($G14="",0,$G14)+IF($H14="",0,$H14)+IF($I14="",0,$I14))</f>
        <v/>
      </c>
      <c r="L14" s="38"/>
    </row>
    <row r="15" customFormat="false" ht="15" hidden="false" customHeight="true" outlineLevel="0" collapsed="false">
      <c r="A15" s="36"/>
      <c r="B15" s="36"/>
      <c r="C15" s="36"/>
      <c r="D15" s="36"/>
      <c r="E15" s="42" t="str">
        <f aca="false">IF($A15="","",IF($C15="",0,$C15)-IF($D15="",0,$D15))</f>
        <v/>
      </c>
      <c r="F15" s="36"/>
      <c r="G15" s="36"/>
      <c r="H15" s="36"/>
      <c r="I15" s="36"/>
      <c r="J15" s="36"/>
      <c r="K15" s="42" t="str">
        <f aca="false">IF($A15="","",IF($B15="",0,$B15)+IF($F15="",0,$F15)+IF($G15="",0,$G15)+IF($H15="",0,$H15)+IF($I15="",0,$I15))</f>
        <v/>
      </c>
      <c r="L15" s="36"/>
    </row>
    <row r="16" customFormat="false" ht="15" hidden="false" customHeight="true" outlineLevel="0" collapsed="false">
      <c r="A16" s="38"/>
      <c r="B16" s="38"/>
      <c r="C16" s="38"/>
      <c r="D16" s="38"/>
      <c r="E16" s="45" t="str">
        <f aca="false">IF($A16="","",IF($C16="",0,$C16)-IF($D16="",0,$D16))</f>
        <v/>
      </c>
      <c r="F16" s="38"/>
      <c r="G16" s="38"/>
      <c r="H16" s="38"/>
      <c r="I16" s="38"/>
      <c r="J16" s="38"/>
      <c r="K16" s="45" t="str">
        <f aca="false">IF($A16="","",IF($B16="",0,$B16)+IF($F16="",0,$F16)+IF($G16="",0,$G16)+IF($H16="",0,$H16)+IF($I16="",0,$I16))</f>
        <v/>
      </c>
      <c r="L16" s="38"/>
    </row>
    <row r="17" customFormat="false" ht="15" hidden="false" customHeight="true" outlineLevel="0" collapsed="false">
      <c r="A17" s="36"/>
      <c r="B17" s="36"/>
      <c r="C17" s="36"/>
      <c r="D17" s="36"/>
      <c r="E17" s="42" t="str">
        <f aca="false">IF($A17="","",IF($C17="",0,$C17)-IF($D17="",0,$D17))</f>
        <v/>
      </c>
      <c r="F17" s="36"/>
      <c r="G17" s="36"/>
      <c r="H17" s="36"/>
      <c r="I17" s="36"/>
      <c r="J17" s="36"/>
      <c r="K17" s="42" t="str">
        <f aca="false">IF($A17="","",IF($B17="",0,$B17)+IF($F17="",0,$F17)+IF($G17="",0,$G17)+IF($H17="",0,$H17)+IF($I17="",0,$I17))</f>
        <v/>
      </c>
      <c r="L17" s="36"/>
    </row>
    <row r="18" customFormat="false" ht="15" hidden="false" customHeight="true" outlineLevel="0" collapsed="false">
      <c r="A18" s="38"/>
      <c r="B18" s="38"/>
      <c r="C18" s="38"/>
      <c r="D18" s="38"/>
      <c r="E18" s="45" t="str">
        <f aca="false">IF($A18="","",IF($C18="",0,$C18)-IF($D18="",0,$D18))</f>
        <v/>
      </c>
      <c r="F18" s="38"/>
      <c r="G18" s="38"/>
      <c r="H18" s="38"/>
      <c r="I18" s="38"/>
      <c r="J18" s="38"/>
      <c r="K18" s="45" t="str">
        <f aca="false">IF($A18="","",IF($B18="",0,$B18)+IF($F18="",0,$F18)+IF($G18="",0,$G18)+IF($H18="",0,$H18)+IF($I18="",0,$I18))</f>
        <v/>
      </c>
      <c r="L18" s="38"/>
    </row>
    <row r="19" customFormat="false" ht="15" hidden="false" customHeight="true" outlineLevel="0" collapsed="false">
      <c r="A19" s="36"/>
      <c r="B19" s="36"/>
      <c r="C19" s="36"/>
      <c r="D19" s="36"/>
      <c r="E19" s="42" t="str">
        <f aca="false">IF($A19="","",IF($C19="",0,$C19)-IF($D19="",0,$D19))</f>
        <v/>
      </c>
      <c r="F19" s="36"/>
      <c r="G19" s="36"/>
      <c r="H19" s="36"/>
      <c r="I19" s="36"/>
      <c r="J19" s="36"/>
      <c r="K19" s="42" t="str">
        <f aca="false">IF($A19="","",IF($B19="",0,$B19)+IF($F19="",0,$F19)+IF($G19="",0,$G19)+IF($H19="",0,$H19)+IF($I19="",0,$I19))</f>
        <v/>
      </c>
      <c r="L19" s="36"/>
    </row>
    <row r="20" customFormat="false" ht="15" hidden="false" customHeight="true" outlineLevel="0" collapsed="false">
      <c r="A20" s="38"/>
      <c r="B20" s="38"/>
      <c r="C20" s="38"/>
      <c r="D20" s="38"/>
      <c r="E20" s="45" t="str">
        <f aca="false">IF($A20="","",IF($C20="",0,$C20)-IF($D20="",0,$D20))</f>
        <v/>
      </c>
      <c r="F20" s="38"/>
      <c r="G20" s="38"/>
      <c r="H20" s="38"/>
      <c r="I20" s="38"/>
      <c r="J20" s="38"/>
      <c r="K20" s="45" t="str">
        <f aca="false">IF($A20="","",IF($B20="",0,$B20)+IF($F20="",0,$F20)+IF($G20="",0,$G20)+IF($H20="",0,$H20)+IF($I20="",0,$I20))</f>
        <v/>
      </c>
      <c r="L20" s="38"/>
    </row>
    <row r="21" customFormat="false" ht="15" hidden="false" customHeight="true" outlineLevel="0" collapsed="false">
      <c r="A21" s="36"/>
      <c r="B21" s="36"/>
      <c r="C21" s="36"/>
      <c r="D21" s="36"/>
      <c r="E21" s="42" t="str">
        <f aca="false">IF($A21="","",IF($C21="",0,$C21)-IF($D21="",0,$D21))</f>
        <v/>
      </c>
      <c r="F21" s="36"/>
      <c r="G21" s="36"/>
      <c r="H21" s="36"/>
      <c r="I21" s="36"/>
      <c r="J21" s="36"/>
      <c r="K21" s="42" t="str">
        <f aca="false">IF($A21="","",IF($B21="",0,$B21)+IF($F21="",0,$F21)+IF($G21="",0,$G21)+IF($H21="",0,$H21)+IF($I21="",0,$I21))</f>
        <v/>
      </c>
      <c r="L21" s="36"/>
    </row>
    <row r="22" customFormat="false" ht="15" hidden="false" customHeight="true" outlineLevel="0" collapsed="false">
      <c r="A22" s="38"/>
      <c r="B22" s="38"/>
      <c r="C22" s="38"/>
      <c r="D22" s="38"/>
      <c r="E22" s="45" t="str">
        <f aca="false">IF($A22="","",IF($C22="",0,$C22)-IF($D22="",0,$D22))</f>
        <v/>
      </c>
      <c r="F22" s="38"/>
      <c r="G22" s="38"/>
      <c r="H22" s="38"/>
      <c r="I22" s="38"/>
      <c r="J22" s="38"/>
      <c r="K22" s="45" t="str">
        <f aca="false">IF($A22="","",IF($B22="",0,$B22)+IF($F22="",0,$F22)+IF($G22="",0,$G22)+IF($H22="",0,$H22)+IF($I22="",0,$I22))</f>
        <v/>
      </c>
      <c r="L22" s="38"/>
    </row>
    <row r="23" customFormat="false" ht="15" hidden="false" customHeight="true" outlineLevel="0" collapsed="false">
      <c r="A23" s="36"/>
      <c r="B23" s="36"/>
      <c r="C23" s="36"/>
      <c r="D23" s="36"/>
      <c r="E23" s="42" t="str">
        <f aca="false">IF($A23="","",IF($C23="",0,$C23)-IF($D23="",0,$D23))</f>
        <v/>
      </c>
      <c r="F23" s="36"/>
      <c r="G23" s="36"/>
      <c r="H23" s="36"/>
      <c r="I23" s="36"/>
      <c r="J23" s="36"/>
      <c r="K23" s="42" t="str">
        <f aca="false">IF($A23="","",IF($B23="",0,$B23)+IF($F23="",0,$F23)+IF($G23="",0,$G23)+IF($H23="",0,$H23)+IF($I23="",0,$I23))</f>
        <v/>
      </c>
      <c r="L23" s="36"/>
    </row>
    <row r="24" customFormat="false" ht="15" hidden="false" customHeight="true" outlineLevel="0" collapsed="false">
      <c r="A24" s="38"/>
      <c r="B24" s="38"/>
      <c r="C24" s="38"/>
      <c r="D24" s="38"/>
      <c r="E24" s="45" t="str">
        <f aca="false">IF($A24="","",IF($C24="",0,$C24)-IF($D24="",0,$D24))</f>
        <v/>
      </c>
      <c r="F24" s="38"/>
      <c r="G24" s="38"/>
      <c r="H24" s="38"/>
      <c r="I24" s="38"/>
      <c r="J24" s="38"/>
      <c r="K24" s="45" t="str">
        <f aca="false">IF($A24="","",IF($B24="",0,$B24)+IF($F24="",0,$F24)+IF($G24="",0,$G24)+IF($H24="",0,$H24)+IF($I24="",0,$I24))</f>
        <v/>
      </c>
      <c r="L24" s="38"/>
    </row>
    <row r="25" customFormat="false" ht="15" hidden="false" customHeight="true" outlineLevel="0" collapsed="false">
      <c r="A25" s="36"/>
      <c r="B25" s="36"/>
      <c r="C25" s="36"/>
      <c r="D25" s="36"/>
      <c r="E25" s="42" t="str">
        <f aca="false">IF($A25="","",IF($C25="",0,$C25)-IF($D25="",0,$D25))</f>
        <v/>
      </c>
      <c r="F25" s="36"/>
      <c r="G25" s="36"/>
      <c r="H25" s="36"/>
      <c r="I25" s="36"/>
      <c r="J25" s="36"/>
      <c r="K25" s="42" t="str">
        <f aca="false">IF($A25="","",IF($B25="",0,$B25)+IF($F25="",0,$F25)+IF($G25="",0,$G25)+IF($H25="",0,$H25)+IF($I25="",0,$I25))</f>
        <v/>
      </c>
      <c r="L25" s="36"/>
    </row>
    <row r="26" customFormat="false" ht="15" hidden="false" customHeight="true" outlineLevel="0" collapsed="false">
      <c r="A26" s="38"/>
      <c r="B26" s="38"/>
      <c r="C26" s="38"/>
      <c r="D26" s="38"/>
      <c r="E26" s="45" t="str">
        <f aca="false">IF($A26="","",IF($C26="",0,$C26)-IF($D26="",0,$D26))</f>
        <v/>
      </c>
      <c r="F26" s="38"/>
      <c r="G26" s="38"/>
      <c r="H26" s="38"/>
      <c r="I26" s="38"/>
      <c r="J26" s="38"/>
      <c r="K26" s="45" t="str">
        <f aca="false">IF($A26="","",IF($B26="",0,$B26)+IF($F26="",0,$F26)+IF($G26="",0,$G26)+IF($H26="",0,$H26)+IF($I26="",0,$I26))</f>
        <v/>
      </c>
      <c r="L26" s="38"/>
    </row>
    <row r="27" customFormat="false" ht="15" hidden="false" customHeight="true" outlineLevel="0" collapsed="false">
      <c r="A27" s="36"/>
      <c r="B27" s="36"/>
      <c r="C27" s="36"/>
      <c r="D27" s="36"/>
      <c r="E27" s="42" t="str">
        <f aca="false">IF($A27="","",IF($C27="",0,$C27)-IF($D27="",0,$D27))</f>
        <v/>
      </c>
      <c r="F27" s="36"/>
      <c r="G27" s="36"/>
      <c r="H27" s="36"/>
      <c r="I27" s="36"/>
      <c r="J27" s="36"/>
      <c r="K27" s="42" t="str">
        <f aca="false">IF($A27="","",IF($B27="",0,$B27)+IF($F27="",0,$F27)+IF($G27="",0,$G27)+IF($H27="",0,$H27)+IF($I27="",0,$I27))</f>
        <v/>
      </c>
      <c r="L27" s="36"/>
    </row>
    <row r="28" customFormat="false" ht="15" hidden="false" customHeight="true" outlineLevel="0" collapsed="false">
      <c r="A28" s="38"/>
      <c r="B28" s="38"/>
      <c r="C28" s="38"/>
      <c r="D28" s="38"/>
      <c r="E28" s="45" t="str">
        <f aca="false">IF($A28="","",IF($C28="",0,$C28)-IF($D28="",0,$D28))</f>
        <v/>
      </c>
      <c r="F28" s="38"/>
      <c r="G28" s="38"/>
      <c r="H28" s="38"/>
      <c r="I28" s="38"/>
      <c r="J28" s="38"/>
      <c r="K28" s="45" t="str">
        <f aca="false">IF($A28="","",IF($B28="",0,$B28)+IF($F28="",0,$F28)+IF($G28="",0,$G28)+IF($H28="",0,$H28)+IF($I28="",0,$I28))</f>
        <v/>
      </c>
      <c r="L28" s="38"/>
    </row>
    <row r="29" customFormat="false" ht="15" hidden="false" customHeight="true" outlineLevel="0" collapsed="false">
      <c r="A29" s="36"/>
      <c r="B29" s="36"/>
      <c r="C29" s="36"/>
      <c r="D29" s="36"/>
      <c r="E29" s="42" t="str">
        <f aca="false">IF($A29="","",IF($C29="",0,$C29)-IF($D29="",0,$D29))</f>
        <v/>
      </c>
      <c r="F29" s="36"/>
      <c r="G29" s="36"/>
      <c r="H29" s="36"/>
      <c r="I29" s="36"/>
      <c r="J29" s="36"/>
      <c r="K29" s="42" t="str">
        <f aca="false">IF($A29="","",IF($B29="",0,$B29)+IF($F29="",0,$F29)+IF($G29="",0,$G29)+IF($H29="",0,$H29)+IF($I29="",0,$I29))</f>
        <v/>
      </c>
      <c r="L29" s="36"/>
    </row>
    <row r="30" customFormat="false" ht="15" hidden="false" customHeight="true" outlineLevel="0" collapsed="false">
      <c r="A30" s="38"/>
      <c r="B30" s="38"/>
      <c r="C30" s="38"/>
      <c r="D30" s="38"/>
      <c r="E30" s="45" t="str">
        <f aca="false">IF($A30="","",IF($C30="",0,$C30)-IF($D30="",0,$D30))</f>
        <v/>
      </c>
      <c r="F30" s="38"/>
      <c r="G30" s="38"/>
      <c r="H30" s="38"/>
      <c r="I30" s="38"/>
      <c r="J30" s="38"/>
      <c r="K30" s="45" t="str">
        <f aca="false">IF($A30="","",IF($B30="",0,$B30)+IF($F30="",0,$F30)+IF($G30="",0,$G30)+IF($H30="",0,$H30)+IF($I30="",0,$I30))</f>
        <v/>
      </c>
      <c r="L30" s="38"/>
    </row>
    <row r="31" customFormat="false" ht="15" hidden="false" customHeight="true" outlineLevel="0" collapsed="false">
      <c r="A31" s="36"/>
      <c r="B31" s="36"/>
      <c r="C31" s="36"/>
      <c r="D31" s="36"/>
      <c r="E31" s="42" t="str">
        <f aca="false">IF($A31="","",IF($C31="",0,$C31)-IF($D31="",0,$D31))</f>
        <v/>
      </c>
      <c r="F31" s="36"/>
      <c r="G31" s="36"/>
      <c r="H31" s="36"/>
      <c r="I31" s="36"/>
      <c r="J31" s="36"/>
      <c r="K31" s="42" t="str">
        <f aca="false">IF($A31="","",IF($B31="",0,$B31)+IF($F31="",0,$F31)+IF($G31="",0,$G31)+IF($H31="",0,$H31)+IF($I31="",0,$I31))</f>
        <v/>
      </c>
      <c r="L31" s="36"/>
    </row>
    <row r="32" customFormat="false" ht="15" hidden="false" customHeight="true" outlineLevel="0" collapsed="false">
      <c r="A32" s="38"/>
      <c r="B32" s="38"/>
      <c r="C32" s="38"/>
      <c r="D32" s="38"/>
      <c r="E32" s="45" t="str">
        <f aca="false">IF($A32="","",IF($C32="",0,$C32)-IF($D32="",0,$D32))</f>
        <v/>
      </c>
      <c r="F32" s="38"/>
      <c r="G32" s="38"/>
      <c r="H32" s="38"/>
      <c r="I32" s="38"/>
      <c r="J32" s="38"/>
      <c r="K32" s="45" t="str">
        <f aca="false">IF($A32="","",IF($B32="",0,$B32)+IF($F32="",0,$F32)+IF($G32="",0,$G32)+IF($H32="",0,$H32)+IF($I32="",0,$I32))</f>
        <v/>
      </c>
      <c r="L32" s="38"/>
    </row>
    <row r="33" customFormat="false" ht="15" hidden="false" customHeight="true" outlineLevel="0" collapsed="false">
      <c r="A33" s="36"/>
      <c r="B33" s="36"/>
      <c r="C33" s="36"/>
      <c r="D33" s="36"/>
      <c r="E33" s="42" t="str">
        <f aca="false">IF($A33="","",IF($C33="",0,$C33)-IF($D33="",0,$D33))</f>
        <v/>
      </c>
      <c r="F33" s="36"/>
      <c r="G33" s="36"/>
      <c r="H33" s="36"/>
      <c r="I33" s="36"/>
      <c r="J33" s="36"/>
      <c r="K33" s="42" t="str">
        <f aca="false">IF($A33="","",IF($B33="",0,$B33)+IF($F33="",0,$F33)+IF($G33="",0,$G33)+IF($H33="",0,$H33)+IF($I33="",0,$I33))</f>
        <v/>
      </c>
      <c r="L33" s="36"/>
    </row>
    <row r="34" customFormat="false" ht="15" hidden="false" customHeight="true" outlineLevel="0" collapsed="false">
      <c r="A34" s="38"/>
      <c r="B34" s="38"/>
      <c r="C34" s="38"/>
      <c r="D34" s="38"/>
      <c r="E34" s="45" t="str">
        <f aca="false">IF($A34="","",IF($C34="",0,$C34)-IF($D34="",0,$D34))</f>
        <v/>
      </c>
      <c r="F34" s="38"/>
      <c r="G34" s="38"/>
      <c r="H34" s="38"/>
      <c r="I34" s="38"/>
      <c r="J34" s="38"/>
      <c r="K34" s="45" t="str">
        <f aca="false">IF($A34="","",IF($B34="",0,$B34)+IF($F34="",0,$F34)+IF($G34="",0,$G34)+IF($H34="",0,$H34)+IF($I34="",0,$I34))</f>
        <v/>
      </c>
      <c r="L34" s="38"/>
    </row>
    <row r="35" customFormat="false" ht="15" hidden="false" customHeight="true" outlineLevel="0" collapsed="false">
      <c r="A35" s="36"/>
      <c r="B35" s="36"/>
      <c r="C35" s="36"/>
      <c r="D35" s="36"/>
      <c r="E35" s="42" t="str">
        <f aca="false">IF($A35="","",IF($C35="",0,$C35)-IF($D35="",0,$D35))</f>
        <v/>
      </c>
      <c r="F35" s="36"/>
      <c r="G35" s="36"/>
      <c r="H35" s="36"/>
      <c r="I35" s="36"/>
      <c r="J35" s="36"/>
      <c r="K35" s="42" t="str">
        <f aca="false">IF($A35="","",IF($B35="",0,$B35)+IF($F35="",0,$F35)+IF($G35="",0,$G35)+IF($H35="",0,$H35)+IF($I35="",0,$I35))</f>
        <v/>
      </c>
      <c r="L35" s="36"/>
    </row>
    <row r="36" customFormat="false" ht="15" hidden="false" customHeight="true" outlineLevel="0" collapsed="false">
      <c r="A36" s="38"/>
      <c r="B36" s="38"/>
      <c r="C36" s="38"/>
      <c r="D36" s="38"/>
      <c r="E36" s="45" t="str">
        <f aca="false">IF($A36="","",IF($C36="",0,$C36)-IF($D36="",0,$D36))</f>
        <v/>
      </c>
      <c r="F36" s="38"/>
      <c r="G36" s="38"/>
      <c r="H36" s="38"/>
      <c r="I36" s="38"/>
      <c r="J36" s="38"/>
      <c r="K36" s="45" t="str">
        <f aca="false">IF($A36="","",IF($B36="",0,$B36)+IF($F36="",0,$F36)+IF($G36="",0,$G36)+IF($H36="",0,$H36)+IF($I36="",0,$I36))</f>
        <v/>
      </c>
      <c r="L36" s="38"/>
    </row>
    <row r="37" customFormat="false" ht="15" hidden="false" customHeight="true" outlineLevel="0" collapsed="false">
      <c r="A37" s="36"/>
      <c r="B37" s="36"/>
      <c r="C37" s="36"/>
      <c r="D37" s="36"/>
      <c r="E37" s="42" t="str">
        <f aca="false">IF($A37="","",IF($C37="",0,$C37)-IF($D37="",0,$D37))</f>
        <v/>
      </c>
      <c r="F37" s="36"/>
      <c r="G37" s="36"/>
      <c r="H37" s="36"/>
      <c r="I37" s="36"/>
      <c r="J37" s="36"/>
      <c r="K37" s="42" t="str">
        <f aca="false">IF($A37="","",IF($B37="",0,$B37)+IF($F37="",0,$F37)+IF($G37="",0,$G37)+IF($H37="",0,$H37)+IF($I37="",0,$I37))</f>
        <v/>
      </c>
      <c r="L37" s="36"/>
    </row>
    <row r="38" customFormat="false" ht="15" hidden="false" customHeight="true" outlineLevel="0" collapsed="false">
      <c r="A38" s="38"/>
      <c r="B38" s="38"/>
      <c r="C38" s="38"/>
      <c r="D38" s="38"/>
      <c r="E38" s="45" t="str">
        <f aca="false">IF($A38="","",IF($C38="",0,$C38)-IF($D38="",0,$D38))</f>
        <v/>
      </c>
      <c r="F38" s="38"/>
      <c r="G38" s="38"/>
      <c r="H38" s="38"/>
      <c r="I38" s="38"/>
      <c r="J38" s="38"/>
      <c r="K38" s="45" t="str">
        <f aca="false">IF($A38="","",IF($B38="",0,$B38)+IF($F38="",0,$F38)+IF($G38="",0,$G38)+IF($H38="",0,$H38)+IF($I38="",0,$I38))</f>
        <v/>
      </c>
      <c r="L38" s="38"/>
    </row>
    <row r="39" customFormat="false" ht="15" hidden="false" customHeight="true" outlineLevel="0" collapsed="false">
      <c r="A39" s="36"/>
      <c r="B39" s="36"/>
      <c r="C39" s="36"/>
      <c r="D39" s="36"/>
      <c r="E39" s="42" t="str">
        <f aca="false">IF($A39="","",IF($C39="",0,$C39)-IF($D39="",0,$D39))</f>
        <v/>
      </c>
      <c r="F39" s="36"/>
      <c r="G39" s="36"/>
      <c r="H39" s="36"/>
      <c r="I39" s="36"/>
      <c r="J39" s="36"/>
      <c r="K39" s="42" t="str">
        <f aca="false">IF($A39="","",IF($B39="",0,$B39)+IF($F39="",0,$F39)+IF($G39="",0,$G39)+IF($H39="",0,$H39)+IF($I39="",0,$I39))</f>
        <v/>
      </c>
      <c r="L39" s="36"/>
    </row>
    <row r="40" customFormat="false" ht="15" hidden="false" customHeight="true" outlineLevel="0" collapsed="false">
      <c r="A40" s="38"/>
      <c r="B40" s="38"/>
      <c r="C40" s="38"/>
      <c r="D40" s="38"/>
      <c r="E40" s="45" t="str">
        <f aca="false">IF($A40="","",IF($C40="",0,$C40)-IF($D40="",0,$D40))</f>
        <v/>
      </c>
      <c r="F40" s="38"/>
      <c r="G40" s="38"/>
      <c r="H40" s="38"/>
      <c r="I40" s="38"/>
      <c r="J40" s="38"/>
      <c r="K40" s="45" t="str">
        <f aca="false">IF($A40="","",IF($B40="",0,$B40)+IF($F40="",0,$F40)+IF($G40="",0,$G40)+IF($H40="",0,$H40)+IF($I40="",0,$I40))</f>
        <v/>
      </c>
      <c r="L40" s="38"/>
    </row>
    <row r="41" customFormat="false" ht="15" hidden="false" customHeight="true" outlineLevel="0" collapsed="false">
      <c r="A41" s="36"/>
      <c r="B41" s="36"/>
      <c r="C41" s="36"/>
      <c r="D41" s="36"/>
      <c r="E41" s="42" t="str">
        <f aca="false">IF($A41="","",IF($C41="",0,$C41)-IF($D41="",0,$D41))</f>
        <v/>
      </c>
      <c r="F41" s="36"/>
      <c r="G41" s="36"/>
      <c r="H41" s="36"/>
      <c r="I41" s="36"/>
      <c r="J41" s="36"/>
      <c r="K41" s="42" t="str">
        <f aca="false">IF($A41="","",IF($B41="",0,$B41)+IF($F41="",0,$F41)+IF($G41="",0,$G41)+IF($H41="",0,$H41)+IF($I41="",0,$I41))</f>
        <v/>
      </c>
      <c r="L41" s="36"/>
    </row>
    <row r="42" customFormat="false" ht="15" hidden="false" customHeight="true" outlineLevel="0" collapsed="false">
      <c r="A42" s="38"/>
      <c r="B42" s="38"/>
      <c r="C42" s="38"/>
      <c r="D42" s="38"/>
      <c r="E42" s="45" t="str">
        <f aca="false">IF($A42="","",IF($C42="",0,$C42)-IF($D42="",0,$D42))</f>
        <v/>
      </c>
      <c r="F42" s="38"/>
      <c r="G42" s="38"/>
      <c r="H42" s="38"/>
      <c r="I42" s="38"/>
      <c r="J42" s="38"/>
      <c r="K42" s="45" t="str">
        <f aca="false">IF($A42="","",IF($B42="",0,$B42)+IF($F42="",0,$F42)+IF($G42="",0,$G42)+IF($H42="",0,$H42)+IF($I42="",0,$I42))</f>
        <v/>
      </c>
      <c r="L42" s="38"/>
    </row>
    <row r="43" customFormat="false" ht="15" hidden="false" customHeight="true" outlineLevel="0" collapsed="false">
      <c r="A43" s="36"/>
      <c r="B43" s="36"/>
      <c r="C43" s="36"/>
      <c r="D43" s="36"/>
      <c r="E43" s="42" t="str">
        <f aca="false">IF($A43="","",IF($C43="",0,$C43)-IF($D43="",0,$D43))</f>
        <v/>
      </c>
      <c r="F43" s="36"/>
      <c r="G43" s="36"/>
      <c r="H43" s="36"/>
      <c r="I43" s="36"/>
      <c r="J43" s="36"/>
      <c r="K43" s="42" t="str">
        <f aca="false">IF($A43="","",IF($B43="",0,$B43)+IF($F43="",0,$F43)+IF($G43="",0,$G43)+IF($H43="",0,$H43)+IF($I43="",0,$I43))</f>
        <v/>
      </c>
      <c r="L43" s="36"/>
    </row>
    <row r="44" customFormat="false" ht="15" hidden="false" customHeight="true" outlineLevel="0" collapsed="false">
      <c r="A44" s="38"/>
      <c r="B44" s="38"/>
      <c r="C44" s="38"/>
      <c r="D44" s="38"/>
      <c r="E44" s="45" t="str">
        <f aca="false">IF($A44="","",IF($C44="",0,$C44)-IF($D44="",0,$D44))</f>
        <v/>
      </c>
      <c r="F44" s="38"/>
      <c r="G44" s="38"/>
      <c r="H44" s="38"/>
      <c r="I44" s="38"/>
      <c r="J44" s="38"/>
      <c r="K44" s="45" t="str">
        <f aca="false">IF($A44="","",IF($B44="",0,$B44)+IF($F44="",0,$F44)+IF($G44="",0,$G44)+IF($H44="",0,$H44)+IF($I44="",0,$I44))</f>
        <v/>
      </c>
      <c r="L44" s="38"/>
    </row>
  </sheetData>
  <mergeCells count="2">
    <mergeCell ref="A1:L1"/>
    <mergeCell ref="A2:L2"/>
  </mergeCells>
  <conditionalFormatting sqref="E5:E44">
    <cfRule type="cellIs" priority="2"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6"/>
    <col collapsed="false" customWidth="true" hidden="false" outlineLevel="0" max="4" min="4" style="1" width="12"/>
    <col collapsed="false" customWidth="true" hidden="false" outlineLevel="0" max="5" min="5" style="1" width="13"/>
    <col collapsed="false" customWidth="true" hidden="false" outlineLevel="0" max="7" min="6" style="1" width="11"/>
    <col collapsed="false" customWidth="true" hidden="false" outlineLevel="0" max="8" min="8" style="1" width="15"/>
    <col collapsed="false" customWidth="true" hidden="false" outlineLevel="0" max="9" min="9" style="1" width="14"/>
    <col collapsed="false" customWidth="true" hidden="false" outlineLevel="0" max="10" min="10" style="1" width="13"/>
    <col collapsed="false" customWidth="true" hidden="false" outlineLevel="0" max="11" min="11" style="1" width="12"/>
    <col collapsed="false" customWidth="true" hidden="false" outlineLevel="0" max="12" min="12" style="1" width="16"/>
    <col collapsed="false" customWidth="true" hidden="false" outlineLevel="0" max="13" min="13" style="1" width="13"/>
    <col collapsed="false" customWidth="true" hidden="false" outlineLevel="0" max="14" min="14" style="1" width="12"/>
    <col collapsed="false" customWidth="true" hidden="false" outlineLevel="0" max="15" min="15" style="1" width="20"/>
  </cols>
  <sheetData>
    <row r="1" customFormat="false" ht="27.75" hidden="false" customHeight="true" outlineLevel="0" collapsed="false">
      <c r="A1" s="17" t="s">
        <v>246</v>
      </c>
      <c r="B1" s="17"/>
      <c r="C1" s="17"/>
      <c r="D1" s="17"/>
      <c r="E1" s="17"/>
      <c r="F1" s="17"/>
      <c r="G1" s="17"/>
      <c r="H1" s="17"/>
      <c r="I1" s="17"/>
      <c r="J1" s="17"/>
      <c r="K1" s="17"/>
      <c r="L1" s="17"/>
      <c r="M1" s="17"/>
      <c r="N1" s="17"/>
      <c r="O1" s="17"/>
    </row>
    <row r="2" customFormat="false" ht="15.75" hidden="false" customHeight="true" outlineLevel="0" collapsed="false">
      <c r="A2" s="18" t="s">
        <v>247</v>
      </c>
      <c r="B2" s="18"/>
      <c r="C2" s="18"/>
      <c r="D2" s="18"/>
      <c r="E2" s="18"/>
      <c r="F2" s="18"/>
      <c r="G2" s="18"/>
      <c r="H2" s="18"/>
      <c r="I2" s="18"/>
      <c r="J2" s="18"/>
      <c r="K2" s="18"/>
      <c r="L2" s="18"/>
      <c r="M2" s="18"/>
      <c r="N2" s="18"/>
      <c r="O2" s="18"/>
    </row>
    <row r="4" customFormat="false" ht="30" hidden="false" customHeight="true" outlineLevel="0" collapsed="false">
      <c r="A4" s="20" t="s">
        <v>248</v>
      </c>
      <c r="B4" s="20" t="s">
        <v>157</v>
      </c>
      <c r="C4" s="20" t="s">
        <v>249</v>
      </c>
      <c r="D4" s="20" t="s">
        <v>250</v>
      </c>
      <c r="E4" s="20" t="s">
        <v>251</v>
      </c>
      <c r="F4" s="20" t="s">
        <v>252</v>
      </c>
      <c r="G4" s="20" t="s">
        <v>253</v>
      </c>
      <c r="H4" s="20" t="s">
        <v>254</v>
      </c>
      <c r="I4" s="20" t="s">
        <v>255</v>
      </c>
      <c r="J4" s="20" t="s">
        <v>256</v>
      </c>
      <c r="K4" s="20" t="s">
        <v>257</v>
      </c>
      <c r="L4" s="20" t="s">
        <v>258</v>
      </c>
      <c r="M4" s="20" t="s">
        <v>259</v>
      </c>
      <c r="N4" s="20" t="s">
        <v>146</v>
      </c>
      <c r="O4" s="20" t="s">
        <v>33</v>
      </c>
    </row>
    <row r="5" customFormat="false" ht="15" hidden="false" customHeight="true" outlineLevel="0" collapsed="false">
      <c r="A5" s="35" t="s">
        <v>260</v>
      </c>
      <c r="B5" s="35" t="s">
        <v>184</v>
      </c>
      <c r="C5" s="36" t="s">
        <v>261</v>
      </c>
      <c r="D5" s="40" t="n">
        <v>46150</v>
      </c>
      <c r="E5" s="39" t="n">
        <v>5000</v>
      </c>
      <c r="F5" s="61" t="n">
        <v>0.05</v>
      </c>
      <c r="G5" s="62" t="n">
        <f aca="true">IF($D5="","",(TODAY()-$D5)/7)</f>
        <v>11</v>
      </c>
      <c r="H5" s="47" t="n">
        <f aca="false">IF($E5="","",$E5*$F5*$G5)</f>
        <v>2750</v>
      </c>
      <c r="I5" s="47" t="n">
        <f aca="false">IF($E5="","",$E5+$H5)</f>
        <v>7750</v>
      </c>
      <c r="J5" s="49" t="n">
        <v>2000</v>
      </c>
      <c r="K5" s="50" t="n">
        <v>0</v>
      </c>
      <c r="L5" s="47" t="n">
        <f aca="false">IF($A5="","",IF($J5="",0,$J5)+IF($K5="",0,$K5/OffRate))</f>
        <v>2000</v>
      </c>
      <c r="M5" s="47" t="n">
        <f aca="false">IF($A5="","",$I5-$L5)</f>
        <v>5750</v>
      </c>
      <c r="N5" s="63" t="str">
        <f aca="false">IF($A5="","",IF($M5&lt;=0.01,"Settled","Outstanding"))</f>
        <v>Outstanding</v>
      </c>
      <c r="O5" s="36"/>
    </row>
    <row r="6" customFormat="false" ht="15" hidden="false" customHeight="true" outlineLevel="0" collapsed="false">
      <c r="A6" s="37" t="s">
        <v>262</v>
      </c>
      <c r="B6" s="37" t="s">
        <v>186</v>
      </c>
      <c r="C6" s="38" t="s">
        <v>261</v>
      </c>
      <c r="D6" s="40" t="n">
        <v>46164</v>
      </c>
      <c r="E6" s="39" t="n">
        <v>3000</v>
      </c>
      <c r="F6" s="61" t="n">
        <v>0.05</v>
      </c>
      <c r="G6" s="64" t="n">
        <f aca="true">IF($D6="","",(TODAY()-$D6)/7)</f>
        <v>9</v>
      </c>
      <c r="H6" s="54" t="n">
        <f aca="false">IF($E6="","",$E6*$F6*$G6)</f>
        <v>1350</v>
      </c>
      <c r="I6" s="54" t="n">
        <f aca="false">IF($E6="","",$E6+$H6)</f>
        <v>4350</v>
      </c>
      <c r="J6" s="49" t="n">
        <v>0</v>
      </c>
      <c r="K6" s="50" t="n">
        <v>0</v>
      </c>
      <c r="L6" s="54" t="n">
        <f aca="false">IF($A6="","",IF($J6="",0,$J6)+IF($K6="",0,$K6/OffRate))</f>
        <v>0</v>
      </c>
      <c r="M6" s="54" t="n">
        <f aca="false">IF($A6="","",$I6-$L6)</f>
        <v>4350</v>
      </c>
      <c r="N6" s="65" t="str">
        <f aca="false">IF($A6="","",IF($M6&lt;=0.01,"Settled","Outstanding"))</f>
        <v>Outstanding</v>
      </c>
      <c r="O6" s="38"/>
    </row>
    <row r="7" customFormat="false" ht="15" hidden="false" customHeight="true" outlineLevel="0" collapsed="false">
      <c r="A7" s="35" t="s">
        <v>263</v>
      </c>
      <c r="B7" s="35" t="s">
        <v>190</v>
      </c>
      <c r="C7" s="36" t="s">
        <v>264</v>
      </c>
      <c r="D7" s="40" t="n">
        <v>46183</v>
      </c>
      <c r="E7" s="39" t="n">
        <v>8000</v>
      </c>
      <c r="F7" s="61" t="n">
        <v>0.04</v>
      </c>
      <c r="G7" s="62" t="n">
        <f aca="true">IF($D7="","",(TODAY()-$D7)/7)</f>
        <v>6.28571428571429</v>
      </c>
      <c r="H7" s="47" t="n">
        <f aca="false">IF($E7="","",$E7*$F7*$G7)</f>
        <v>2011.42857142857</v>
      </c>
      <c r="I7" s="47" t="n">
        <f aca="false">IF($E7="","",$E7+$H7)</f>
        <v>10011.4285714286</v>
      </c>
      <c r="J7" s="49" t="n">
        <v>0</v>
      </c>
      <c r="K7" s="50" t="n">
        <v>0</v>
      </c>
      <c r="L7" s="47" t="n">
        <f aca="false">IF($A7="","",IF($J7="",0,$J7)+IF($K7="",0,$K7/OffRate))</f>
        <v>0</v>
      </c>
      <c r="M7" s="47" t="n">
        <f aca="false">IF($A7="","",$I7-$L7)</f>
        <v>10011.4285714286</v>
      </c>
      <c r="N7" s="63" t="str">
        <f aca="false">IF($A7="","",IF($M7&lt;=0.01,"Settled","Outstanding"))</f>
        <v>Outstanding</v>
      </c>
      <c r="O7" s="36"/>
    </row>
    <row r="8" customFormat="false" ht="15" hidden="false" customHeight="true" outlineLevel="0" collapsed="false">
      <c r="A8" s="35" t="s">
        <v>265</v>
      </c>
      <c r="B8" s="35" t="s">
        <v>196</v>
      </c>
      <c r="C8" s="36" t="s">
        <v>266</v>
      </c>
      <c r="D8" s="40" t="n">
        <v>46152</v>
      </c>
      <c r="E8" s="39" t="n">
        <v>12000</v>
      </c>
      <c r="F8" s="61" t="n">
        <v>0.04</v>
      </c>
      <c r="G8" s="62" t="n">
        <f aca="true">IF($D8="","",(TODAY()-$D8)/7)</f>
        <v>10.7142857142857</v>
      </c>
      <c r="H8" s="47" t="n">
        <f aca="false">IF($E8="","",$E8*$F8*$G8)</f>
        <v>5142.85714285714</v>
      </c>
      <c r="I8" s="47" t="n">
        <f aca="false">IF($E8="","",$E8+$H8)</f>
        <v>17142.8571428571</v>
      </c>
      <c r="J8" s="49" t="n">
        <v>4000</v>
      </c>
      <c r="K8" s="50" t="n">
        <v>0</v>
      </c>
      <c r="L8" s="47" t="n">
        <f aca="false">IF($A8="","",IF($J8="",0,$J8)+IF($K8="",0,$K8/OffRate))</f>
        <v>4000</v>
      </c>
      <c r="M8" s="47" t="n">
        <f aca="false">IF($A8="","",$I8-$L8)</f>
        <v>13142.8571428571</v>
      </c>
      <c r="N8" s="63" t="str">
        <f aca="false">IF($A8="","",IF($M8&lt;=0.01,"Settled","Outstanding"))</f>
        <v>Outstanding</v>
      </c>
      <c r="O8" s="36" t="s">
        <v>154</v>
      </c>
    </row>
    <row r="9" customFormat="false" ht="15" hidden="false" customHeight="true" outlineLevel="0" collapsed="false">
      <c r="A9" s="35" t="s">
        <v>267</v>
      </c>
      <c r="B9" s="35" t="s">
        <v>200</v>
      </c>
      <c r="C9" s="36" t="s">
        <v>261</v>
      </c>
      <c r="D9" s="40" t="n">
        <v>46178</v>
      </c>
      <c r="E9" s="39" t="n">
        <v>8000</v>
      </c>
      <c r="F9" s="61" t="n">
        <v>0.05</v>
      </c>
      <c r="G9" s="62" t="n">
        <f aca="true">IF($D9="","",(TODAY()-$D9)/7)</f>
        <v>7</v>
      </c>
      <c r="H9" s="47" t="n">
        <f aca="false">IF($E9="","",$E9*$F9*$G9)</f>
        <v>2800</v>
      </c>
      <c r="I9" s="47" t="n">
        <f aca="false">IF($E9="","",$E9+$H9)</f>
        <v>10800</v>
      </c>
      <c r="J9" s="49" t="n">
        <v>0</v>
      </c>
      <c r="K9" s="50" t="n">
        <v>0</v>
      </c>
      <c r="L9" s="47" t="n">
        <f aca="false">IF($A9="","",IF($J9="",0,$J9)+IF($K9="",0,$K9/OffRate))</f>
        <v>0</v>
      </c>
      <c r="M9" s="47" t="n">
        <f aca="false">IF($A9="","",$I9-$L9)</f>
        <v>10800</v>
      </c>
      <c r="N9" s="63" t="str">
        <f aca="false">IF($A9="","",IF($M9&lt;=0.01,"Settled","Outstanding"))</f>
        <v>Outstanding</v>
      </c>
      <c r="O9" s="36" t="s">
        <v>154</v>
      </c>
    </row>
    <row r="10" customFormat="false" ht="15" hidden="false" customHeight="true" outlineLevel="0" collapsed="false">
      <c r="A10" s="38"/>
      <c r="B10" s="38"/>
      <c r="C10" s="38"/>
      <c r="D10" s="38"/>
      <c r="E10" s="38"/>
      <c r="F10" s="38"/>
      <c r="G10" s="64" t="str">
        <f aca="true">IF($D10="","",(TODAY()-$D10)/7)</f>
        <v/>
      </c>
      <c r="H10" s="54" t="str">
        <f aca="false">IF($E10="","",$E10*$F10*$G10)</f>
        <v/>
      </c>
      <c r="I10" s="54" t="str">
        <f aca="false">IF($E10="","",$E10+$H10)</f>
        <v/>
      </c>
      <c r="J10" s="38"/>
      <c r="K10" s="38"/>
      <c r="L10" s="54" t="str">
        <f aca="false">IF($A10="","",IF($J10="",0,$J10)+IF($K10="",0,$K10/OffRate))</f>
        <v/>
      </c>
      <c r="M10" s="54" t="str">
        <f aca="false">IF($A10="","",$I10-$L10)</f>
        <v/>
      </c>
      <c r="N10" s="65" t="str">
        <f aca="false">IF($A10="","",IF($M10&lt;=0.01,"Settled","Outstanding"))</f>
        <v/>
      </c>
      <c r="O10" s="38"/>
    </row>
    <row r="11" customFormat="false" ht="15" hidden="false" customHeight="true" outlineLevel="0" collapsed="false">
      <c r="A11" s="36"/>
      <c r="B11" s="36"/>
      <c r="C11" s="36"/>
      <c r="D11" s="36"/>
      <c r="E11" s="36"/>
      <c r="F11" s="36"/>
      <c r="G11" s="62" t="str">
        <f aca="true">IF($D11="","",(TODAY()-$D11)/7)</f>
        <v/>
      </c>
      <c r="H11" s="47" t="str">
        <f aca="false">IF($E11="","",$E11*$F11*$G11)</f>
        <v/>
      </c>
      <c r="I11" s="47" t="str">
        <f aca="false">IF($E11="","",$E11+$H11)</f>
        <v/>
      </c>
      <c r="J11" s="36"/>
      <c r="K11" s="36"/>
      <c r="L11" s="47" t="str">
        <f aca="false">IF($A11="","",IF($J11="",0,$J11)+IF($K11="",0,$K11/OffRate))</f>
        <v/>
      </c>
      <c r="M11" s="47" t="str">
        <f aca="false">IF($A11="","",$I11-$L11)</f>
        <v/>
      </c>
      <c r="N11" s="63" t="str">
        <f aca="false">IF($A11="","",IF($M11&lt;=0.01,"Settled","Outstanding"))</f>
        <v/>
      </c>
      <c r="O11" s="36"/>
    </row>
    <row r="12" customFormat="false" ht="15" hidden="false" customHeight="true" outlineLevel="0" collapsed="false">
      <c r="A12" s="38"/>
      <c r="B12" s="38"/>
      <c r="C12" s="38"/>
      <c r="D12" s="38"/>
      <c r="E12" s="38"/>
      <c r="F12" s="38"/>
      <c r="G12" s="64" t="str">
        <f aca="true">IF($D12="","",(TODAY()-$D12)/7)</f>
        <v/>
      </c>
      <c r="H12" s="54" t="str">
        <f aca="false">IF($E12="","",$E12*$F12*$G12)</f>
        <v/>
      </c>
      <c r="I12" s="54" t="str">
        <f aca="false">IF($E12="","",$E12+$H12)</f>
        <v/>
      </c>
      <c r="J12" s="38"/>
      <c r="K12" s="38"/>
      <c r="L12" s="54" t="str">
        <f aca="false">IF($A12="","",IF($J12="",0,$J12)+IF($K12="",0,$K12/OffRate))</f>
        <v/>
      </c>
      <c r="M12" s="54" t="str">
        <f aca="false">IF($A12="","",$I12-$L12)</f>
        <v/>
      </c>
      <c r="N12" s="65" t="str">
        <f aca="false">IF($A12="","",IF($M12&lt;=0.01,"Settled","Outstanding"))</f>
        <v/>
      </c>
      <c r="O12" s="38"/>
    </row>
    <row r="13" customFormat="false" ht="15" hidden="false" customHeight="true" outlineLevel="0" collapsed="false">
      <c r="A13" s="36"/>
      <c r="B13" s="36"/>
      <c r="C13" s="36"/>
      <c r="D13" s="36"/>
      <c r="E13" s="36"/>
      <c r="F13" s="36"/>
      <c r="G13" s="62" t="str">
        <f aca="true">IF($D13="","",(TODAY()-$D13)/7)</f>
        <v/>
      </c>
      <c r="H13" s="47" t="str">
        <f aca="false">IF($E13="","",$E13*$F13*$G13)</f>
        <v/>
      </c>
      <c r="I13" s="47" t="str">
        <f aca="false">IF($E13="","",$E13+$H13)</f>
        <v/>
      </c>
      <c r="J13" s="36"/>
      <c r="K13" s="36"/>
      <c r="L13" s="47" t="str">
        <f aca="false">IF($A13="","",IF($J13="",0,$J13)+IF($K13="",0,$K13/OffRate))</f>
        <v/>
      </c>
      <c r="M13" s="47" t="str">
        <f aca="false">IF($A13="","",$I13-$L13)</f>
        <v/>
      </c>
      <c r="N13" s="63" t="str">
        <f aca="false">IF($A13="","",IF($M13&lt;=0.01,"Settled","Outstanding"))</f>
        <v/>
      </c>
      <c r="O13" s="36"/>
    </row>
    <row r="14" customFormat="false" ht="15" hidden="false" customHeight="true" outlineLevel="0" collapsed="false">
      <c r="A14" s="38"/>
      <c r="B14" s="38"/>
      <c r="C14" s="38"/>
      <c r="D14" s="38"/>
      <c r="E14" s="38"/>
      <c r="F14" s="38"/>
      <c r="G14" s="64" t="str">
        <f aca="true">IF($D14="","",(TODAY()-$D14)/7)</f>
        <v/>
      </c>
      <c r="H14" s="54" t="str">
        <f aca="false">IF($E14="","",$E14*$F14*$G14)</f>
        <v/>
      </c>
      <c r="I14" s="54" t="str">
        <f aca="false">IF($E14="","",$E14+$H14)</f>
        <v/>
      </c>
      <c r="J14" s="38"/>
      <c r="K14" s="38"/>
      <c r="L14" s="54" t="str">
        <f aca="false">IF($A14="","",IF($J14="",0,$J14)+IF($K14="",0,$K14/OffRate))</f>
        <v/>
      </c>
      <c r="M14" s="54" t="str">
        <f aca="false">IF($A14="","",$I14-$L14)</f>
        <v/>
      </c>
      <c r="N14" s="65" t="str">
        <f aca="false">IF($A14="","",IF($M14&lt;=0.01,"Settled","Outstanding"))</f>
        <v/>
      </c>
      <c r="O14" s="38"/>
    </row>
    <row r="15" customFormat="false" ht="15" hidden="false" customHeight="true" outlineLevel="0" collapsed="false">
      <c r="A15" s="36"/>
      <c r="B15" s="36"/>
      <c r="C15" s="36"/>
      <c r="D15" s="36"/>
      <c r="E15" s="36"/>
      <c r="F15" s="36"/>
      <c r="G15" s="62" t="str">
        <f aca="true">IF($D15="","",(TODAY()-$D15)/7)</f>
        <v/>
      </c>
      <c r="H15" s="47" t="str">
        <f aca="false">IF($E15="","",$E15*$F15*$G15)</f>
        <v/>
      </c>
      <c r="I15" s="47" t="str">
        <f aca="false">IF($E15="","",$E15+$H15)</f>
        <v/>
      </c>
      <c r="J15" s="36"/>
      <c r="K15" s="36"/>
      <c r="L15" s="47" t="str">
        <f aca="false">IF($A15="","",IF($J15="",0,$J15)+IF($K15="",0,$K15/OffRate))</f>
        <v/>
      </c>
      <c r="M15" s="47" t="str">
        <f aca="false">IF($A15="","",$I15-$L15)</f>
        <v/>
      </c>
      <c r="N15" s="63" t="str">
        <f aca="false">IF($A15="","",IF($M15&lt;=0.01,"Settled","Outstanding"))</f>
        <v/>
      </c>
      <c r="O15" s="36"/>
    </row>
    <row r="16" customFormat="false" ht="15" hidden="false" customHeight="true" outlineLevel="0" collapsed="false">
      <c r="A16" s="38"/>
      <c r="B16" s="38"/>
      <c r="C16" s="38"/>
      <c r="D16" s="38"/>
      <c r="E16" s="38"/>
      <c r="F16" s="38"/>
      <c r="G16" s="64" t="str">
        <f aca="true">IF($D16="","",(TODAY()-$D16)/7)</f>
        <v/>
      </c>
      <c r="H16" s="54" t="str">
        <f aca="false">IF($E16="","",$E16*$F16*$G16)</f>
        <v/>
      </c>
      <c r="I16" s="54" t="str">
        <f aca="false">IF($E16="","",$E16+$H16)</f>
        <v/>
      </c>
      <c r="J16" s="38"/>
      <c r="K16" s="38"/>
      <c r="L16" s="54" t="str">
        <f aca="false">IF($A16="","",IF($J16="",0,$J16)+IF($K16="",0,$K16/OffRate))</f>
        <v/>
      </c>
      <c r="M16" s="54" t="str">
        <f aca="false">IF($A16="","",$I16-$L16)</f>
        <v/>
      </c>
      <c r="N16" s="65" t="str">
        <f aca="false">IF($A16="","",IF($M16&lt;=0.01,"Settled","Outstanding"))</f>
        <v/>
      </c>
      <c r="O16" s="38"/>
    </row>
    <row r="17" customFormat="false" ht="15" hidden="false" customHeight="true" outlineLevel="0" collapsed="false">
      <c r="A17" s="36"/>
      <c r="B17" s="36"/>
      <c r="C17" s="36"/>
      <c r="D17" s="36"/>
      <c r="E17" s="36"/>
      <c r="F17" s="36"/>
      <c r="G17" s="62" t="str">
        <f aca="true">IF($D17="","",(TODAY()-$D17)/7)</f>
        <v/>
      </c>
      <c r="H17" s="47" t="str">
        <f aca="false">IF($E17="","",$E17*$F17*$G17)</f>
        <v/>
      </c>
      <c r="I17" s="47" t="str">
        <f aca="false">IF($E17="","",$E17+$H17)</f>
        <v/>
      </c>
      <c r="J17" s="36"/>
      <c r="K17" s="36"/>
      <c r="L17" s="47" t="str">
        <f aca="false">IF($A17="","",IF($J17="",0,$J17)+IF($K17="",0,$K17/OffRate))</f>
        <v/>
      </c>
      <c r="M17" s="47" t="str">
        <f aca="false">IF($A17="","",$I17-$L17)</f>
        <v/>
      </c>
      <c r="N17" s="63" t="str">
        <f aca="false">IF($A17="","",IF($M17&lt;=0.01,"Settled","Outstanding"))</f>
        <v/>
      </c>
      <c r="O17" s="36"/>
    </row>
    <row r="18" customFormat="false" ht="15" hidden="false" customHeight="true" outlineLevel="0" collapsed="false">
      <c r="A18" s="38"/>
      <c r="B18" s="38"/>
      <c r="C18" s="38"/>
      <c r="D18" s="38"/>
      <c r="E18" s="38"/>
      <c r="F18" s="38"/>
      <c r="G18" s="64" t="str">
        <f aca="true">IF($D18="","",(TODAY()-$D18)/7)</f>
        <v/>
      </c>
      <c r="H18" s="54" t="str">
        <f aca="false">IF($E18="","",$E18*$F18*$G18)</f>
        <v/>
      </c>
      <c r="I18" s="54" t="str">
        <f aca="false">IF($E18="","",$E18+$H18)</f>
        <v/>
      </c>
      <c r="J18" s="38"/>
      <c r="K18" s="38"/>
      <c r="L18" s="54" t="str">
        <f aca="false">IF($A18="","",IF($J18="",0,$J18)+IF($K18="",0,$K18/OffRate))</f>
        <v/>
      </c>
      <c r="M18" s="54" t="str">
        <f aca="false">IF($A18="","",$I18-$L18)</f>
        <v/>
      </c>
      <c r="N18" s="65" t="str">
        <f aca="false">IF($A18="","",IF($M18&lt;=0.01,"Settled","Outstanding"))</f>
        <v/>
      </c>
      <c r="O18" s="38"/>
    </row>
    <row r="19" customFormat="false" ht="15" hidden="false" customHeight="true" outlineLevel="0" collapsed="false">
      <c r="A19" s="36"/>
      <c r="B19" s="36"/>
      <c r="C19" s="36"/>
      <c r="D19" s="36"/>
      <c r="E19" s="36"/>
      <c r="F19" s="36"/>
      <c r="G19" s="62" t="str">
        <f aca="true">IF($D19="","",(TODAY()-$D19)/7)</f>
        <v/>
      </c>
      <c r="H19" s="47" t="str">
        <f aca="false">IF($E19="","",$E19*$F19*$G19)</f>
        <v/>
      </c>
      <c r="I19" s="47" t="str">
        <f aca="false">IF($E19="","",$E19+$H19)</f>
        <v/>
      </c>
      <c r="J19" s="36"/>
      <c r="K19" s="36"/>
      <c r="L19" s="47" t="str">
        <f aca="false">IF($A19="","",IF($J19="",0,$J19)+IF($K19="",0,$K19/OffRate))</f>
        <v/>
      </c>
      <c r="M19" s="47" t="str">
        <f aca="false">IF($A19="","",$I19-$L19)</f>
        <v/>
      </c>
      <c r="N19" s="63" t="str">
        <f aca="false">IF($A19="","",IF($M19&lt;=0.01,"Settled","Outstanding"))</f>
        <v/>
      </c>
      <c r="O19" s="36"/>
    </row>
    <row r="20" customFormat="false" ht="15" hidden="false" customHeight="true" outlineLevel="0" collapsed="false">
      <c r="A20" s="38"/>
      <c r="B20" s="38"/>
      <c r="C20" s="38"/>
      <c r="D20" s="38"/>
      <c r="E20" s="38"/>
      <c r="F20" s="38"/>
      <c r="G20" s="64" t="str">
        <f aca="true">IF($D20="","",(TODAY()-$D20)/7)</f>
        <v/>
      </c>
      <c r="H20" s="54" t="str">
        <f aca="false">IF($E20="","",$E20*$F20*$G20)</f>
        <v/>
      </c>
      <c r="I20" s="54" t="str">
        <f aca="false">IF($E20="","",$E20+$H20)</f>
        <v/>
      </c>
      <c r="J20" s="38"/>
      <c r="K20" s="38"/>
      <c r="L20" s="54" t="str">
        <f aca="false">IF($A20="","",IF($J20="",0,$J20)+IF($K20="",0,$K20/OffRate))</f>
        <v/>
      </c>
      <c r="M20" s="54" t="str">
        <f aca="false">IF($A20="","",$I20-$L20)</f>
        <v/>
      </c>
      <c r="N20" s="65" t="str">
        <f aca="false">IF($A20="","",IF($M20&lt;=0.01,"Settled","Outstanding"))</f>
        <v/>
      </c>
      <c r="O20" s="38"/>
    </row>
    <row r="21" customFormat="false" ht="15" hidden="false" customHeight="true" outlineLevel="0" collapsed="false">
      <c r="A21" s="36"/>
      <c r="B21" s="36"/>
      <c r="C21" s="36"/>
      <c r="D21" s="36"/>
      <c r="E21" s="36"/>
      <c r="F21" s="36"/>
      <c r="G21" s="62" t="str">
        <f aca="true">IF($D21="","",(TODAY()-$D21)/7)</f>
        <v/>
      </c>
      <c r="H21" s="47" t="str">
        <f aca="false">IF($E21="","",$E21*$F21*$G21)</f>
        <v/>
      </c>
      <c r="I21" s="47" t="str">
        <f aca="false">IF($E21="","",$E21+$H21)</f>
        <v/>
      </c>
      <c r="J21" s="36"/>
      <c r="K21" s="36"/>
      <c r="L21" s="47" t="str">
        <f aca="false">IF($A21="","",IF($J21="",0,$J21)+IF($K21="",0,$K21/OffRate))</f>
        <v/>
      </c>
      <c r="M21" s="47" t="str">
        <f aca="false">IF($A21="","",$I21-$L21)</f>
        <v/>
      </c>
      <c r="N21" s="63" t="str">
        <f aca="false">IF($A21="","",IF($M21&lt;=0.01,"Settled","Outstanding"))</f>
        <v/>
      </c>
      <c r="O21" s="36"/>
    </row>
    <row r="22" customFormat="false" ht="15" hidden="false" customHeight="true" outlineLevel="0" collapsed="false">
      <c r="A22" s="38"/>
      <c r="B22" s="38"/>
      <c r="C22" s="38"/>
      <c r="D22" s="38"/>
      <c r="E22" s="38"/>
      <c r="F22" s="38"/>
      <c r="G22" s="64" t="str">
        <f aca="true">IF($D22="","",(TODAY()-$D22)/7)</f>
        <v/>
      </c>
      <c r="H22" s="54" t="str">
        <f aca="false">IF($E22="","",$E22*$F22*$G22)</f>
        <v/>
      </c>
      <c r="I22" s="54" t="str">
        <f aca="false">IF($E22="","",$E22+$H22)</f>
        <v/>
      </c>
      <c r="J22" s="38"/>
      <c r="K22" s="38"/>
      <c r="L22" s="54" t="str">
        <f aca="false">IF($A22="","",IF($J22="",0,$J22)+IF($K22="",0,$K22/OffRate))</f>
        <v/>
      </c>
      <c r="M22" s="54" t="str">
        <f aca="false">IF($A22="","",$I22-$L22)</f>
        <v/>
      </c>
      <c r="N22" s="65" t="str">
        <f aca="false">IF($A22="","",IF($M22&lt;=0.01,"Settled","Outstanding"))</f>
        <v/>
      </c>
      <c r="O22" s="38"/>
    </row>
    <row r="23" customFormat="false" ht="15" hidden="false" customHeight="true" outlineLevel="0" collapsed="false">
      <c r="A23" s="36"/>
      <c r="B23" s="36"/>
      <c r="C23" s="36"/>
      <c r="D23" s="36"/>
      <c r="E23" s="36"/>
      <c r="F23" s="36"/>
      <c r="G23" s="62" t="str">
        <f aca="true">IF($D23="","",(TODAY()-$D23)/7)</f>
        <v/>
      </c>
      <c r="H23" s="47" t="str">
        <f aca="false">IF($E23="","",$E23*$F23*$G23)</f>
        <v/>
      </c>
      <c r="I23" s="47" t="str">
        <f aca="false">IF($E23="","",$E23+$H23)</f>
        <v/>
      </c>
      <c r="J23" s="36"/>
      <c r="K23" s="36"/>
      <c r="L23" s="47" t="str">
        <f aca="false">IF($A23="","",IF($J23="",0,$J23)+IF($K23="",0,$K23/OffRate))</f>
        <v/>
      </c>
      <c r="M23" s="47" t="str">
        <f aca="false">IF($A23="","",$I23-$L23)</f>
        <v/>
      </c>
      <c r="N23" s="63" t="str">
        <f aca="false">IF($A23="","",IF($M23&lt;=0.01,"Settled","Outstanding"))</f>
        <v/>
      </c>
      <c r="O23" s="36"/>
    </row>
    <row r="24" customFormat="false" ht="15" hidden="false" customHeight="true" outlineLevel="0" collapsed="false">
      <c r="A24" s="38"/>
      <c r="B24" s="38"/>
      <c r="C24" s="38"/>
      <c r="D24" s="38"/>
      <c r="E24" s="38"/>
      <c r="F24" s="38"/>
      <c r="G24" s="64" t="str">
        <f aca="true">IF($D24="","",(TODAY()-$D24)/7)</f>
        <v/>
      </c>
      <c r="H24" s="54" t="str">
        <f aca="false">IF($E24="","",$E24*$F24*$G24)</f>
        <v/>
      </c>
      <c r="I24" s="54" t="str">
        <f aca="false">IF($E24="","",$E24+$H24)</f>
        <v/>
      </c>
      <c r="J24" s="38"/>
      <c r="K24" s="38"/>
      <c r="L24" s="54" t="str">
        <f aca="false">IF($A24="","",IF($J24="",0,$J24)+IF($K24="",0,$K24/OffRate))</f>
        <v/>
      </c>
      <c r="M24" s="54" t="str">
        <f aca="false">IF($A24="","",$I24-$L24)</f>
        <v/>
      </c>
      <c r="N24" s="65" t="str">
        <f aca="false">IF($A24="","",IF($M24&lt;=0.01,"Settled","Outstanding"))</f>
        <v/>
      </c>
      <c r="O24" s="38"/>
    </row>
    <row r="25" customFormat="false" ht="15" hidden="false" customHeight="true" outlineLevel="0" collapsed="false">
      <c r="A25" s="36"/>
      <c r="B25" s="36"/>
      <c r="C25" s="36"/>
      <c r="D25" s="36"/>
      <c r="E25" s="36"/>
      <c r="F25" s="36"/>
      <c r="G25" s="62" t="str">
        <f aca="true">IF($D25="","",(TODAY()-$D25)/7)</f>
        <v/>
      </c>
      <c r="H25" s="47" t="str">
        <f aca="false">IF($E25="","",$E25*$F25*$G25)</f>
        <v/>
      </c>
      <c r="I25" s="47" t="str">
        <f aca="false">IF($E25="","",$E25+$H25)</f>
        <v/>
      </c>
      <c r="J25" s="36"/>
      <c r="K25" s="36"/>
      <c r="L25" s="47" t="str">
        <f aca="false">IF($A25="","",IF($J25="",0,$J25)+IF($K25="",0,$K25/OffRate))</f>
        <v/>
      </c>
      <c r="M25" s="47" t="str">
        <f aca="false">IF($A25="","",$I25-$L25)</f>
        <v/>
      </c>
      <c r="N25" s="63" t="str">
        <f aca="false">IF($A25="","",IF($M25&lt;=0.01,"Settled","Outstanding"))</f>
        <v/>
      </c>
      <c r="O25" s="36"/>
    </row>
    <row r="26" customFormat="false" ht="15" hidden="false" customHeight="true" outlineLevel="0" collapsed="false">
      <c r="A26" s="38"/>
      <c r="B26" s="38"/>
      <c r="C26" s="38"/>
      <c r="D26" s="38"/>
      <c r="E26" s="38"/>
      <c r="F26" s="38"/>
      <c r="G26" s="64" t="str">
        <f aca="true">IF($D26="","",(TODAY()-$D26)/7)</f>
        <v/>
      </c>
      <c r="H26" s="54" t="str">
        <f aca="false">IF($E26="","",$E26*$F26*$G26)</f>
        <v/>
      </c>
      <c r="I26" s="54" t="str">
        <f aca="false">IF($E26="","",$E26+$H26)</f>
        <v/>
      </c>
      <c r="J26" s="38"/>
      <c r="K26" s="38"/>
      <c r="L26" s="54" t="str">
        <f aca="false">IF($A26="","",IF($J26="",0,$J26)+IF($K26="",0,$K26/OffRate))</f>
        <v/>
      </c>
      <c r="M26" s="54" t="str">
        <f aca="false">IF($A26="","",$I26-$L26)</f>
        <v/>
      </c>
      <c r="N26" s="65" t="str">
        <f aca="false">IF($A26="","",IF($M26&lt;=0.01,"Settled","Outstanding"))</f>
        <v/>
      </c>
      <c r="O26" s="38"/>
    </row>
    <row r="27" customFormat="false" ht="15" hidden="false" customHeight="true" outlineLevel="0" collapsed="false">
      <c r="A27" s="36"/>
      <c r="B27" s="36"/>
      <c r="C27" s="36"/>
      <c r="D27" s="36"/>
      <c r="E27" s="36"/>
      <c r="F27" s="36"/>
      <c r="G27" s="62" t="str">
        <f aca="true">IF($D27="","",(TODAY()-$D27)/7)</f>
        <v/>
      </c>
      <c r="H27" s="47" t="str">
        <f aca="false">IF($E27="","",$E27*$F27*$G27)</f>
        <v/>
      </c>
      <c r="I27" s="47" t="str">
        <f aca="false">IF($E27="","",$E27+$H27)</f>
        <v/>
      </c>
      <c r="J27" s="36"/>
      <c r="K27" s="36"/>
      <c r="L27" s="47" t="str">
        <f aca="false">IF($A27="","",IF($J27="",0,$J27)+IF($K27="",0,$K27/OffRate))</f>
        <v/>
      </c>
      <c r="M27" s="47" t="str">
        <f aca="false">IF($A27="","",$I27-$L27)</f>
        <v/>
      </c>
      <c r="N27" s="63" t="str">
        <f aca="false">IF($A27="","",IF($M27&lt;=0.01,"Settled","Outstanding"))</f>
        <v/>
      </c>
      <c r="O27" s="36"/>
    </row>
    <row r="28" customFormat="false" ht="15" hidden="false" customHeight="true" outlineLevel="0" collapsed="false">
      <c r="A28" s="38"/>
      <c r="B28" s="38"/>
      <c r="C28" s="38"/>
      <c r="D28" s="38"/>
      <c r="E28" s="38"/>
      <c r="F28" s="38"/>
      <c r="G28" s="64" t="str">
        <f aca="true">IF($D28="","",(TODAY()-$D28)/7)</f>
        <v/>
      </c>
      <c r="H28" s="54" t="str">
        <f aca="false">IF($E28="","",$E28*$F28*$G28)</f>
        <v/>
      </c>
      <c r="I28" s="54" t="str">
        <f aca="false">IF($E28="","",$E28+$H28)</f>
        <v/>
      </c>
      <c r="J28" s="38"/>
      <c r="K28" s="38"/>
      <c r="L28" s="54" t="str">
        <f aca="false">IF($A28="","",IF($J28="",0,$J28)+IF($K28="",0,$K28/OffRate))</f>
        <v/>
      </c>
      <c r="M28" s="54" t="str">
        <f aca="false">IF($A28="","",$I28-$L28)</f>
        <v/>
      </c>
      <c r="N28" s="65" t="str">
        <f aca="false">IF($A28="","",IF($M28&lt;=0.01,"Settled","Outstanding"))</f>
        <v/>
      </c>
      <c r="O28" s="38"/>
    </row>
    <row r="29" customFormat="false" ht="15" hidden="false" customHeight="true" outlineLevel="0" collapsed="false">
      <c r="A29" s="36"/>
      <c r="B29" s="36"/>
      <c r="C29" s="36"/>
      <c r="D29" s="36"/>
      <c r="E29" s="36"/>
      <c r="F29" s="36"/>
      <c r="G29" s="62" t="str">
        <f aca="true">IF($D29="","",(TODAY()-$D29)/7)</f>
        <v/>
      </c>
      <c r="H29" s="47" t="str">
        <f aca="false">IF($E29="","",$E29*$F29*$G29)</f>
        <v/>
      </c>
      <c r="I29" s="47" t="str">
        <f aca="false">IF($E29="","",$E29+$H29)</f>
        <v/>
      </c>
      <c r="J29" s="36"/>
      <c r="K29" s="36"/>
      <c r="L29" s="47" t="str">
        <f aca="false">IF($A29="","",IF($J29="",0,$J29)+IF($K29="",0,$K29/OffRate))</f>
        <v/>
      </c>
      <c r="M29" s="47" t="str">
        <f aca="false">IF($A29="","",$I29-$L29)</f>
        <v/>
      </c>
      <c r="N29" s="63" t="str">
        <f aca="false">IF($A29="","",IF($M29&lt;=0.01,"Settled","Outstanding"))</f>
        <v/>
      </c>
      <c r="O29" s="36"/>
    </row>
    <row r="30" customFormat="false" ht="15" hidden="false" customHeight="true" outlineLevel="0" collapsed="false">
      <c r="A30" s="38"/>
      <c r="B30" s="38"/>
      <c r="C30" s="38"/>
      <c r="D30" s="38"/>
      <c r="E30" s="38"/>
      <c r="F30" s="38"/>
      <c r="G30" s="64" t="str">
        <f aca="true">IF($D30="","",(TODAY()-$D30)/7)</f>
        <v/>
      </c>
      <c r="H30" s="54" t="str">
        <f aca="false">IF($E30="","",$E30*$F30*$G30)</f>
        <v/>
      </c>
      <c r="I30" s="54" t="str">
        <f aca="false">IF($E30="","",$E30+$H30)</f>
        <v/>
      </c>
      <c r="J30" s="38"/>
      <c r="K30" s="38"/>
      <c r="L30" s="54" t="str">
        <f aca="false">IF($A30="","",IF($J30="",0,$J30)+IF($K30="",0,$K30/OffRate))</f>
        <v/>
      </c>
      <c r="M30" s="54" t="str">
        <f aca="false">IF($A30="","",$I30-$L30)</f>
        <v/>
      </c>
      <c r="N30" s="65" t="str">
        <f aca="false">IF($A30="","",IF($M30&lt;=0.01,"Settled","Outstanding"))</f>
        <v/>
      </c>
      <c r="O30" s="38"/>
    </row>
    <row r="31" customFormat="false" ht="15" hidden="false" customHeight="true" outlineLevel="0" collapsed="false">
      <c r="A31" s="36"/>
      <c r="B31" s="36"/>
      <c r="C31" s="36"/>
      <c r="D31" s="36"/>
      <c r="E31" s="36"/>
      <c r="F31" s="36"/>
      <c r="G31" s="62" t="str">
        <f aca="true">IF($D31="","",(TODAY()-$D31)/7)</f>
        <v/>
      </c>
      <c r="H31" s="47" t="str">
        <f aca="false">IF($E31="","",$E31*$F31*$G31)</f>
        <v/>
      </c>
      <c r="I31" s="47" t="str">
        <f aca="false">IF($E31="","",$E31+$H31)</f>
        <v/>
      </c>
      <c r="J31" s="36"/>
      <c r="K31" s="36"/>
      <c r="L31" s="47" t="str">
        <f aca="false">IF($A31="","",IF($J31="",0,$J31)+IF($K31="",0,$K31/OffRate))</f>
        <v/>
      </c>
      <c r="M31" s="47" t="str">
        <f aca="false">IF($A31="","",$I31-$L31)</f>
        <v/>
      </c>
      <c r="N31" s="63" t="str">
        <f aca="false">IF($A31="","",IF($M31&lt;=0.01,"Settled","Outstanding"))</f>
        <v/>
      </c>
      <c r="O31" s="36"/>
    </row>
    <row r="32" customFormat="false" ht="15" hidden="false" customHeight="true" outlineLevel="0" collapsed="false">
      <c r="A32" s="38"/>
      <c r="B32" s="38"/>
      <c r="C32" s="38"/>
      <c r="D32" s="38"/>
      <c r="E32" s="38"/>
      <c r="F32" s="38"/>
      <c r="G32" s="64" t="str">
        <f aca="true">IF($D32="","",(TODAY()-$D32)/7)</f>
        <v/>
      </c>
      <c r="H32" s="54" t="str">
        <f aca="false">IF($E32="","",$E32*$F32*$G32)</f>
        <v/>
      </c>
      <c r="I32" s="54" t="str">
        <f aca="false">IF($E32="","",$E32+$H32)</f>
        <v/>
      </c>
      <c r="J32" s="38"/>
      <c r="K32" s="38"/>
      <c r="L32" s="54" t="str">
        <f aca="false">IF($A32="","",IF($J32="",0,$J32)+IF($K32="",0,$K32/OffRate))</f>
        <v/>
      </c>
      <c r="M32" s="54" t="str">
        <f aca="false">IF($A32="","",$I32-$L32)</f>
        <v/>
      </c>
      <c r="N32" s="65" t="str">
        <f aca="false">IF($A32="","",IF($M32&lt;=0.01,"Settled","Outstanding"))</f>
        <v/>
      </c>
      <c r="O32" s="38"/>
    </row>
    <row r="33" customFormat="false" ht="15" hidden="false" customHeight="true" outlineLevel="0" collapsed="false">
      <c r="A33" s="36"/>
      <c r="B33" s="36"/>
      <c r="C33" s="36"/>
      <c r="D33" s="36"/>
      <c r="E33" s="36"/>
      <c r="F33" s="36"/>
      <c r="G33" s="62" t="str">
        <f aca="true">IF($D33="","",(TODAY()-$D33)/7)</f>
        <v/>
      </c>
      <c r="H33" s="47" t="str">
        <f aca="false">IF($E33="","",$E33*$F33*$G33)</f>
        <v/>
      </c>
      <c r="I33" s="47" t="str">
        <f aca="false">IF($E33="","",$E33+$H33)</f>
        <v/>
      </c>
      <c r="J33" s="36"/>
      <c r="K33" s="36"/>
      <c r="L33" s="47" t="str">
        <f aca="false">IF($A33="","",IF($J33="",0,$J33)+IF($K33="",0,$K33/OffRate))</f>
        <v/>
      </c>
      <c r="M33" s="47" t="str">
        <f aca="false">IF($A33="","",$I33-$L33)</f>
        <v/>
      </c>
      <c r="N33" s="63" t="str">
        <f aca="false">IF($A33="","",IF($M33&lt;=0.01,"Settled","Outstanding"))</f>
        <v/>
      </c>
      <c r="O33" s="36"/>
    </row>
    <row r="34" customFormat="false" ht="15" hidden="false" customHeight="true" outlineLevel="0" collapsed="false">
      <c r="A34" s="38"/>
      <c r="B34" s="38"/>
      <c r="C34" s="38"/>
      <c r="D34" s="38"/>
      <c r="E34" s="38"/>
      <c r="F34" s="38"/>
      <c r="G34" s="64" t="str">
        <f aca="true">IF($D34="","",(TODAY()-$D34)/7)</f>
        <v/>
      </c>
      <c r="H34" s="54" t="str">
        <f aca="false">IF($E34="","",$E34*$F34*$G34)</f>
        <v/>
      </c>
      <c r="I34" s="54" t="str">
        <f aca="false">IF($E34="","",$E34+$H34)</f>
        <v/>
      </c>
      <c r="J34" s="38"/>
      <c r="K34" s="38"/>
      <c r="L34" s="54" t="str">
        <f aca="false">IF($A34="","",IF($J34="",0,$J34)+IF($K34="",0,$K34/OffRate))</f>
        <v/>
      </c>
      <c r="M34" s="54" t="str">
        <f aca="false">IF($A34="","",$I34-$L34)</f>
        <v/>
      </c>
      <c r="N34" s="65" t="str">
        <f aca="false">IF($A34="","",IF($M34&lt;=0.01,"Settled","Outstanding"))</f>
        <v/>
      </c>
      <c r="O34" s="38"/>
    </row>
    <row r="35" customFormat="false" ht="15" hidden="false" customHeight="true" outlineLevel="0" collapsed="false">
      <c r="A35" s="36"/>
      <c r="B35" s="36"/>
      <c r="C35" s="36"/>
      <c r="D35" s="36"/>
      <c r="E35" s="36"/>
      <c r="F35" s="36"/>
      <c r="G35" s="62" t="str">
        <f aca="true">IF($D35="","",(TODAY()-$D35)/7)</f>
        <v/>
      </c>
      <c r="H35" s="47" t="str">
        <f aca="false">IF($E35="","",$E35*$F35*$G35)</f>
        <v/>
      </c>
      <c r="I35" s="47" t="str">
        <f aca="false">IF($E35="","",$E35+$H35)</f>
        <v/>
      </c>
      <c r="J35" s="36"/>
      <c r="K35" s="36"/>
      <c r="L35" s="47" t="str">
        <f aca="false">IF($A35="","",IF($J35="",0,$J35)+IF($K35="",0,$K35/OffRate))</f>
        <v/>
      </c>
      <c r="M35" s="47" t="str">
        <f aca="false">IF($A35="","",$I35-$L35)</f>
        <v/>
      </c>
      <c r="N35" s="63" t="str">
        <f aca="false">IF($A35="","",IF($M35&lt;=0.01,"Settled","Outstanding"))</f>
        <v/>
      </c>
      <c r="O35" s="36"/>
    </row>
    <row r="36" customFormat="false" ht="15" hidden="false" customHeight="true" outlineLevel="0" collapsed="false">
      <c r="A36" s="38"/>
      <c r="B36" s="38"/>
      <c r="C36" s="38"/>
      <c r="D36" s="38"/>
      <c r="E36" s="38"/>
      <c r="F36" s="38"/>
      <c r="G36" s="64" t="str">
        <f aca="true">IF($D36="","",(TODAY()-$D36)/7)</f>
        <v/>
      </c>
      <c r="H36" s="54" t="str">
        <f aca="false">IF($E36="","",$E36*$F36*$G36)</f>
        <v/>
      </c>
      <c r="I36" s="54" t="str">
        <f aca="false">IF($E36="","",$E36+$H36)</f>
        <v/>
      </c>
      <c r="J36" s="38"/>
      <c r="K36" s="38"/>
      <c r="L36" s="54" t="str">
        <f aca="false">IF($A36="","",IF($J36="",0,$J36)+IF($K36="",0,$K36/OffRate))</f>
        <v/>
      </c>
      <c r="M36" s="54" t="str">
        <f aca="false">IF($A36="","",$I36-$L36)</f>
        <v/>
      </c>
      <c r="N36" s="65" t="str">
        <f aca="false">IF($A36="","",IF($M36&lt;=0.01,"Settled","Outstanding"))</f>
        <v/>
      </c>
      <c r="O36" s="38"/>
    </row>
    <row r="37" customFormat="false" ht="15" hidden="false" customHeight="true" outlineLevel="0" collapsed="false">
      <c r="A37" s="36"/>
      <c r="B37" s="36"/>
      <c r="C37" s="36"/>
      <c r="D37" s="36"/>
      <c r="E37" s="36"/>
      <c r="F37" s="36"/>
      <c r="G37" s="62" t="str">
        <f aca="true">IF($D37="","",(TODAY()-$D37)/7)</f>
        <v/>
      </c>
      <c r="H37" s="47" t="str">
        <f aca="false">IF($E37="","",$E37*$F37*$G37)</f>
        <v/>
      </c>
      <c r="I37" s="47" t="str">
        <f aca="false">IF($E37="","",$E37+$H37)</f>
        <v/>
      </c>
      <c r="J37" s="36"/>
      <c r="K37" s="36"/>
      <c r="L37" s="47" t="str">
        <f aca="false">IF($A37="","",IF($J37="",0,$J37)+IF($K37="",0,$K37/OffRate))</f>
        <v/>
      </c>
      <c r="M37" s="47" t="str">
        <f aca="false">IF($A37="","",$I37-$L37)</f>
        <v/>
      </c>
      <c r="N37" s="63" t="str">
        <f aca="false">IF($A37="","",IF($M37&lt;=0.01,"Settled","Outstanding"))</f>
        <v/>
      </c>
      <c r="O37" s="36"/>
    </row>
    <row r="38" customFormat="false" ht="15" hidden="false" customHeight="true" outlineLevel="0" collapsed="false">
      <c r="A38" s="38"/>
      <c r="B38" s="38"/>
      <c r="C38" s="38"/>
      <c r="D38" s="38"/>
      <c r="E38" s="38"/>
      <c r="F38" s="38"/>
      <c r="G38" s="64" t="str">
        <f aca="true">IF($D38="","",(TODAY()-$D38)/7)</f>
        <v/>
      </c>
      <c r="H38" s="54" t="str">
        <f aca="false">IF($E38="","",$E38*$F38*$G38)</f>
        <v/>
      </c>
      <c r="I38" s="54" t="str">
        <f aca="false">IF($E38="","",$E38+$H38)</f>
        <v/>
      </c>
      <c r="J38" s="38"/>
      <c r="K38" s="38"/>
      <c r="L38" s="54" t="str">
        <f aca="false">IF($A38="","",IF($J38="",0,$J38)+IF($K38="",0,$K38/OffRate))</f>
        <v/>
      </c>
      <c r="M38" s="54" t="str">
        <f aca="false">IF($A38="","",$I38-$L38)</f>
        <v/>
      </c>
      <c r="N38" s="65" t="str">
        <f aca="false">IF($A38="","",IF($M38&lt;=0.01,"Settled","Outstanding"))</f>
        <v/>
      </c>
      <c r="O38" s="38"/>
    </row>
    <row r="39" customFormat="false" ht="15" hidden="false" customHeight="true" outlineLevel="0" collapsed="false">
      <c r="A39" s="36"/>
      <c r="B39" s="36"/>
      <c r="C39" s="36"/>
      <c r="D39" s="36"/>
      <c r="E39" s="36"/>
      <c r="F39" s="36"/>
      <c r="G39" s="62" t="str">
        <f aca="true">IF($D39="","",(TODAY()-$D39)/7)</f>
        <v/>
      </c>
      <c r="H39" s="47" t="str">
        <f aca="false">IF($E39="","",$E39*$F39*$G39)</f>
        <v/>
      </c>
      <c r="I39" s="47" t="str">
        <f aca="false">IF($E39="","",$E39+$H39)</f>
        <v/>
      </c>
      <c r="J39" s="36"/>
      <c r="K39" s="36"/>
      <c r="L39" s="47" t="str">
        <f aca="false">IF($A39="","",IF($J39="",0,$J39)+IF($K39="",0,$K39/OffRate))</f>
        <v/>
      </c>
      <c r="M39" s="47" t="str">
        <f aca="false">IF($A39="","",$I39-$L39)</f>
        <v/>
      </c>
      <c r="N39" s="63" t="str">
        <f aca="false">IF($A39="","",IF($M39&lt;=0.01,"Settled","Outstanding"))</f>
        <v/>
      </c>
      <c r="O39" s="36"/>
    </row>
    <row r="40" customFormat="false" ht="15" hidden="false" customHeight="true" outlineLevel="0" collapsed="false">
      <c r="A40" s="38"/>
      <c r="B40" s="38"/>
      <c r="C40" s="38"/>
      <c r="D40" s="38"/>
      <c r="E40" s="38"/>
      <c r="F40" s="38"/>
      <c r="G40" s="64" t="str">
        <f aca="true">IF($D40="","",(TODAY()-$D40)/7)</f>
        <v/>
      </c>
      <c r="H40" s="54" t="str">
        <f aca="false">IF($E40="","",$E40*$F40*$G40)</f>
        <v/>
      </c>
      <c r="I40" s="54" t="str">
        <f aca="false">IF($E40="","",$E40+$H40)</f>
        <v/>
      </c>
      <c r="J40" s="38"/>
      <c r="K40" s="38"/>
      <c r="L40" s="54" t="str">
        <f aca="false">IF($A40="","",IF($J40="",0,$J40)+IF($K40="",0,$K40/OffRate))</f>
        <v/>
      </c>
      <c r="M40" s="54" t="str">
        <f aca="false">IF($A40="","",$I40-$L40)</f>
        <v/>
      </c>
      <c r="N40" s="65" t="str">
        <f aca="false">IF($A40="","",IF($M40&lt;=0.01,"Settled","Outstanding"))</f>
        <v/>
      </c>
      <c r="O40" s="38"/>
    </row>
    <row r="41" customFormat="false" ht="15" hidden="false" customHeight="true" outlineLevel="0" collapsed="false">
      <c r="A41" s="36"/>
      <c r="B41" s="36"/>
      <c r="C41" s="36"/>
      <c r="D41" s="36"/>
      <c r="E41" s="36"/>
      <c r="F41" s="36"/>
      <c r="G41" s="62" t="str">
        <f aca="true">IF($D41="","",(TODAY()-$D41)/7)</f>
        <v/>
      </c>
      <c r="H41" s="47" t="str">
        <f aca="false">IF($E41="","",$E41*$F41*$G41)</f>
        <v/>
      </c>
      <c r="I41" s="47" t="str">
        <f aca="false">IF($E41="","",$E41+$H41)</f>
        <v/>
      </c>
      <c r="J41" s="36"/>
      <c r="K41" s="36"/>
      <c r="L41" s="47" t="str">
        <f aca="false">IF($A41="","",IF($J41="",0,$J41)+IF($K41="",0,$K41/OffRate))</f>
        <v/>
      </c>
      <c r="M41" s="47" t="str">
        <f aca="false">IF($A41="","",$I41-$L41)</f>
        <v/>
      </c>
      <c r="N41" s="63" t="str">
        <f aca="false">IF($A41="","",IF($M41&lt;=0.01,"Settled","Outstanding"))</f>
        <v/>
      </c>
      <c r="O41" s="36"/>
    </row>
    <row r="42" customFormat="false" ht="15" hidden="false" customHeight="true" outlineLevel="0" collapsed="false">
      <c r="A42" s="38"/>
      <c r="B42" s="38"/>
      <c r="C42" s="38"/>
      <c r="D42" s="38"/>
      <c r="E42" s="38"/>
      <c r="F42" s="38"/>
      <c r="G42" s="64" t="str">
        <f aca="true">IF($D42="","",(TODAY()-$D42)/7)</f>
        <v/>
      </c>
      <c r="H42" s="54" t="str">
        <f aca="false">IF($E42="","",$E42*$F42*$G42)</f>
        <v/>
      </c>
      <c r="I42" s="54" t="str">
        <f aca="false">IF($E42="","",$E42+$H42)</f>
        <v/>
      </c>
      <c r="J42" s="38"/>
      <c r="K42" s="38"/>
      <c r="L42" s="54" t="str">
        <f aca="false">IF($A42="","",IF($J42="",0,$J42)+IF($K42="",0,$K42/OffRate))</f>
        <v/>
      </c>
      <c r="M42" s="54" t="str">
        <f aca="false">IF($A42="","",$I42-$L42)</f>
        <v/>
      </c>
      <c r="N42" s="65" t="str">
        <f aca="false">IF($A42="","",IF($M42&lt;=0.01,"Settled","Outstanding"))</f>
        <v/>
      </c>
      <c r="O42" s="38"/>
    </row>
    <row r="43" customFormat="false" ht="15" hidden="false" customHeight="true" outlineLevel="0" collapsed="false">
      <c r="A43" s="36"/>
      <c r="B43" s="36"/>
      <c r="C43" s="36"/>
      <c r="D43" s="36"/>
      <c r="E43" s="36"/>
      <c r="F43" s="36"/>
      <c r="G43" s="62" t="str">
        <f aca="true">IF($D43="","",(TODAY()-$D43)/7)</f>
        <v/>
      </c>
      <c r="H43" s="47" t="str">
        <f aca="false">IF($E43="","",$E43*$F43*$G43)</f>
        <v/>
      </c>
      <c r="I43" s="47" t="str">
        <f aca="false">IF($E43="","",$E43+$H43)</f>
        <v/>
      </c>
      <c r="J43" s="36"/>
      <c r="K43" s="36"/>
      <c r="L43" s="47" t="str">
        <f aca="false">IF($A43="","",IF($J43="",0,$J43)+IF($K43="",0,$K43/OffRate))</f>
        <v/>
      </c>
      <c r="M43" s="47" t="str">
        <f aca="false">IF($A43="","",$I43-$L43)</f>
        <v/>
      </c>
      <c r="N43" s="63" t="str">
        <f aca="false">IF($A43="","",IF($M43&lt;=0.01,"Settled","Outstanding"))</f>
        <v/>
      </c>
      <c r="O43" s="36"/>
    </row>
    <row r="44" customFormat="false" ht="15" hidden="false" customHeight="true" outlineLevel="0" collapsed="false">
      <c r="A44" s="38"/>
      <c r="B44" s="38"/>
      <c r="C44" s="38"/>
      <c r="D44" s="38"/>
      <c r="E44" s="38"/>
      <c r="F44" s="38"/>
      <c r="G44" s="64" t="str">
        <f aca="true">IF($D44="","",(TODAY()-$D44)/7)</f>
        <v/>
      </c>
      <c r="H44" s="54" t="str">
        <f aca="false">IF($E44="","",$E44*$F44*$G44)</f>
        <v/>
      </c>
      <c r="I44" s="54" t="str">
        <f aca="false">IF($E44="","",$E44+$H44)</f>
        <v/>
      </c>
      <c r="J44" s="38"/>
      <c r="K44" s="38"/>
      <c r="L44" s="54" t="str">
        <f aca="false">IF($A44="","",IF($J44="",0,$J44)+IF($K44="",0,$K44/OffRate))</f>
        <v/>
      </c>
      <c r="M44" s="54" t="str">
        <f aca="false">IF($A44="","",$I44-$L44)</f>
        <v/>
      </c>
      <c r="N44" s="65" t="str">
        <f aca="false">IF($A44="","",IF($M44&lt;=0.01,"Settled","Outstanding"))</f>
        <v/>
      </c>
      <c r="O44" s="38"/>
    </row>
  </sheetData>
  <mergeCells count="2">
    <mergeCell ref="A1:O1"/>
    <mergeCell ref="A2:O2"/>
  </mergeCells>
  <conditionalFormatting sqref="N5:N44">
    <cfRule type="expression" priority="2" aboveAverage="0" equalAverage="0" bottom="0" percent="0" rank="0" text="" dxfId="3">
      <formula>EXACT($N5,"Outstanding")</formula>
    </cfRule>
    <cfRule type="expression" priority="3" aboveAverage="0" equalAverage="0" bottom="0" percent="0" rank="0" text="" dxfId="1">
      <formula>EXACT($N5,"Settled")</formula>
    </cfRule>
  </conditionalFormatting>
  <dataValidations count="1">
    <dataValidation allowBlank="true" error="Pick from the list" errorStyle="stop" errorTitle="Invalid entry" operator="between" showDropDown="false" showErrorMessage="false" showInputMessage="false" sqref="B5:B44" type="list">
      <formula1>OrderList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16"/>
    <col collapsed="false" customWidth="true" hidden="false" outlineLevel="0" max="4" min="4" style="1" width="26"/>
    <col collapsed="false" customWidth="true" hidden="false" outlineLevel="0" max="5" min="5" style="1" width="24"/>
    <col collapsed="false" customWidth="true" hidden="false" outlineLevel="0" max="6" min="6" style="1" width="15"/>
    <col collapsed="false" customWidth="true" hidden="false" outlineLevel="0" max="8" min="7" style="1" width="14"/>
    <col collapsed="false" customWidth="true" hidden="false" outlineLevel="0" max="9" min="9" style="1" width="13"/>
    <col collapsed="false" customWidth="true" hidden="false" outlineLevel="0" max="10" min="10" style="1" width="15"/>
    <col collapsed="false" customWidth="true" hidden="false" outlineLevel="0" max="11" min="11" style="1" width="20"/>
  </cols>
  <sheetData>
    <row r="1" customFormat="false" ht="27.75" hidden="false" customHeight="true" outlineLevel="0" collapsed="false">
      <c r="A1" s="17" t="s">
        <v>268</v>
      </c>
      <c r="B1" s="17"/>
      <c r="C1" s="17"/>
      <c r="D1" s="17"/>
      <c r="E1" s="17"/>
      <c r="F1" s="17"/>
      <c r="G1" s="17"/>
      <c r="H1" s="17"/>
      <c r="I1" s="17"/>
      <c r="J1" s="17"/>
      <c r="K1" s="17"/>
    </row>
    <row r="2" customFormat="false" ht="15.75" hidden="false" customHeight="true" outlineLevel="0" collapsed="false">
      <c r="A2" s="18" t="s">
        <v>269</v>
      </c>
      <c r="B2" s="18"/>
      <c r="C2" s="18"/>
      <c r="D2" s="18"/>
      <c r="E2" s="18"/>
      <c r="F2" s="18"/>
      <c r="G2" s="18"/>
      <c r="H2" s="18"/>
      <c r="I2" s="18"/>
      <c r="J2" s="18"/>
      <c r="K2" s="18"/>
    </row>
    <row r="4" customFormat="false" ht="30" hidden="false" customHeight="true" outlineLevel="0" collapsed="false">
      <c r="A4" s="20" t="s">
        <v>236</v>
      </c>
      <c r="B4" s="20" t="s">
        <v>134</v>
      </c>
      <c r="C4" s="20" t="s">
        <v>135</v>
      </c>
      <c r="D4" s="20" t="s">
        <v>136</v>
      </c>
      <c r="E4" s="20" t="s">
        <v>207</v>
      </c>
      <c r="F4" s="20" t="s">
        <v>209</v>
      </c>
      <c r="G4" s="20" t="s">
        <v>270</v>
      </c>
      <c r="H4" s="20" t="s">
        <v>177</v>
      </c>
      <c r="I4" s="20" t="s">
        <v>271</v>
      </c>
      <c r="J4" s="20" t="s">
        <v>163</v>
      </c>
      <c r="K4" s="20" t="s">
        <v>33</v>
      </c>
    </row>
    <row r="5" customFormat="false" ht="15" hidden="false" customHeight="true" outlineLevel="0" collapsed="false">
      <c r="A5" s="60" t="n">
        <v>46081</v>
      </c>
      <c r="B5" s="35" t="s">
        <v>147</v>
      </c>
      <c r="C5" s="58" t="str">
        <f aca="false">IFERROR(VLOOKUP($B5,Contracts!$A$5:$B$34,2,0),"")</f>
        <v>Unki Mine</v>
      </c>
      <c r="D5" s="58" t="str">
        <f aca="false">IFERROR(VLOOKUP($B5,Contracts!$A$5:$C$34,3,0),"")</f>
        <v>Construction of refuge chambers &amp; installation of lifelines</v>
      </c>
      <c r="E5" s="36" t="s">
        <v>272</v>
      </c>
      <c r="F5" s="39" t="n">
        <v>40000</v>
      </c>
      <c r="G5" s="47" t="n">
        <f aca="false">IF($F5="","",$F5*VATRate)</f>
        <v>6200</v>
      </c>
      <c r="H5" s="49" t="n">
        <v>0</v>
      </c>
      <c r="I5" s="47" t="n">
        <f aca="false">IF($G5="","",$G5-IF($H5="",0,$H5))</f>
        <v>6200</v>
      </c>
      <c r="J5" s="47" t="n">
        <f aca="false">IF($F5="","",$F5+$G5)</f>
        <v>46200</v>
      </c>
      <c r="K5" s="36"/>
    </row>
    <row r="6" customFormat="false" ht="15" hidden="false" customHeight="true" outlineLevel="0" collapsed="false">
      <c r="A6" s="60" t="n">
        <v>46112</v>
      </c>
      <c r="B6" s="37" t="s">
        <v>149</v>
      </c>
      <c r="C6" s="59" t="str">
        <f aca="false">IFERROR(VLOOKUP($B6,Contracts!$A$5:$B$34,2,0),"")</f>
        <v>Mimosa Mining</v>
      </c>
      <c r="D6" s="59" t="str">
        <f aca="false">IFERROR(VLOOKUP($B6,Contracts!$A$5:$C$34,3,0),"")</f>
        <v>Underground roadway construction</v>
      </c>
      <c r="E6" s="38" t="s">
        <v>273</v>
      </c>
      <c r="F6" s="39" t="n">
        <v>35000</v>
      </c>
      <c r="G6" s="54" t="n">
        <f aca="false">IF($F6="","",$F6*VATRate)</f>
        <v>5425</v>
      </c>
      <c r="H6" s="49" t="n">
        <v>0</v>
      </c>
      <c r="I6" s="54" t="n">
        <f aca="false">IF($G6="","",$G6-IF($H6="",0,$H6))</f>
        <v>5425</v>
      </c>
      <c r="J6" s="54" t="n">
        <f aca="false">IF($F6="","",$F6+$G6)</f>
        <v>40425</v>
      </c>
      <c r="K6" s="38"/>
    </row>
    <row r="7" customFormat="false" ht="15" hidden="false" customHeight="true" outlineLevel="0" collapsed="false">
      <c r="A7" s="60" t="n">
        <v>46142</v>
      </c>
      <c r="B7" s="35" t="s">
        <v>151</v>
      </c>
      <c r="C7" s="58" t="str">
        <f aca="false">IFERROR(VLOOKUP($B7,Contracts!$A$5:$B$34,2,0),"")</f>
        <v>Mimosa Mining</v>
      </c>
      <c r="D7" s="58" t="str">
        <f aca="false">IFERROR(VLOOKUP($B7,Contracts!$A$5:$C$34,3,0),"")</f>
        <v>Ventilation construction</v>
      </c>
      <c r="E7" s="36" t="s">
        <v>274</v>
      </c>
      <c r="F7" s="39" t="n">
        <v>25000</v>
      </c>
      <c r="G7" s="47" t="n">
        <f aca="false">IF($F7="","",$F7*VATRate)</f>
        <v>3875</v>
      </c>
      <c r="H7" s="49" t="n">
        <v>3000</v>
      </c>
      <c r="I7" s="47" t="n">
        <f aca="false">IF($G7="","",$G7-IF($H7="",0,$H7))</f>
        <v>875</v>
      </c>
      <c r="J7" s="47" t="n">
        <f aca="false">IF($F7="","",$F7+$G7)</f>
        <v>28875</v>
      </c>
      <c r="K7" s="36"/>
    </row>
    <row r="8" customFormat="false" ht="15" hidden="false" customHeight="true" outlineLevel="0" collapsed="false">
      <c r="A8" s="60" t="n">
        <v>46173</v>
      </c>
      <c r="B8" s="37" t="s">
        <v>147</v>
      </c>
      <c r="C8" s="59" t="str">
        <f aca="false">IFERROR(VLOOKUP($B8,Contracts!$A$5:$B$34,2,0),"")</f>
        <v>Unki Mine</v>
      </c>
      <c r="D8" s="59" t="str">
        <f aca="false">IFERROR(VLOOKUP($B8,Contracts!$A$5:$C$34,3,0),"")</f>
        <v>Construction of refuge chambers &amp; installation of lifelines</v>
      </c>
      <c r="E8" s="38" t="s">
        <v>275</v>
      </c>
      <c r="F8" s="39" t="n">
        <v>45000</v>
      </c>
      <c r="G8" s="54" t="n">
        <f aca="false">IF($F8="","",$F8*VATRate)</f>
        <v>6975</v>
      </c>
      <c r="H8" s="49" t="n">
        <v>0</v>
      </c>
      <c r="I8" s="54" t="n">
        <f aca="false">IF($G8="","",$G8-IF($H8="",0,$H8))</f>
        <v>6975</v>
      </c>
      <c r="J8" s="54" t="n">
        <f aca="false">IF($F8="","",$F8+$G8)</f>
        <v>51975</v>
      </c>
      <c r="K8" s="38"/>
    </row>
    <row r="9" customFormat="false" ht="15" hidden="false" customHeight="true" outlineLevel="0" collapsed="false">
      <c r="A9" s="60" t="n">
        <v>46142</v>
      </c>
      <c r="B9" s="35" t="s">
        <v>147</v>
      </c>
      <c r="C9" s="58" t="str">
        <f aca="false">IFERROR(VLOOKUP($B9,Contracts!$A$5:$B$34,2,0),"")</f>
        <v>Unki Mine</v>
      </c>
      <c r="D9" s="58" t="str">
        <f aca="false">IFERROR(VLOOKUP($B9,Contracts!$A$5:$C$34,3,0),"")</f>
        <v>Construction of refuge chambers &amp; installation of lifelines</v>
      </c>
      <c r="E9" s="36" t="s">
        <v>276</v>
      </c>
      <c r="F9" s="39" t="n">
        <v>40000</v>
      </c>
      <c r="G9" s="47" t="n">
        <v>6200</v>
      </c>
      <c r="H9" s="49" t="n">
        <v>6200</v>
      </c>
      <c r="I9" s="47" t="n">
        <f aca="false">IF($G9="","",$G9-IF($H9="",0,$H9))</f>
        <v>0</v>
      </c>
      <c r="J9" s="47" t="n">
        <f aca="false">IF($F9="","",$F9+$G9)</f>
        <v>46200</v>
      </c>
      <c r="K9" s="36" t="s">
        <v>154</v>
      </c>
    </row>
    <row r="10" customFormat="false" ht="15" hidden="false" customHeight="true" outlineLevel="0" collapsed="false">
      <c r="A10" s="60" t="n">
        <v>46173</v>
      </c>
      <c r="B10" s="35" t="s">
        <v>147</v>
      </c>
      <c r="C10" s="58" t="str">
        <f aca="false">IFERROR(VLOOKUP($B10,Contracts!$A$5:$B$34,2,0),"")</f>
        <v>Unki Mine</v>
      </c>
      <c r="D10" s="58" t="str">
        <f aca="false">IFERROR(VLOOKUP($B10,Contracts!$A$5:$C$34,3,0),"")</f>
        <v>Construction of refuge chambers &amp; installation of lifelines</v>
      </c>
      <c r="E10" s="36" t="s">
        <v>277</v>
      </c>
      <c r="F10" s="39" t="n">
        <v>40000</v>
      </c>
      <c r="G10" s="47" t="n">
        <v>6200</v>
      </c>
      <c r="H10" s="49" t="n">
        <v>0</v>
      </c>
      <c r="I10" s="47" t="n">
        <f aca="false">IF($G10="","",$G10-IF($H10="",0,$H10))</f>
        <v>6200</v>
      </c>
      <c r="J10" s="47" t="n">
        <f aca="false">IF($F10="","",$F10+$G10)</f>
        <v>46200</v>
      </c>
      <c r="K10" s="36" t="s">
        <v>154</v>
      </c>
    </row>
    <row r="11" customFormat="false" ht="15" hidden="false" customHeight="true" outlineLevel="0" collapsed="false">
      <c r="A11" s="60" t="n">
        <v>46142</v>
      </c>
      <c r="B11" s="35" t="s">
        <v>278</v>
      </c>
      <c r="C11" s="58" t="str">
        <f aca="false">IFERROR(VLOOKUP($B11,Contracts!$A$5:$B$34,2,0),"")</f>
        <v/>
      </c>
      <c r="D11" s="58" t="str">
        <f aca="false">IFERROR(VLOOKUP($B11,Contracts!$A$5:$C$34,3,0),"")</f>
        <v/>
      </c>
      <c r="E11" s="36" t="s">
        <v>279</v>
      </c>
      <c r="F11" s="39" t="n">
        <v>35000</v>
      </c>
      <c r="G11" s="47" t="n">
        <v>5425</v>
      </c>
      <c r="H11" s="49" t="n">
        <v>5425</v>
      </c>
      <c r="I11" s="47" t="n">
        <f aca="false">IF($G11="","",$G11-IF($H11="",0,$H11))</f>
        <v>0</v>
      </c>
      <c r="J11" s="47" t="n">
        <f aca="false">IF($F11="","",$F11+$G11)</f>
        <v>40425</v>
      </c>
      <c r="K11" s="36" t="s">
        <v>154</v>
      </c>
    </row>
    <row r="12" customFormat="false" ht="15" hidden="false" customHeight="true" outlineLevel="0" collapsed="false">
      <c r="A12" s="60" t="n">
        <v>46173</v>
      </c>
      <c r="B12" s="35" t="s">
        <v>151</v>
      </c>
      <c r="C12" s="58" t="str">
        <f aca="false">IFERROR(VLOOKUP($B12,Contracts!$A$5:$B$34,2,0),"")</f>
        <v>Mimosa Mining</v>
      </c>
      <c r="D12" s="58" t="str">
        <f aca="false">IFERROR(VLOOKUP($B12,Contracts!$A$5:$C$34,3,0),"")</f>
        <v>Ventilation construction</v>
      </c>
      <c r="E12" s="36" t="s">
        <v>280</v>
      </c>
      <c r="F12" s="39" t="n">
        <v>22000</v>
      </c>
      <c r="G12" s="47" t="n">
        <v>3410</v>
      </c>
      <c r="H12" s="49" t="n">
        <v>0</v>
      </c>
      <c r="I12" s="47" t="n">
        <f aca="false">IF($G12="","",$G12-IF($H12="",0,$H12))</f>
        <v>3410</v>
      </c>
      <c r="J12" s="47" t="n">
        <f aca="false">IF($F12="","",$F12+$G12)</f>
        <v>25410</v>
      </c>
      <c r="K12" s="36" t="s">
        <v>154</v>
      </c>
    </row>
    <row r="13" customFormat="false" ht="15" hidden="false" customHeight="true" outlineLevel="0" collapsed="false">
      <c r="A13" s="36"/>
      <c r="B13" s="36"/>
      <c r="C13" s="58" t="str">
        <f aca="false">IFERROR(VLOOKUP($B13,Contracts!$A$5:$B$34,2,0),"")</f>
        <v/>
      </c>
      <c r="D13" s="58" t="str">
        <f aca="false">IFERROR(VLOOKUP($B13,Contracts!$A$5:$C$34,3,0),"")</f>
        <v/>
      </c>
      <c r="E13" s="36"/>
      <c r="F13" s="36"/>
      <c r="G13" s="47" t="str">
        <f aca="false">IF($F13="","",$F13*VATRate)</f>
        <v/>
      </c>
      <c r="H13" s="36"/>
      <c r="I13" s="47" t="str">
        <f aca="false">IF($G13="","",$G13-IF($H13="",0,$H13))</f>
        <v/>
      </c>
      <c r="J13" s="47" t="str">
        <f aca="false">IF($F13="","",$F13+$G13)</f>
        <v/>
      </c>
      <c r="K13" s="36"/>
    </row>
    <row r="14" customFormat="false" ht="15" hidden="false" customHeight="true" outlineLevel="0" collapsed="false">
      <c r="A14" s="38"/>
      <c r="B14" s="38"/>
      <c r="C14" s="59" t="str">
        <f aca="false">IFERROR(VLOOKUP($B14,Contracts!$A$5:$B$34,2,0),"")</f>
        <v/>
      </c>
      <c r="D14" s="59" t="str">
        <f aca="false">IFERROR(VLOOKUP($B14,Contracts!$A$5:$C$34,3,0),"")</f>
        <v/>
      </c>
      <c r="E14" s="38"/>
      <c r="F14" s="38"/>
      <c r="G14" s="54" t="str">
        <f aca="false">IF($F14="","",$F14*VATRate)</f>
        <v/>
      </c>
      <c r="H14" s="38"/>
      <c r="I14" s="54" t="str">
        <f aca="false">IF($G14="","",$G14-IF($H14="",0,$H14))</f>
        <v/>
      </c>
      <c r="J14" s="54" t="str">
        <f aca="false">IF($F14="","",$F14+$G14)</f>
        <v/>
      </c>
      <c r="K14" s="38"/>
    </row>
    <row r="15" customFormat="false" ht="15" hidden="false" customHeight="true" outlineLevel="0" collapsed="false">
      <c r="A15" s="36"/>
      <c r="B15" s="36"/>
      <c r="C15" s="58" t="str">
        <f aca="false">IFERROR(VLOOKUP($B15,Contracts!$A$5:$B$34,2,0),"")</f>
        <v/>
      </c>
      <c r="D15" s="58" t="str">
        <f aca="false">IFERROR(VLOOKUP($B15,Contracts!$A$5:$C$34,3,0),"")</f>
        <v/>
      </c>
      <c r="E15" s="36"/>
      <c r="F15" s="36"/>
      <c r="G15" s="47" t="str">
        <f aca="false">IF($F15="","",$F15*VATRate)</f>
        <v/>
      </c>
      <c r="H15" s="36"/>
      <c r="I15" s="47" t="str">
        <f aca="false">IF($G15="","",$G15-IF($H15="",0,$H15))</f>
        <v/>
      </c>
      <c r="J15" s="47" t="str">
        <f aca="false">IF($F15="","",$F15+$G15)</f>
        <v/>
      </c>
      <c r="K15" s="36"/>
    </row>
    <row r="16" customFormat="false" ht="15" hidden="false" customHeight="true" outlineLevel="0" collapsed="false">
      <c r="A16" s="38"/>
      <c r="B16" s="38"/>
      <c r="C16" s="59" t="str">
        <f aca="false">IFERROR(VLOOKUP($B16,Contracts!$A$5:$B$34,2,0),"")</f>
        <v/>
      </c>
      <c r="D16" s="59" t="str">
        <f aca="false">IFERROR(VLOOKUP($B16,Contracts!$A$5:$C$34,3,0),"")</f>
        <v/>
      </c>
      <c r="E16" s="38"/>
      <c r="F16" s="38"/>
      <c r="G16" s="54" t="str">
        <f aca="false">IF($F16="","",$F16*VATRate)</f>
        <v/>
      </c>
      <c r="H16" s="38"/>
      <c r="I16" s="54" t="str">
        <f aca="false">IF($G16="","",$G16-IF($H16="",0,$H16))</f>
        <v/>
      </c>
      <c r="J16" s="54" t="str">
        <f aca="false">IF($F16="","",$F16+$G16)</f>
        <v/>
      </c>
      <c r="K16" s="38"/>
    </row>
    <row r="17" customFormat="false" ht="15" hidden="false" customHeight="true" outlineLevel="0" collapsed="false">
      <c r="A17" s="36"/>
      <c r="B17" s="36"/>
      <c r="C17" s="58" t="str">
        <f aca="false">IFERROR(VLOOKUP($B17,Contracts!$A$5:$B$34,2,0),"")</f>
        <v/>
      </c>
      <c r="D17" s="58" t="str">
        <f aca="false">IFERROR(VLOOKUP($B17,Contracts!$A$5:$C$34,3,0),"")</f>
        <v/>
      </c>
      <c r="E17" s="36"/>
      <c r="F17" s="36"/>
      <c r="G17" s="47" t="str">
        <f aca="false">IF($F17="","",$F17*VATRate)</f>
        <v/>
      </c>
      <c r="H17" s="36"/>
      <c r="I17" s="47" t="str">
        <f aca="false">IF($G17="","",$G17-IF($H17="",0,$H17))</f>
        <v/>
      </c>
      <c r="J17" s="47" t="str">
        <f aca="false">IF($F17="","",$F17+$G17)</f>
        <v/>
      </c>
      <c r="K17" s="36"/>
    </row>
    <row r="18" customFormat="false" ht="15" hidden="false" customHeight="true" outlineLevel="0" collapsed="false">
      <c r="A18" s="38"/>
      <c r="B18" s="38"/>
      <c r="C18" s="59" t="str">
        <f aca="false">IFERROR(VLOOKUP($B18,Contracts!$A$5:$B$34,2,0),"")</f>
        <v/>
      </c>
      <c r="D18" s="59" t="str">
        <f aca="false">IFERROR(VLOOKUP($B18,Contracts!$A$5:$C$34,3,0),"")</f>
        <v/>
      </c>
      <c r="E18" s="38"/>
      <c r="F18" s="38"/>
      <c r="G18" s="54" t="str">
        <f aca="false">IF($F18="","",$F18*VATRate)</f>
        <v/>
      </c>
      <c r="H18" s="38"/>
      <c r="I18" s="54" t="str">
        <f aca="false">IF($G18="","",$G18-IF($H18="",0,$H18))</f>
        <v/>
      </c>
      <c r="J18" s="54" t="str">
        <f aca="false">IF($F18="","",$F18+$G18)</f>
        <v/>
      </c>
      <c r="K18" s="38"/>
    </row>
    <row r="19" customFormat="false" ht="15" hidden="false" customHeight="true" outlineLevel="0" collapsed="false">
      <c r="A19" s="36"/>
      <c r="B19" s="36"/>
      <c r="C19" s="58" t="str">
        <f aca="false">IFERROR(VLOOKUP($B19,Contracts!$A$5:$B$34,2,0),"")</f>
        <v/>
      </c>
      <c r="D19" s="58" t="str">
        <f aca="false">IFERROR(VLOOKUP($B19,Contracts!$A$5:$C$34,3,0),"")</f>
        <v/>
      </c>
      <c r="E19" s="36"/>
      <c r="F19" s="36"/>
      <c r="G19" s="47" t="str">
        <f aca="false">IF($F19="","",$F19*VATRate)</f>
        <v/>
      </c>
      <c r="H19" s="36"/>
      <c r="I19" s="47" t="str">
        <f aca="false">IF($G19="","",$G19-IF($H19="",0,$H19))</f>
        <v/>
      </c>
      <c r="J19" s="47" t="str">
        <f aca="false">IF($F19="","",$F19+$G19)</f>
        <v/>
      </c>
      <c r="K19" s="36"/>
    </row>
    <row r="20" customFormat="false" ht="15" hidden="false" customHeight="true" outlineLevel="0" collapsed="false">
      <c r="A20" s="38"/>
      <c r="B20" s="38"/>
      <c r="C20" s="59" t="str">
        <f aca="false">IFERROR(VLOOKUP($B20,Contracts!$A$5:$B$34,2,0),"")</f>
        <v/>
      </c>
      <c r="D20" s="59" t="str">
        <f aca="false">IFERROR(VLOOKUP($B20,Contracts!$A$5:$C$34,3,0),"")</f>
        <v/>
      </c>
      <c r="E20" s="38"/>
      <c r="F20" s="38"/>
      <c r="G20" s="54" t="str">
        <f aca="false">IF($F20="","",$F20*VATRate)</f>
        <v/>
      </c>
      <c r="H20" s="38"/>
      <c r="I20" s="54" t="str">
        <f aca="false">IF($G20="","",$G20-IF($H20="",0,$H20))</f>
        <v/>
      </c>
      <c r="J20" s="54" t="str">
        <f aca="false">IF($F20="","",$F20+$G20)</f>
        <v/>
      </c>
      <c r="K20" s="38"/>
    </row>
    <row r="21" customFormat="false" ht="15" hidden="false" customHeight="true" outlineLevel="0" collapsed="false">
      <c r="A21" s="36"/>
      <c r="B21" s="36"/>
      <c r="C21" s="58" t="str">
        <f aca="false">IFERROR(VLOOKUP($B21,Contracts!$A$5:$B$34,2,0),"")</f>
        <v/>
      </c>
      <c r="D21" s="58" t="str">
        <f aca="false">IFERROR(VLOOKUP($B21,Contracts!$A$5:$C$34,3,0),"")</f>
        <v/>
      </c>
      <c r="E21" s="36"/>
      <c r="F21" s="36"/>
      <c r="G21" s="47" t="str">
        <f aca="false">IF($F21="","",$F21*VATRate)</f>
        <v/>
      </c>
      <c r="H21" s="36"/>
      <c r="I21" s="47" t="str">
        <f aca="false">IF($G21="","",$G21-IF($H21="",0,$H21))</f>
        <v/>
      </c>
      <c r="J21" s="47" t="str">
        <f aca="false">IF($F21="","",$F21+$G21)</f>
        <v/>
      </c>
      <c r="K21" s="36"/>
    </row>
    <row r="22" customFormat="false" ht="15" hidden="false" customHeight="true" outlineLevel="0" collapsed="false">
      <c r="A22" s="38"/>
      <c r="B22" s="38"/>
      <c r="C22" s="59" t="str">
        <f aca="false">IFERROR(VLOOKUP($B22,Contracts!$A$5:$B$34,2,0),"")</f>
        <v/>
      </c>
      <c r="D22" s="59" t="str">
        <f aca="false">IFERROR(VLOOKUP($B22,Contracts!$A$5:$C$34,3,0),"")</f>
        <v/>
      </c>
      <c r="E22" s="38"/>
      <c r="F22" s="38"/>
      <c r="G22" s="54" t="str">
        <f aca="false">IF($F22="","",$F22*VATRate)</f>
        <v/>
      </c>
      <c r="H22" s="38"/>
      <c r="I22" s="54" t="str">
        <f aca="false">IF($G22="","",$G22-IF($H22="",0,$H22))</f>
        <v/>
      </c>
      <c r="J22" s="54" t="str">
        <f aca="false">IF($F22="","",$F22+$G22)</f>
        <v/>
      </c>
      <c r="K22" s="38"/>
    </row>
    <row r="23" customFormat="false" ht="15" hidden="false" customHeight="true" outlineLevel="0" collapsed="false">
      <c r="A23" s="36"/>
      <c r="B23" s="36"/>
      <c r="C23" s="58" t="str">
        <f aca="false">IFERROR(VLOOKUP($B23,Contracts!$A$5:$B$34,2,0),"")</f>
        <v/>
      </c>
      <c r="D23" s="58" t="str">
        <f aca="false">IFERROR(VLOOKUP($B23,Contracts!$A$5:$C$34,3,0),"")</f>
        <v/>
      </c>
      <c r="E23" s="36"/>
      <c r="F23" s="36"/>
      <c r="G23" s="47" t="str">
        <f aca="false">IF($F23="","",$F23*VATRate)</f>
        <v/>
      </c>
      <c r="H23" s="36"/>
      <c r="I23" s="47" t="str">
        <f aca="false">IF($G23="","",$G23-IF($H23="",0,$H23))</f>
        <v/>
      </c>
      <c r="J23" s="47" t="str">
        <f aca="false">IF($F23="","",$F23+$G23)</f>
        <v/>
      </c>
      <c r="K23" s="36"/>
    </row>
    <row r="24" customFormat="false" ht="15" hidden="false" customHeight="true" outlineLevel="0" collapsed="false">
      <c r="A24" s="38"/>
      <c r="B24" s="38"/>
      <c r="C24" s="59" t="str">
        <f aca="false">IFERROR(VLOOKUP($B24,Contracts!$A$5:$B$34,2,0),"")</f>
        <v/>
      </c>
      <c r="D24" s="59" t="str">
        <f aca="false">IFERROR(VLOOKUP($B24,Contracts!$A$5:$C$34,3,0),"")</f>
        <v/>
      </c>
      <c r="E24" s="38"/>
      <c r="F24" s="38"/>
      <c r="G24" s="54" t="str">
        <f aca="false">IF($F24="","",$F24*VATRate)</f>
        <v/>
      </c>
      <c r="H24" s="38"/>
      <c r="I24" s="54" t="str">
        <f aca="false">IF($G24="","",$G24-IF($H24="",0,$H24))</f>
        <v/>
      </c>
      <c r="J24" s="54" t="str">
        <f aca="false">IF($F24="","",$F24+$G24)</f>
        <v/>
      </c>
      <c r="K24" s="38"/>
    </row>
    <row r="25" customFormat="false" ht="15" hidden="false" customHeight="true" outlineLevel="0" collapsed="false">
      <c r="A25" s="36"/>
      <c r="B25" s="36"/>
      <c r="C25" s="58" t="str">
        <f aca="false">IFERROR(VLOOKUP($B25,Contracts!$A$5:$B$34,2,0),"")</f>
        <v/>
      </c>
      <c r="D25" s="58" t="str">
        <f aca="false">IFERROR(VLOOKUP($B25,Contracts!$A$5:$C$34,3,0),"")</f>
        <v/>
      </c>
      <c r="E25" s="36"/>
      <c r="F25" s="36"/>
      <c r="G25" s="47" t="str">
        <f aca="false">IF($F25="","",$F25*VATRate)</f>
        <v/>
      </c>
      <c r="H25" s="36"/>
      <c r="I25" s="47" t="str">
        <f aca="false">IF($G25="","",$G25-IF($H25="",0,$H25))</f>
        <v/>
      </c>
      <c r="J25" s="47" t="str">
        <f aca="false">IF($F25="","",$F25+$G25)</f>
        <v/>
      </c>
      <c r="K25" s="36"/>
    </row>
    <row r="26" customFormat="false" ht="15" hidden="false" customHeight="true" outlineLevel="0" collapsed="false">
      <c r="A26" s="38"/>
      <c r="B26" s="38"/>
      <c r="C26" s="59" t="str">
        <f aca="false">IFERROR(VLOOKUP($B26,Contracts!$A$5:$B$34,2,0),"")</f>
        <v/>
      </c>
      <c r="D26" s="59" t="str">
        <f aca="false">IFERROR(VLOOKUP($B26,Contracts!$A$5:$C$34,3,0),"")</f>
        <v/>
      </c>
      <c r="E26" s="38"/>
      <c r="F26" s="38"/>
      <c r="G26" s="54" t="str">
        <f aca="false">IF($F26="","",$F26*VATRate)</f>
        <v/>
      </c>
      <c r="H26" s="38"/>
      <c r="I26" s="54" t="str">
        <f aca="false">IF($G26="","",$G26-IF($H26="",0,$H26))</f>
        <v/>
      </c>
      <c r="J26" s="54" t="str">
        <f aca="false">IF($F26="","",$F26+$G26)</f>
        <v/>
      </c>
      <c r="K26" s="38"/>
    </row>
    <row r="27" customFormat="false" ht="15" hidden="false" customHeight="true" outlineLevel="0" collapsed="false">
      <c r="A27" s="36"/>
      <c r="B27" s="36"/>
      <c r="C27" s="58" t="str">
        <f aca="false">IFERROR(VLOOKUP($B27,Contracts!$A$5:$B$34,2,0),"")</f>
        <v/>
      </c>
      <c r="D27" s="58" t="str">
        <f aca="false">IFERROR(VLOOKUP($B27,Contracts!$A$5:$C$34,3,0),"")</f>
        <v/>
      </c>
      <c r="E27" s="36"/>
      <c r="F27" s="36"/>
      <c r="G27" s="47" t="str">
        <f aca="false">IF($F27="","",$F27*VATRate)</f>
        <v/>
      </c>
      <c r="H27" s="36"/>
      <c r="I27" s="47" t="str">
        <f aca="false">IF($G27="","",$G27-IF($H27="",0,$H27))</f>
        <v/>
      </c>
      <c r="J27" s="47" t="str">
        <f aca="false">IF($F27="","",$F27+$G27)</f>
        <v/>
      </c>
      <c r="K27" s="36"/>
    </row>
    <row r="28" customFormat="false" ht="15" hidden="false" customHeight="true" outlineLevel="0" collapsed="false">
      <c r="A28" s="38"/>
      <c r="B28" s="38"/>
      <c r="C28" s="59" t="str">
        <f aca="false">IFERROR(VLOOKUP($B28,Contracts!$A$5:$B$34,2,0),"")</f>
        <v/>
      </c>
      <c r="D28" s="59" t="str">
        <f aca="false">IFERROR(VLOOKUP($B28,Contracts!$A$5:$C$34,3,0),"")</f>
        <v/>
      </c>
      <c r="E28" s="38"/>
      <c r="F28" s="38"/>
      <c r="G28" s="54" t="str">
        <f aca="false">IF($F28="","",$F28*VATRate)</f>
        <v/>
      </c>
      <c r="H28" s="38"/>
      <c r="I28" s="54" t="str">
        <f aca="false">IF($G28="","",$G28-IF($H28="",0,$H28))</f>
        <v/>
      </c>
      <c r="J28" s="54" t="str">
        <f aca="false">IF($F28="","",$F28+$G28)</f>
        <v/>
      </c>
      <c r="K28" s="38"/>
    </row>
    <row r="29" customFormat="false" ht="15" hidden="false" customHeight="true" outlineLevel="0" collapsed="false">
      <c r="A29" s="36"/>
      <c r="B29" s="36"/>
      <c r="C29" s="58" t="str">
        <f aca="false">IFERROR(VLOOKUP($B29,Contracts!$A$5:$B$34,2,0),"")</f>
        <v/>
      </c>
      <c r="D29" s="58" t="str">
        <f aca="false">IFERROR(VLOOKUP($B29,Contracts!$A$5:$C$34,3,0),"")</f>
        <v/>
      </c>
      <c r="E29" s="36"/>
      <c r="F29" s="36"/>
      <c r="G29" s="47" t="str">
        <f aca="false">IF($F29="","",$F29*VATRate)</f>
        <v/>
      </c>
      <c r="H29" s="36"/>
      <c r="I29" s="47" t="str">
        <f aca="false">IF($G29="","",$G29-IF($H29="",0,$H29))</f>
        <v/>
      </c>
      <c r="J29" s="47" t="str">
        <f aca="false">IF($F29="","",$F29+$G29)</f>
        <v/>
      </c>
      <c r="K29" s="36"/>
    </row>
    <row r="30" customFormat="false" ht="15" hidden="false" customHeight="true" outlineLevel="0" collapsed="false">
      <c r="A30" s="38"/>
      <c r="B30" s="38"/>
      <c r="C30" s="59" t="str">
        <f aca="false">IFERROR(VLOOKUP($B30,Contracts!$A$5:$B$34,2,0),"")</f>
        <v/>
      </c>
      <c r="D30" s="59" t="str">
        <f aca="false">IFERROR(VLOOKUP($B30,Contracts!$A$5:$C$34,3,0),"")</f>
        <v/>
      </c>
      <c r="E30" s="38"/>
      <c r="F30" s="38"/>
      <c r="G30" s="54" t="str">
        <f aca="false">IF($F30="","",$F30*VATRate)</f>
        <v/>
      </c>
      <c r="H30" s="38"/>
      <c r="I30" s="54" t="str">
        <f aca="false">IF($G30="","",$G30-IF($H30="",0,$H30))</f>
        <v/>
      </c>
      <c r="J30" s="54" t="str">
        <f aca="false">IF($F30="","",$F30+$G30)</f>
        <v/>
      </c>
      <c r="K30" s="38"/>
    </row>
    <row r="31" customFormat="false" ht="15" hidden="false" customHeight="true" outlineLevel="0" collapsed="false">
      <c r="A31" s="36"/>
      <c r="B31" s="36"/>
      <c r="C31" s="58" t="str">
        <f aca="false">IFERROR(VLOOKUP($B31,Contracts!$A$5:$B$34,2,0),"")</f>
        <v/>
      </c>
      <c r="D31" s="58" t="str">
        <f aca="false">IFERROR(VLOOKUP($B31,Contracts!$A$5:$C$34,3,0),"")</f>
        <v/>
      </c>
      <c r="E31" s="36"/>
      <c r="F31" s="36"/>
      <c r="G31" s="47" t="str">
        <f aca="false">IF($F31="","",$F31*VATRate)</f>
        <v/>
      </c>
      <c r="H31" s="36"/>
      <c r="I31" s="47" t="str">
        <f aca="false">IF($G31="","",$G31-IF($H31="",0,$H31))</f>
        <v/>
      </c>
      <c r="J31" s="47" t="str">
        <f aca="false">IF($F31="","",$F31+$G31)</f>
        <v/>
      </c>
      <c r="K31" s="36"/>
    </row>
    <row r="32" customFormat="false" ht="15" hidden="false" customHeight="true" outlineLevel="0" collapsed="false">
      <c r="A32" s="38"/>
      <c r="B32" s="38"/>
      <c r="C32" s="59" t="str">
        <f aca="false">IFERROR(VLOOKUP($B32,Contracts!$A$5:$B$34,2,0),"")</f>
        <v/>
      </c>
      <c r="D32" s="59" t="str">
        <f aca="false">IFERROR(VLOOKUP($B32,Contracts!$A$5:$C$34,3,0),"")</f>
        <v/>
      </c>
      <c r="E32" s="38"/>
      <c r="F32" s="38"/>
      <c r="G32" s="54" t="str">
        <f aca="false">IF($F32="","",$F32*VATRate)</f>
        <v/>
      </c>
      <c r="H32" s="38"/>
      <c r="I32" s="54" t="str">
        <f aca="false">IF($G32="","",$G32-IF($H32="",0,$H32))</f>
        <v/>
      </c>
      <c r="J32" s="54" t="str">
        <f aca="false">IF($F32="","",$F32+$G32)</f>
        <v/>
      </c>
      <c r="K32" s="38"/>
    </row>
    <row r="33" customFormat="false" ht="15" hidden="false" customHeight="true" outlineLevel="0" collapsed="false">
      <c r="A33" s="36"/>
      <c r="B33" s="36"/>
      <c r="C33" s="58" t="str">
        <f aca="false">IFERROR(VLOOKUP($B33,Contracts!$A$5:$B$34,2,0),"")</f>
        <v/>
      </c>
      <c r="D33" s="58" t="str">
        <f aca="false">IFERROR(VLOOKUP($B33,Contracts!$A$5:$C$34,3,0),"")</f>
        <v/>
      </c>
      <c r="E33" s="36"/>
      <c r="F33" s="36"/>
      <c r="G33" s="47" t="str">
        <f aca="false">IF($F33="","",$F33*VATRate)</f>
        <v/>
      </c>
      <c r="H33" s="36"/>
      <c r="I33" s="47" t="str">
        <f aca="false">IF($G33="","",$G33-IF($H33="",0,$H33))</f>
        <v/>
      </c>
      <c r="J33" s="47" t="str">
        <f aca="false">IF($F33="","",$F33+$G33)</f>
        <v/>
      </c>
      <c r="K33" s="36"/>
    </row>
    <row r="34" customFormat="false" ht="15" hidden="false" customHeight="true" outlineLevel="0" collapsed="false">
      <c r="A34" s="38"/>
      <c r="B34" s="38"/>
      <c r="C34" s="59" t="str">
        <f aca="false">IFERROR(VLOOKUP($B34,Contracts!$A$5:$B$34,2,0),"")</f>
        <v/>
      </c>
      <c r="D34" s="59" t="str">
        <f aca="false">IFERROR(VLOOKUP($B34,Contracts!$A$5:$C$34,3,0),"")</f>
        <v/>
      </c>
      <c r="E34" s="38"/>
      <c r="F34" s="38"/>
      <c r="G34" s="54" t="str">
        <f aca="false">IF($F34="","",$F34*VATRate)</f>
        <v/>
      </c>
      <c r="H34" s="38"/>
      <c r="I34" s="54" t="str">
        <f aca="false">IF($G34="","",$G34-IF($H34="",0,$H34))</f>
        <v/>
      </c>
      <c r="J34" s="54" t="str">
        <f aca="false">IF($F34="","",$F34+$G34)</f>
        <v/>
      </c>
      <c r="K34" s="38"/>
    </row>
    <row r="35" customFormat="false" ht="15" hidden="false" customHeight="true" outlineLevel="0" collapsed="false">
      <c r="A35" s="36"/>
      <c r="B35" s="36"/>
      <c r="C35" s="58" t="str">
        <f aca="false">IFERROR(VLOOKUP($B35,Contracts!$A$5:$B$34,2,0),"")</f>
        <v/>
      </c>
      <c r="D35" s="58" t="str">
        <f aca="false">IFERROR(VLOOKUP($B35,Contracts!$A$5:$C$34,3,0),"")</f>
        <v/>
      </c>
      <c r="E35" s="36"/>
      <c r="F35" s="36"/>
      <c r="G35" s="47" t="str">
        <f aca="false">IF($F35="","",$F35*VATRate)</f>
        <v/>
      </c>
      <c r="H35" s="36"/>
      <c r="I35" s="47" t="str">
        <f aca="false">IF($G35="","",$G35-IF($H35="",0,$H35))</f>
        <v/>
      </c>
      <c r="J35" s="47" t="str">
        <f aca="false">IF($F35="","",$F35+$G35)</f>
        <v/>
      </c>
      <c r="K35" s="36"/>
    </row>
    <row r="36" customFormat="false" ht="15" hidden="false" customHeight="true" outlineLevel="0" collapsed="false">
      <c r="A36" s="38"/>
      <c r="B36" s="38"/>
      <c r="C36" s="59" t="str">
        <f aca="false">IFERROR(VLOOKUP($B36,Contracts!$A$5:$B$34,2,0),"")</f>
        <v/>
      </c>
      <c r="D36" s="59" t="str">
        <f aca="false">IFERROR(VLOOKUP($B36,Contracts!$A$5:$C$34,3,0),"")</f>
        <v/>
      </c>
      <c r="E36" s="38"/>
      <c r="F36" s="38"/>
      <c r="G36" s="54" t="str">
        <f aca="false">IF($F36="","",$F36*VATRate)</f>
        <v/>
      </c>
      <c r="H36" s="38"/>
      <c r="I36" s="54" t="str">
        <f aca="false">IF($G36="","",$G36-IF($H36="",0,$H36))</f>
        <v/>
      </c>
      <c r="J36" s="54" t="str">
        <f aca="false">IF($F36="","",$F36+$G36)</f>
        <v/>
      </c>
      <c r="K36" s="38"/>
    </row>
    <row r="37" customFormat="false" ht="15" hidden="false" customHeight="true" outlineLevel="0" collapsed="false">
      <c r="A37" s="36"/>
      <c r="B37" s="36"/>
      <c r="C37" s="58" t="str">
        <f aca="false">IFERROR(VLOOKUP($B37,Contracts!$A$5:$B$34,2,0),"")</f>
        <v/>
      </c>
      <c r="D37" s="58" t="str">
        <f aca="false">IFERROR(VLOOKUP($B37,Contracts!$A$5:$C$34,3,0),"")</f>
        <v/>
      </c>
      <c r="E37" s="36"/>
      <c r="F37" s="36"/>
      <c r="G37" s="47" t="str">
        <f aca="false">IF($F37="","",$F37*VATRate)</f>
        <v/>
      </c>
      <c r="H37" s="36"/>
      <c r="I37" s="47" t="str">
        <f aca="false">IF($G37="","",$G37-IF($H37="",0,$H37))</f>
        <v/>
      </c>
      <c r="J37" s="47" t="str">
        <f aca="false">IF($F37="","",$F37+$G37)</f>
        <v/>
      </c>
      <c r="K37" s="36"/>
    </row>
    <row r="38" customFormat="false" ht="15" hidden="false" customHeight="true" outlineLevel="0" collapsed="false">
      <c r="A38" s="38"/>
      <c r="B38" s="38"/>
      <c r="C38" s="59" t="str">
        <f aca="false">IFERROR(VLOOKUP($B38,Contracts!$A$5:$B$34,2,0),"")</f>
        <v/>
      </c>
      <c r="D38" s="59" t="str">
        <f aca="false">IFERROR(VLOOKUP($B38,Contracts!$A$5:$C$34,3,0),"")</f>
        <v/>
      </c>
      <c r="E38" s="38"/>
      <c r="F38" s="38"/>
      <c r="G38" s="54" t="str">
        <f aca="false">IF($F38="","",$F38*VATRate)</f>
        <v/>
      </c>
      <c r="H38" s="38"/>
      <c r="I38" s="54" t="str">
        <f aca="false">IF($G38="","",$G38-IF($H38="",0,$H38))</f>
        <v/>
      </c>
      <c r="J38" s="54" t="str">
        <f aca="false">IF($F38="","",$F38+$G38)</f>
        <v/>
      </c>
      <c r="K38" s="38"/>
    </row>
    <row r="39" customFormat="false" ht="15" hidden="false" customHeight="true" outlineLevel="0" collapsed="false">
      <c r="A39" s="36"/>
      <c r="B39" s="36"/>
      <c r="C39" s="58" t="str">
        <f aca="false">IFERROR(VLOOKUP($B39,Contracts!$A$5:$B$34,2,0),"")</f>
        <v/>
      </c>
      <c r="D39" s="58" t="str">
        <f aca="false">IFERROR(VLOOKUP($B39,Contracts!$A$5:$C$34,3,0),"")</f>
        <v/>
      </c>
      <c r="E39" s="36"/>
      <c r="F39" s="36"/>
      <c r="G39" s="47" t="str">
        <f aca="false">IF($F39="","",$F39*VATRate)</f>
        <v/>
      </c>
      <c r="H39" s="36"/>
      <c r="I39" s="47" t="str">
        <f aca="false">IF($G39="","",$G39-IF($H39="",0,$H39))</f>
        <v/>
      </c>
      <c r="J39" s="47" t="str">
        <f aca="false">IF($F39="","",$F39+$G39)</f>
        <v/>
      </c>
      <c r="K39" s="36"/>
    </row>
    <row r="40" customFormat="false" ht="15" hidden="false" customHeight="true" outlineLevel="0" collapsed="false">
      <c r="A40" s="38"/>
      <c r="B40" s="38"/>
      <c r="C40" s="59" t="str">
        <f aca="false">IFERROR(VLOOKUP($B40,Contracts!$A$5:$B$34,2,0),"")</f>
        <v/>
      </c>
      <c r="D40" s="59" t="str">
        <f aca="false">IFERROR(VLOOKUP($B40,Contracts!$A$5:$C$34,3,0),"")</f>
        <v/>
      </c>
      <c r="E40" s="38"/>
      <c r="F40" s="38"/>
      <c r="G40" s="54" t="str">
        <f aca="false">IF($F40="","",$F40*VATRate)</f>
        <v/>
      </c>
      <c r="H40" s="38"/>
      <c r="I40" s="54" t="str">
        <f aca="false">IF($G40="","",$G40-IF($H40="",0,$H40))</f>
        <v/>
      </c>
      <c r="J40" s="54" t="str">
        <f aca="false">IF($F40="","",$F40+$G40)</f>
        <v/>
      </c>
      <c r="K40" s="38"/>
    </row>
    <row r="41" customFormat="false" ht="15" hidden="false" customHeight="true" outlineLevel="0" collapsed="false">
      <c r="A41" s="36"/>
      <c r="B41" s="36"/>
      <c r="C41" s="58" t="str">
        <f aca="false">IFERROR(VLOOKUP($B41,Contracts!$A$5:$B$34,2,0),"")</f>
        <v/>
      </c>
      <c r="D41" s="58" t="str">
        <f aca="false">IFERROR(VLOOKUP($B41,Contracts!$A$5:$C$34,3,0),"")</f>
        <v/>
      </c>
      <c r="E41" s="36"/>
      <c r="F41" s="36"/>
      <c r="G41" s="47" t="str">
        <f aca="false">IF($F41="","",$F41*VATRate)</f>
        <v/>
      </c>
      <c r="H41" s="36"/>
      <c r="I41" s="47" t="str">
        <f aca="false">IF($G41="","",$G41-IF($H41="",0,$H41))</f>
        <v/>
      </c>
      <c r="J41" s="47" t="str">
        <f aca="false">IF($F41="","",$F41+$G41)</f>
        <v/>
      </c>
      <c r="K41" s="36"/>
    </row>
    <row r="42" customFormat="false" ht="15" hidden="false" customHeight="true" outlineLevel="0" collapsed="false">
      <c r="A42" s="38"/>
      <c r="B42" s="38"/>
      <c r="C42" s="59" t="str">
        <f aca="false">IFERROR(VLOOKUP($B42,Contracts!$A$5:$B$34,2,0),"")</f>
        <v/>
      </c>
      <c r="D42" s="59" t="str">
        <f aca="false">IFERROR(VLOOKUP($B42,Contracts!$A$5:$C$34,3,0),"")</f>
        <v/>
      </c>
      <c r="E42" s="38"/>
      <c r="F42" s="38"/>
      <c r="G42" s="54" t="str">
        <f aca="false">IF($F42="","",$F42*VATRate)</f>
        <v/>
      </c>
      <c r="H42" s="38"/>
      <c r="I42" s="54" t="str">
        <f aca="false">IF($G42="","",$G42-IF($H42="",0,$H42))</f>
        <v/>
      </c>
      <c r="J42" s="54" t="str">
        <f aca="false">IF($F42="","",$F42+$G42)</f>
        <v/>
      </c>
      <c r="K42" s="38"/>
    </row>
    <row r="43" customFormat="false" ht="15" hidden="false" customHeight="true" outlineLevel="0" collapsed="false">
      <c r="A43" s="36"/>
      <c r="B43" s="36"/>
      <c r="C43" s="58" t="str">
        <f aca="false">IFERROR(VLOOKUP($B43,Contracts!$A$5:$B$34,2,0),"")</f>
        <v/>
      </c>
      <c r="D43" s="58" t="str">
        <f aca="false">IFERROR(VLOOKUP($B43,Contracts!$A$5:$C$34,3,0),"")</f>
        <v/>
      </c>
      <c r="E43" s="36"/>
      <c r="F43" s="36"/>
      <c r="G43" s="47" t="str">
        <f aca="false">IF($F43="","",$F43*VATRate)</f>
        <v/>
      </c>
      <c r="H43" s="36"/>
      <c r="I43" s="47" t="str">
        <f aca="false">IF($G43="","",$G43-IF($H43="",0,$H43))</f>
        <v/>
      </c>
      <c r="J43" s="47" t="str">
        <f aca="false">IF($F43="","",$F43+$G43)</f>
        <v/>
      </c>
      <c r="K43" s="36"/>
    </row>
    <row r="44" customFormat="false" ht="15" hidden="false" customHeight="true" outlineLevel="0" collapsed="false">
      <c r="A44" s="38"/>
      <c r="B44" s="38"/>
      <c r="C44" s="59" t="str">
        <f aca="false">IFERROR(VLOOKUP($B44,Contracts!$A$5:$B$34,2,0),"")</f>
        <v/>
      </c>
      <c r="D44" s="59" t="str">
        <f aca="false">IFERROR(VLOOKUP($B44,Contracts!$A$5:$C$34,3,0),"")</f>
        <v/>
      </c>
      <c r="E44" s="38"/>
      <c r="F44" s="38"/>
      <c r="G44" s="54" t="str">
        <f aca="false">IF($F44="","",$F44*VATRate)</f>
        <v/>
      </c>
      <c r="H44" s="38"/>
      <c r="I44" s="54" t="str">
        <f aca="false">IF($G44="","",$G44-IF($H44="",0,$H44))</f>
        <v/>
      </c>
      <c r="J44" s="54" t="str">
        <f aca="false">IF($F44="","",$F44+$G44)</f>
        <v/>
      </c>
      <c r="K44" s="38"/>
    </row>
    <row r="45" customFormat="false" ht="15" hidden="false" customHeight="true" outlineLevel="0" collapsed="false">
      <c r="A45" s="36"/>
      <c r="B45" s="36"/>
      <c r="C45" s="58" t="str">
        <f aca="false">IFERROR(VLOOKUP($B45,Contracts!$A$5:$B$34,2,0),"")</f>
        <v/>
      </c>
      <c r="D45" s="58" t="str">
        <f aca="false">IFERROR(VLOOKUP($B45,Contracts!$A$5:$C$34,3,0),"")</f>
        <v/>
      </c>
      <c r="E45" s="36"/>
      <c r="F45" s="36"/>
      <c r="G45" s="47" t="str">
        <f aca="false">IF($F45="","",$F45*VATRate)</f>
        <v/>
      </c>
      <c r="H45" s="36"/>
      <c r="I45" s="47" t="str">
        <f aca="false">IF($G45="","",$G45-IF($H45="",0,$H45))</f>
        <v/>
      </c>
      <c r="J45" s="47" t="str">
        <f aca="false">IF($F45="","",$F45+$G45)</f>
        <v/>
      </c>
      <c r="K45" s="36"/>
    </row>
    <row r="46" customFormat="false" ht="15" hidden="false" customHeight="true" outlineLevel="0" collapsed="false">
      <c r="A46" s="38"/>
      <c r="B46" s="38"/>
      <c r="C46" s="59" t="str">
        <f aca="false">IFERROR(VLOOKUP($B46,Contracts!$A$5:$B$34,2,0),"")</f>
        <v/>
      </c>
      <c r="D46" s="59" t="str">
        <f aca="false">IFERROR(VLOOKUP($B46,Contracts!$A$5:$C$34,3,0),"")</f>
        <v/>
      </c>
      <c r="E46" s="38"/>
      <c r="F46" s="38"/>
      <c r="G46" s="54" t="str">
        <f aca="false">IF($F46="","",$F46*VATRate)</f>
        <v/>
      </c>
      <c r="H46" s="38"/>
      <c r="I46" s="54" t="str">
        <f aca="false">IF($G46="","",$G46-IF($H46="",0,$H46))</f>
        <v/>
      </c>
      <c r="J46" s="54" t="str">
        <f aca="false">IF($F46="","",$F46+$G46)</f>
        <v/>
      </c>
      <c r="K46" s="38"/>
    </row>
    <row r="47" customFormat="false" ht="15" hidden="false" customHeight="true" outlineLevel="0" collapsed="false">
      <c r="A47" s="36"/>
      <c r="B47" s="36"/>
      <c r="C47" s="58" t="str">
        <f aca="false">IFERROR(VLOOKUP($B47,Contracts!$A$5:$B$34,2,0),"")</f>
        <v/>
      </c>
      <c r="D47" s="58" t="str">
        <f aca="false">IFERROR(VLOOKUP($B47,Contracts!$A$5:$C$34,3,0),"")</f>
        <v/>
      </c>
      <c r="E47" s="36"/>
      <c r="F47" s="36"/>
      <c r="G47" s="47" t="str">
        <f aca="false">IF($F47="","",$F47*VATRate)</f>
        <v/>
      </c>
      <c r="H47" s="36"/>
      <c r="I47" s="47" t="str">
        <f aca="false">IF($G47="","",$G47-IF($H47="",0,$H47))</f>
        <v/>
      </c>
      <c r="J47" s="47" t="str">
        <f aca="false">IF($F47="","",$F47+$G47)</f>
        <v/>
      </c>
      <c r="K47" s="36"/>
    </row>
    <row r="48" customFormat="false" ht="15" hidden="false" customHeight="true" outlineLevel="0" collapsed="false">
      <c r="A48" s="38"/>
      <c r="B48" s="38"/>
      <c r="C48" s="59" t="str">
        <f aca="false">IFERROR(VLOOKUP($B48,Contracts!$A$5:$B$34,2,0),"")</f>
        <v/>
      </c>
      <c r="D48" s="59" t="str">
        <f aca="false">IFERROR(VLOOKUP($B48,Contracts!$A$5:$C$34,3,0),"")</f>
        <v/>
      </c>
      <c r="E48" s="38"/>
      <c r="F48" s="38"/>
      <c r="G48" s="54" t="str">
        <f aca="false">IF($F48="","",$F48*VATRate)</f>
        <v/>
      </c>
      <c r="H48" s="38"/>
      <c r="I48" s="54" t="str">
        <f aca="false">IF($G48="","",$G48-IF($H48="",0,$H48))</f>
        <v/>
      </c>
      <c r="J48" s="54" t="str">
        <f aca="false">IF($F48="","",$F48+$G48)</f>
        <v/>
      </c>
      <c r="K48" s="38"/>
    </row>
    <row r="49" customFormat="false" ht="15" hidden="false" customHeight="true" outlineLevel="0" collapsed="false">
      <c r="A49" s="36"/>
      <c r="B49" s="36"/>
      <c r="C49" s="58" t="str">
        <f aca="false">IFERROR(VLOOKUP($B49,Contracts!$A$5:$B$34,2,0),"")</f>
        <v/>
      </c>
      <c r="D49" s="58" t="str">
        <f aca="false">IFERROR(VLOOKUP($B49,Contracts!$A$5:$C$34,3,0),"")</f>
        <v/>
      </c>
      <c r="E49" s="36"/>
      <c r="F49" s="36"/>
      <c r="G49" s="47" t="str">
        <f aca="false">IF($F49="","",$F49*VATRate)</f>
        <v/>
      </c>
      <c r="H49" s="36"/>
      <c r="I49" s="47" t="str">
        <f aca="false">IF($G49="","",$G49-IF($H49="",0,$H49))</f>
        <v/>
      </c>
      <c r="J49" s="47" t="str">
        <f aca="false">IF($F49="","",$F49+$G49)</f>
        <v/>
      </c>
      <c r="K49" s="36"/>
    </row>
    <row r="50" customFormat="false" ht="15" hidden="false" customHeight="true" outlineLevel="0" collapsed="false">
      <c r="A50" s="38"/>
      <c r="B50" s="38"/>
      <c r="C50" s="59" t="str">
        <f aca="false">IFERROR(VLOOKUP($B50,Contracts!$A$5:$B$34,2,0),"")</f>
        <v/>
      </c>
      <c r="D50" s="59" t="str">
        <f aca="false">IFERROR(VLOOKUP($B50,Contracts!$A$5:$C$34,3,0),"")</f>
        <v/>
      </c>
      <c r="E50" s="38"/>
      <c r="F50" s="38"/>
      <c r="G50" s="54" t="str">
        <f aca="false">IF($F50="","",$F50*VATRate)</f>
        <v/>
      </c>
      <c r="H50" s="38"/>
      <c r="I50" s="54" t="str">
        <f aca="false">IF($G50="","",$G50-IF($H50="",0,$H50))</f>
        <v/>
      </c>
      <c r="J50" s="54" t="str">
        <f aca="false">IF($F50="","",$F50+$G50)</f>
        <v/>
      </c>
      <c r="K50" s="38"/>
    </row>
    <row r="51" customFormat="false" ht="15" hidden="false" customHeight="true" outlineLevel="0" collapsed="false">
      <c r="A51" s="36"/>
      <c r="B51" s="36"/>
      <c r="C51" s="58" t="str">
        <f aca="false">IFERROR(VLOOKUP($B51,Contracts!$A$5:$B$34,2,0),"")</f>
        <v/>
      </c>
      <c r="D51" s="58" t="str">
        <f aca="false">IFERROR(VLOOKUP($B51,Contracts!$A$5:$C$34,3,0),"")</f>
        <v/>
      </c>
      <c r="E51" s="36"/>
      <c r="F51" s="36"/>
      <c r="G51" s="47" t="str">
        <f aca="false">IF($F51="","",$F51*VATRate)</f>
        <v/>
      </c>
      <c r="H51" s="36"/>
      <c r="I51" s="47" t="str">
        <f aca="false">IF($G51="","",$G51-IF($H51="",0,$H51))</f>
        <v/>
      </c>
      <c r="J51" s="47" t="str">
        <f aca="false">IF($F51="","",$F51+$G51)</f>
        <v/>
      </c>
      <c r="K51" s="36"/>
    </row>
    <row r="52" customFormat="false" ht="15" hidden="false" customHeight="true" outlineLevel="0" collapsed="false">
      <c r="A52" s="38"/>
      <c r="B52" s="38"/>
      <c r="C52" s="59" t="str">
        <f aca="false">IFERROR(VLOOKUP($B52,Contracts!$A$5:$B$34,2,0),"")</f>
        <v/>
      </c>
      <c r="D52" s="59" t="str">
        <f aca="false">IFERROR(VLOOKUP($B52,Contracts!$A$5:$C$34,3,0),"")</f>
        <v/>
      </c>
      <c r="E52" s="38"/>
      <c r="F52" s="38"/>
      <c r="G52" s="54" t="str">
        <f aca="false">IF($F52="","",$F52*VATRate)</f>
        <v/>
      </c>
      <c r="H52" s="38"/>
      <c r="I52" s="54" t="str">
        <f aca="false">IF($G52="","",$G52-IF($H52="",0,$H52))</f>
        <v/>
      </c>
      <c r="J52" s="54" t="str">
        <f aca="false">IF($F52="","",$F52+$G52)</f>
        <v/>
      </c>
      <c r="K52" s="38"/>
    </row>
    <row r="53" customFormat="false" ht="15" hidden="false" customHeight="true" outlineLevel="0" collapsed="false">
      <c r="A53" s="36"/>
      <c r="B53" s="36"/>
      <c r="C53" s="58" t="str">
        <f aca="false">IFERROR(VLOOKUP($B53,Contracts!$A$5:$B$34,2,0),"")</f>
        <v/>
      </c>
      <c r="D53" s="58" t="str">
        <f aca="false">IFERROR(VLOOKUP($B53,Contracts!$A$5:$C$34,3,0),"")</f>
        <v/>
      </c>
      <c r="E53" s="36"/>
      <c r="F53" s="36"/>
      <c r="G53" s="47" t="str">
        <f aca="false">IF($F53="","",$F53*VATRate)</f>
        <v/>
      </c>
      <c r="H53" s="36"/>
      <c r="I53" s="47" t="str">
        <f aca="false">IF($G53="","",$G53-IF($H53="",0,$H53))</f>
        <v/>
      </c>
      <c r="J53" s="47" t="str">
        <f aca="false">IF($F53="","",$F53+$G53)</f>
        <v/>
      </c>
      <c r="K53" s="36"/>
    </row>
    <row r="54" customFormat="false" ht="15" hidden="false" customHeight="true" outlineLevel="0" collapsed="false">
      <c r="A54" s="38"/>
      <c r="B54" s="38"/>
      <c r="C54" s="59" t="str">
        <f aca="false">IFERROR(VLOOKUP($B54,Contracts!$A$5:$B$34,2,0),"")</f>
        <v/>
      </c>
      <c r="D54" s="59" t="str">
        <f aca="false">IFERROR(VLOOKUP($B54,Contracts!$A$5:$C$34,3,0),"")</f>
        <v/>
      </c>
      <c r="E54" s="38"/>
      <c r="F54" s="38"/>
      <c r="G54" s="54" t="str">
        <f aca="false">IF($F54="","",$F54*VATRate)</f>
        <v/>
      </c>
      <c r="H54" s="38"/>
      <c r="I54" s="54" t="str">
        <f aca="false">IF($G54="","",$G54-IF($H54="",0,$H54))</f>
        <v/>
      </c>
      <c r="J54" s="54" t="str">
        <f aca="false">IF($F54="","",$F54+$G54)</f>
        <v/>
      </c>
      <c r="K54" s="38"/>
    </row>
    <row r="55" customFormat="false" ht="15" hidden="false" customHeight="true" outlineLevel="0" collapsed="false">
      <c r="A55" s="36"/>
      <c r="B55" s="36"/>
      <c r="C55" s="58" t="str">
        <f aca="false">IFERROR(VLOOKUP($B55,Contracts!$A$5:$B$34,2,0),"")</f>
        <v/>
      </c>
      <c r="D55" s="58" t="str">
        <f aca="false">IFERROR(VLOOKUP($B55,Contracts!$A$5:$C$34,3,0),"")</f>
        <v/>
      </c>
      <c r="E55" s="36"/>
      <c r="F55" s="36"/>
      <c r="G55" s="47" t="str">
        <f aca="false">IF($F55="","",$F55*VATRate)</f>
        <v/>
      </c>
      <c r="H55" s="36"/>
      <c r="I55" s="47" t="str">
        <f aca="false">IF($G55="","",$G55-IF($H55="",0,$H55))</f>
        <v/>
      </c>
      <c r="J55" s="47" t="str">
        <f aca="false">IF($F55="","",$F55+$G55)</f>
        <v/>
      </c>
      <c r="K55" s="36"/>
    </row>
    <row r="56" customFormat="false" ht="15" hidden="false" customHeight="true" outlineLevel="0" collapsed="false">
      <c r="A56" s="38"/>
      <c r="B56" s="38"/>
      <c r="C56" s="59" t="str">
        <f aca="false">IFERROR(VLOOKUP($B56,Contracts!$A$5:$B$34,2,0),"")</f>
        <v/>
      </c>
      <c r="D56" s="59" t="str">
        <f aca="false">IFERROR(VLOOKUP($B56,Contracts!$A$5:$C$34,3,0),"")</f>
        <v/>
      </c>
      <c r="E56" s="38"/>
      <c r="F56" s="38"/>
      <c r="G56" s="54" t="str">
        <f aca="false">IF($F56="","",$F56*VATRate)</f>
        <v/>
      </c>
      <c r="H56" s="38"/>
      <c r="I56" s="54" t="str">
        <f aca="false">IF($G56="","",$G56-IF($H56="",0,$H56))</f>
        <v/>
      </c>
      <c r="J56" s="54" t="str">
        <f aca="false">IF($F56="","",$F56+$G56)</f>
        <v/>
      </c>
      <c r="K56" s="38"/>
    </row>
    <row r="57" customFormat="false" ht="15" hidden="false" customHeight="true" outlineLevel="0" collapsed="false">
      <c r="A57" s="36"/>
      <c r="B57" s="36"/>
      <c r="C57" s="58" t="str">
        <f aca="false">IFERROR(VLOOKUP($B57,Contracts!$A$5:$B$34,2,0),"")</f>
        <v/>
      </c>
      <c r="D57" s="58" t="str">
        <f aca="false">IFERROR(VLOOKUP($B57,Contracts!$A$5:$C$34,3,0),"")</f>
        <v/>
      </c>
      <c r="E57" s="36"/>
      <c r="F57" s="36"/>
      <c r="G57" s="47" t="str">
        <f aca="false">IF($F57="","",$F57*VATRate)</f>
        <v/>
      </c>
      <c r="H57" s="36"/>
      <c r="I57" s="47" t="str">
        <f aca="false">IF($G57="","",$G57-IF($H57="",0,$H57))</f>
        <v/>
      </c>
      <c r="J57" s="47" t="str">
        <f aca="false">IF($F57="","",$F57+$G57)</f>
        <v/>
      </c>
      <c r="K57" s="36"/>
    </row>
    <row r="58" customFormat="false" ht="15" hidden="false" customHeight="true" outlineLevel="0" collapsed="false">
      <c r="A58" s="38"/>
      <c r="B58" s="38"/>
      <c r="C58" s="59" t="str">
        <f aca="false">IFERROR(VLOOKUP($B58,Contracts!$A$5:$B$34,2,0),"")</f>
        <v/>
      </c>
      <c r="D58" s="59" t="str">
        <f aca="false">IFERROR(VLOOKUP($B58,Contracts!$A$5:$C$34,3,0),"")</f>
        <v/>
      </c>
      <c r="E58" s="38"/>
      <c r="F58" s="38"/>
      <c r="G58" s="54" t="str">
        <f aca="false">IF($F58="","",$F58*VATRate)</f>
        <v/>
      </c>
      <c r="H58" s="38"/>
      <c r="I58" s="54" t="str">
        <f aca="false">IF($G58="","",$G58-IF($H58="",0,$H58))</f>
        <v/>
      </c>
      <c r="J58" s="54" t="str">
        <f aca="false">IF($F58="","",$F58+$G58)</f>
        <v/>
      </c>
      <c r="K58" s="38"/>
    </row>
    <row r="59" customFormat="false" ht="15" hidden="false" customHeight="true" outlineLevel="0" collapsed="false">
      <c r="A59" s="36"/>
      <c r="B59" s="36"/>
      <c r="C59" s="58" t="str">
        <f aca="false">IFERROR(VLOOKUP($B59,Contracts!$A$5:$B$34,2,0),"")</f>
        <v/>
      </c>
      <c r="D59" s="58" t="str">
        <f aca="false">IFERROR(VLOOKUP($B59,Contracts!$A$5:$C$34,3,0),"")</f>
        <v/>
      </c>
      <c r="E59" s="36"/>
      <c r="F59" s="36"/>
      <c r="G59" s="47" t="str">
        <f aca="false">IF($F59="","",$F59*VATRate)</f>
        <v/>
      </c>
      <c r="H59" s="36"/>
      <c r="I59" s="47" t="str">
        <f aca="false">IF($G59="","",$G59-IF($H59="",0,$H59))</f>
        <v/>
      </c>
      <c r="J59" s="47" t="str">
        <f aca="false">IF($F59="","",$F59+$G59)</f>
        <v/>
      </c>
      <c r="K59" s="36"/>
    </row>
    <row r="60" customFormat="false" ht="15" hidden="false" customHeight="true" outlineLevel="0" collapsed="false">
      <c r="A60" s="38"/>
      <c r="B60" s="38"/>
      <c r="C60" s="59" t="str">
        <f aca="false">IFERROR(VLOOKUP($B60,Contracts!$A$5:$B$34,2,0),"")</f>
        <v/>
      </c>
      <c r="D60" s="59" t="str">
        <f aca="false">IFERROR(VLOOKUP($B60,Contracts!$A$5:$C$34,3,0),"")</f>
        <v/>
      </c>
      <c r="E60" s="38"/>
      <c r="F60" s="38"/>
      <c r="G60" s="54" t="str">
        <f aca="false">IF($F60="","",$F60*VATRate)</f>
        <v/>
      </c>
      <c r="H60" s="38"/>
      <c r="I60" s="54" t="str">
        <f aca="false">IF($G60="","",$G60-IF($H60="",0,$H60))</f>
        <v/>
      </c>
      <c r="J60" s="54" t="str">
        <f aca="false">IF($F60="","",$F60+$G60)</f>
        <v/>
      </c>
      <c r="K60" s="38"/>
    </row>
    <row r="61" customFormat="false" ht="15" hidden="false" customHeight="true" outlineLevel="0" collapsed="false">
      <c r="A61" s="36"/>
      <c r="B61" s="36"/>
      <c r="C61" s="58" t="str">
        <f aca="false">IFERROR(VLOOKUP($B61,Contracts!$A$5:$B$34,2,0),"")</f>
        <v/>
      </c>
      <c r="D61" s="58" t="str">
        <f aca="false">IFERROR(VLOOKUP($B61,Contracts!$A$5:$C$34,3,0),"")</f>
        <v/>
      </c>
      <c r="E61" s="36"/>
      <c r="F61" s="36"/>
      <c r="G61" s="47" t="str">
        <f aca="false">IF($F61="","",$F61*VATRate)</f>
        <v/>
      </c>
      <c r="H61" s="36"/>
      <c r="I61" s="47" t="str">
        <f aca="false">IF($G61="","",$G61-IF($H61="",0,$H61))</f>
        <v/>
      </c>
      <c r="J61" s="47" t="str">
        <f aca="false">IF($F61="","",$F61+$G61)</f>
        <v/>
      </c>
      <c r="K61" s="36"/>
    </row>
    <row r="62" customFormat="false" ht="15" hidden="false" customHeight="true" outlineLevel="0" collapsed="false">
      <c r="A62" s="38"/>
      <c r="B62" s="38"/>
      <c r="C62" s="59" t="str">
        <f aca="false">IFERROR(VLOOKUP($B62,Contracts!$A$5:$B$34,2,0),"")</f>
        <v/>
      </c>
      <c r="D62" s="59" t="str">
        <f aca="false">IFERROR(VLOOKUP($B62,Contracts!$A$5:$C$34,3,0),"")</f>
        <v/>
      </c>
      <c r="E62" s="38"/>
      <c r="F62" s="38"/>
      <c r="G62" s="54" t="str">
        <f aca="false">IF($F62="","",$F62*VATRate)</f>
        <v/>
      </c>
      <c r="H62" s="38"/>
      <c r="I62" s="54" t="str">
        <f aca="false">IF($G62="","",$G62-IF($H62="",0,$H62))</f>
        <v/>
      </c>
      <c r="J62" s="54" t="str">
        <f aca="false">IF($F62="","",$F62+$G62)</f>
        <v/>
      </c>
      <c r="K62" s="38"/>
    </row>
    <row r="63" customFormat="false" ht="15" hidden="false" customHeight="true" outlineLevel="0" collapsed="false">
      <c r="A63" s="36"/>
      <c r="B63" s="36"/>
      <c r="C63" s="58" t="str">
        <f aca="false">IFERROR(VLOOKUP($B63,Contracts!$A$5:$B$34,2,0),"")</f>
        <v/>
      </c>
      <c r="D63" s="58" t="str">
        <f aca="false">IFERROR(VLOOKUP($B63,Contracts!$A$5:$C$34,3,0),"")</f>
        <v/>
      </c>
      <c r="E63" s="36"/>
      <c r="F63" s="36"/>
      <c r="G63" s="47" t="str">
        <f aca="false">IF($F63="","",$F63*VATRate)</f>
        <v/>
      </c>
      <c r="H63" s="36"/>
      <c r="I63" s="47" t="str">
        <f aca="false">IF($G63="","",$G63-IF($H63="",0,$H63))</f>
        <v/>
      </c>
      <c r="J63" s="47" t="str">
        <f aca="false">IF($F63="","",$F63+$G63)</f>
        <v/>
      </c>
      <c r="K63" s="36"/>
    </row>
    <row r="64" customFormat="false" ht="15" hidden="false" customHeight="true" outlineLevel="0" collapsed="false">
      <c r="A64" s="38"/>
      <c r="B64" s="38"/>
      <c r="C64" s="59" t="str">
        <f aca="false">IFERROR(VLOOKUP($B64,Contracts!$A$5:$B$34,2,0),"")</f>
        <v/>
      </c>
      <c r="D64" s="59" t="str">
        <f aca="false">IFERROR(VLOOKUP($B64,Contracts!$A$5:$C$34,3,0),"")</f>
        <v/>
      </c>
      <c r="E64" s="38"/>
      <c r="F64" s="38"/>
      <c r="G64" s="54" t="str">
        <f aca="false">IF($F64="","",$F64*VATRate)</f>
        <v/>
      </c>
      <c r="H64" s="38"/>
      <c r="I64" s="54" t="str">
        <f aca="false">IF($G64="","",$G64-IF($H64="",0,$H64))</f>
        <v/>
      </c>
      <c r="J64" s="54" t="str">
        <f aca="false">IF($F64="","",$F64+$G64)</f>
        <v/>
      </c>
      <c r="K64" s="38"/>
    </row>
  </sheetData>
  <mergeCells count="2">
    <mergeCell ref="A1:K1"/>
    <mergeCell ref="A2:K2"/>
  </mergeCells>
  <dataValidations count="1">
    <dataValidation allowBlank="true" error="Pick from the list" errorStyle="stop" errorTitle="Invalid entry" operator="between" showDropDown="false" showErrorMessage="false" showInputMessage="false" sqref="B5:B64" type="list">
      <formula1>ContractList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3" min="3" style="1" width="16"/>
    <col collapsed="false" customWidth="true" hidden="false" outlineLevel="0" max="4" min="4" style="1" width="15"/>
    <col collapsed="false" customWidth="true" hidden="false" outlineLevel="0" max="5" min="5" style="1" width="13"/>
    <col collapsed="false" customWidth="true" hidden="false" outlineLevel="0" max="6" min="6" style="1" width="12"/>
    <col collapsed="false" customWidth="true" hidden="false" outlineLevel="0" max="7" min="7" style="1" width="13"/>
    <col collapsed="false" customWidth="true" hidden="false" outlineLevel="0" max="9" min="8" style="1" width="14"/>
    <col collapsed="false" customWidth="true" hidden="false" outlineLevel="0" max="10" min="10" style="1" width="13"/>
    <col collapsed="false" customWidth="true" hidden="false" outlineLevel="0" max="11" min="11" style="1" width="20"/>
  </cols>
  <sheetData>
    <row r="1" customFormat="false" ht="27.75" hidden="false" customHeight="true" outlineLevel="0" collapsed="false">
      <c r="A1" s="17" t="s">
        <v>281</v>
      </c>
      <c r="B1" s="17"/>
      <c r="C1" s="17"/>
      <c r="D1" s="17"/>
      <c r="E1" s="17"/>
      <c r="F1" s="17"/>
      <c r="G1" s="17"/>
      <c r="H1" s="17"/>
      <c r="I1" s="17"/>
      <c r="J1" s="17"/>
      <c r="K1" s="17"/>
    </row>
    <row r="2" customFormat="false" ht="15.75" hidden="false" customHeight="true" outlineLevel="0" collapsed="false">
      <c r="A2" s="18" t="s">
        <v>282</v>
      </c>
      <c r="B2" s="18"/>
      <c r="C2" s="18"/>
      <c r="D2" s="18"/>
      <c r="E2" s="18"/>
      <c r="F2" s="18"/>
      <c r="G2" s="18"/>
      <c r="H2" s="18"/>
      <c r="I2" s="18"/>
      <c r="J2" s="18"/>
      <c r="K2" s="18"/>
    </row>
    <row r="4" customFormat="false" ht="30" hidden="false" customHeight="true" outlineLevel="0" collapsed="false">
      <c r="A4" s="20" t="s">
        <v>207</v>
      </c>
      <c r="B4" s="20" t="s">
        <v>283</v>
      </c>
      <c r="C4" s="20" t="s">
        <v>284</v>
      </c>
      <c r="D4" s="20" t="s">
        <v>285</v>
      </c>
      <c r="E4" s="20" t="s">
        <v>286</v>
      </c>
      <c r="F4" s="20" t="s">
        <v>287</v>
      </c>
      <c r="G4" s="20" t="s">
        <v>288</v>
      </c>
      <c r="H4" s="20" t="s">
        <v>255</v>
      </c>
      <c r="I4" s="20" t="s">
        <v>289</v>
      </c>
      <c r="J4" s="20" t="s">
        <v>259</v>
      </c>
      <c r="K4" s="20" t="s">
        <v>33</v>
      </c>
    </row>
    <row r="5" customFormat="false" ht="15" hidden="false" customHeight="true" outlineLevel="0" collapsed="false">
      <c r="A5" s="36" t="s">
        <v>290</v>
      </c>
      <c r="B5" s="40" t="n">
        <v>46047</v>
      </c>
      <c r="C5" s="39" t="n">
        <v>0</v>
      </c>
      <c r="D5" s="39" t="n">
        <v>4000</v>
      </c>
      <c r="E5" s="61" t="n">
        <v>0.1</v>
      </c>
      <c r="F5" s="41" t="n">
        <f aca="true">IF($B5="","",MAX(0,TODAY()-$B5))</f>
        <v>180</v>
      </c>
      <c r="G5" s="47" t="n">
        <f aca="false">IF($A5="","",(IF($C5="",0,$C5)+IF($D5="",0,$D5))*IF($E5="",0,$E5)*$F5/365)</f>
        <v>197.260273972603</v>
      </c>
      <c r="H5" s="47" t="n">
        <f aca="false">IF($A5="","",IF($C5="",0,$C5)+IF($D5="",0,$D5)+IF($G5="",0,$G5))</f>
        <v>4197.2602739726</v>
      </c>
      <c r="I5" s="39" t="n">
        <v>1000</v>
      </c>
      <c r="J5" s="47" t="n">
        <f aca="false">IF($A5="","",$H5-IF($I5="",0,$I5))</f>
        <v>3197.2602739726</v>
      </c>
      <c r="K5" s="36"/>
    </row>
    <row r="6" customFormat="false" ht="15" hidden="false" customHeight="true" outlineLevel="0" collapsed="false">
      <c r="A6" s="38" t="s">
        <v>291</v>
      </c>
      <c r="B6" s="40" t="n">
        <v>46001</v>
      </c>
      <c r="C6" s="39" t="n">
        <v>1500</v>
      </c>
      <c r="D6" s="39" t="n">
        <v>0</v>
      </c>
      <c r="E6" s="61" t="n">
        <v>0.1</v>
      </c>
      <c r="F6" s="44" t="n">
        <f aca="true">IF($B6="","",MAX(0,TODAY()-$B6))</f>
        <v>226</v>
      </c>
      <c r="G6" s="54" t="n">
        <f aca="false">IF($A6="","",(IF($C6="",0,$C6)+IF($D6="",0,$D6))*IF($E6="",0,$E6)*$F6/365)</f>
        <v>92.8767123287671</v>
      </c>
      <c r="H6" s="54" t="n">
        <f aca="false">IF($A6="","",IF($C6="",0,$C6)+IF($D6="",0,$D6)+IF($G6="",0,$G6))</f>
        <v>1592.87671232877</v>
      </c>
      <c r="I6" s="39" t="n">
        <v>500</v>
      </c>
      <c r="J6" s="54" t="n">
        <f aca="false">IF($A6="","",$H6-IF($I6="",0,$I6))</f>
        <v>1092.87671232877</v>
      </c>
      <c r="K6" s="38"/>
    </row>
    <row r="7" customFormat="false" ht="15" hidden="false" customHeight="true" outlineLevel="0" collapsed="false">
      <c r="A7" s="36" t="s">
        <v>292</v>
      </c>
      <c r="B7" s="40" t="n">
        <v>46091</v>
      </c>
      <c r="C7" s="39" t="n">
        <v>2600</v>
      </c>
      <c r="D7" s="39" t="n">
        <v>0</v>
      </c>
      <c r="E7" s="61" t="n">
        <v>0.1</v>
      </c>
      <c r="F7" s="41" t="n">
        <f aca="true">IF($B7="","",MAX(0,TODAY()-$B7))</f>
        <v>136</v>
      </c>
      <c r="G7" s="47" t="n">
        <f aca="false">IF($A7="","",(IF($C7="",0,$C7)+IF($D7="",0,$D7))*IF($E7="",0,$E7)*$F7/365)</f>
        <v>96.8767123287671</v>
      </c>
      <c r="H7" s="47" t="n">
        <f aca="false">IF($A7="","",IF($C7="",0,$C7)+IF($D7="",0,$D7)+IF($G7="",0,$G7))</f>
        <v>2696.87671232877</v>
      </c>
      <c r="I7" s="39" t="n">
        <v>600</v>
      </c>
      <c r="J7" s="47" t="n">
        <f aca="false">IF($A7="","",$H7-IF($I7="",0,$I7))</f>
        <v>2096.87671232877</v>
      </c>
      <c r="K7" s="36" t="s">
        <v>154</v>
      </c>
    </row>
    <row r="8" customFormat="false" ht="15" hidden="false" customHeight="true" outlineLevel="0" collapsed="false">
      <c r="A8" s="38"/>
      <c r="B8" s="38"/>
      <c r="C8" s="38"/>
      <c r="D8" s="38"/>
      <c r="E8" s="38"/>
      <c r="F8" s="44" t="str">
        <f aca="true">IF($B8="","",MAX(0,TODAY()-$B8))</f>
        <v/>
      </c>
      <c r="G8" s="54" t="str">
        <f aca="false">IF($A8="","",(IF($C8="",0,$C8)+IF($D8="",0,$D8))*IF($E8="",0,$E8)*$F8/365)</f>
        <v/>
      </c>
      <c r="H8" s="54" t="str">
        <f aca="false">IF($A8="","",IF($C8="",0,$C8)+IF($D8="",0,$D8)+IF($G8="",0,$G8))</f>
        <v/>
      </c>
      <c r="I8" s="38"/>
      <c r="J8" s="54" t="str">
        <f aca="false">IF($A8="","",$H8-IF($I8="",0,$I8))</f>
        <v/>
      </c>
      <c r="K8" s="38"/>
    </row>
    <row r="9" customFormat="false" ht="15" hidden="false" customHeight="true" outlineLevel="0" collapsed="false">
      <c r="A9" s="36"/>
      <c r="B9" s="36"/>
      <c r="C9" s="36"/>
      <c r="D9" s="36"/>
      <c r="E9" s="36"/>
      <c r="F9" s="41" t="str">
        <f aca="true">IF($B9="","",MAX(0,TODAY()-$B9))</f>
        <v/>
      </c>
      <c r="G9" s="47" t="str">
        <f aca="false">IF($A9="","",(IF($C9="",0,$C9)+IF($D9="",0,$D9))*IF($E9="",0,$E9)*$F9/365)</f>
        <v/>
      </c>
      <c r="H9" s="47" t="str">
        <f aca="false">IF($A9="","",IF($C9="",0,$C9)+IF($D9="",0,$D9)+IF($G9="",0,$G9))</f>
        <v/>
      </c>
      <c r="I9" s="36"/>
      <c r="J9" s="47" t="str">
        <f aca="false">IF($A9="","",$H9-IF($I9="",0,$I9))</f>
        <v/>
      </c>
      <c r="K9" s="36"/>
    </row>
    <row r="10" customFormat="false" ht="15" hidden="false" customHeight="true" outlineLevel="0" collapsed="false">
      <c r="A10" s="38"/>
      <c r="B10" s="38"/>
      <c r="C10" s="38"/>
      <c r="D10" s="38"/>
      <c r="E10" s="38"/>
      <c r="F10" s="44" t="str">
        <f aca="true">IF($B10="","",MAX(0,TODAY()-$B10))</f>
        <v/>
      </c>
      <c r="G10" s="54" t="str">
        <f aca="false">IF($A10="","",(IF($C10="",0,$C10)+IF($D10="",0,$D10))*IF($E10="",0,$E10)*$F10/365)</f>
        <v/>
      </c>
      <c r="H10" s="54" t="str">
        <f aca="false">IF($A10="","",IF($C10="",0,$C10)+IF($D10="",0,$D10)+IF($G10="",0,$G10))</f>
        <v/>
      </c>
      <c r="I10" s="38"/>
      <c r="J10" s="54" t="str">
        <f aca="false">IF($A10="","",$H10-IF($I10="",0,$I10))</f>
        <v/>
      </c>
      <c r="K10" s="38"/>
    </row>
    <row r="11" customFormat="false" ht="15" hidden="false" customHeight="true" outlineLevel="0" collapsed="false">
      <c r="A11" s="36"/>
      <c r="B11" s="36"/>
      <c r="C11" s="36"/>
      <c r="D11" s="36"/>
      <c r="E11" s="36"/>
      <c r="F11" s="41" t="str">
        <f aca="true">IF($B11="","",MAX(0,TODAY()-$B11))</f>
        <v/>
      </c>
      <c r="G11" s="47" t="str">
        <f aca="false">IF($A11="","",(IF($C11="",0,$C11)+IF($D11="",0,$D11))*IF($E11="",0,$E11)*$F11/365)</f>
        <v/>
      </c>
      <c r="H11" s="47" t="str">
        <f aca="false">IF($A11="","",IF($C11="",0,$C11)+IF($D11="",0,$D11)+IF($G11="",0,$G11))</f>
        <v/>
      </c>
      <c r="I11" s="36"/>
      <c r="J11" s="47" t="str">
        <f aca="false">IF($A11="","",$H11-IF($I11="",0,$I11))</f>
        <v/>
      </c>
      <c r="K11" s="36"/>
    </row>
    <row r="12" customFormat="false" ht="15" hidden="false" customHeight="true" outlineLevel="0" collapsed="false">
      <c r="A12" s="38"/>
      <c r="B12" s="38"/>
      <c r="C12" s="38"/>
      <c r="D12" s="38"/>
      <c r="E12" s="38"/>
      <c r="F12" s="44" t="str">
        <f aca="true">IF($B12="","",MAX(0,TODAY()-$B12))</f>
        <v/>
      </c>
      <c r="G12" s="54" t="str">
        <f aca="false">IF($A12="","",(IF($C12="",0,$C12)+IF($D12="",0,$D12))*IF($E12="",0,$E12)*$F12/365)</f>
        <v/>
      </c>
      <c r="H12" s="54" t="str">
        <f aca="false">IF($A12="","",IF($C12="",0,$C12)+IF($D12="",0,$D12)+IF($G12="",0,$G12))</f>
        <v/>
      </c>
      <c r="I12" s="38"/>
      <c r="J12" s="54" t="str">
        <f aca="false">IF($A12="","",$H12-IF($I12="",0,$I12))</f>
        <v/>
      </c>
      <c r="K12" s="38"/>
    </row>
    <row r="13" customFormat="false" ht="15" hidden="false" customHeight="true" outlineLevel="0" collapsed="false">
      <c r="A13" s="36"/>
      <c r="B13" s="36"/>
      <c r="C13" s="36"/>
      <c r="D13" s="36"/>
      <c r="E13" s="36"/>
      <c r="F13" s="41" t="str">
        <f aca="true">IF($B13="","",MAX(0,TODAY()-$B13))</f>
        <v/>
      </c>
      <c r="G13" s="47" t="str">
        <f aca="false">IF($A13="","",(IF($C13="",0,$C13)+IF($D13="",0,$D13))*IF($E13="",0,$E13)*$F13/365)</f>
        <v/>
      </c>
      <c r="H13" s="47" t="str">
        <f aca="false">IF($A13="","",IF($C13="",0,$C13)+IF($D13="",0,$D13)+IF($G13="",0,$G13))</f>
        <v/>
      </c>
      <c r="I13" s="36"/>
      <c r="J13" s="47" t="str">
        <f aca="false">IF($A13="","",$H13-IF($I13="",0,$I13))</f>
        <v/>
      </c>
      <c r="K13" s="36"/>
    </row>
    <row r="14" customFormat="false" ht="15" hidden="false" customHeight="true" outlineLevel="0" collapsed="false">
      <c r="A14" s="38"/>
      <c r="B14" s="38"/>
      <c r="C14" s="38"/>
      <c r="D14" s="38"/>
      <c r="E14" s="38"/>
      <c r="F14" s="44" t="str">
        <f aca="true">IF($B14="","",MAX(0,TODAY()-$B14))</f>
        <v/>
      </c>
      <c r="G14" s="54" t="str">
        <f aca="false">IF($A14="","",(IF($C14="",0,$C14)+IF($D14="",0,$D14))*IF($E14="",0,$E14)*$F14/365)</f>
        <v/>
      </c>
      <c r="H14" s="54" t="str">
        <f aca="false">IF($A14="","",IF($C14="",0,$C14)+IF($D14="",0,$D14)+IF($G14="",0,$G14))</f>
        <v/>
      </c>
      <c r="I14" s="38"/>
      <c r="J14" s="54" t="str">
        <f aca="false">IF($A14="","",$H14-IF($I14="",0,$I14))</f>
        <v/>
      </c>
      <c r="K14" s="38"/>
    </row>
    <row r="15" customFormat="false" ht="15" hidden="false" customHeight="true" outlineLevel="0" collapsed="false">
      <c r="A15" s="36"/>
      <c r="B15" s="36"/>
      <c r="C15" s="36"/>
      <c r="D15" s="36"/>
      <c r="E15" s="36"/>
      <c r="F15" s="41" t="str">
        <f aca="true">IF($B15="","",MAX(0,TODAY()-$B15))</f>
        <v/>
      </c>
      <c r="G15" s="47" t="str">
        <f aca="false">IF($A15="","",(IF($C15="",0,$C15)+IF($D15="",0,$D15))*IF($E15="",0,$E15)*$F15/365)</f>
        <v/>
      </c>
      <c r="H15" s="47" t="str">
        <f aca="false">IF($A15="","",IF($C15="",0,$C15)+IF($D15="",0,$D15)+IF($G15="",0,$G15))</f>
        <v/>
      </c>
      <c r="I15" s="36"/>
      <c r="J15" s="47" t="str">
        <f aca="false">IF($A15="","",$H15-IF($I15="",0,$I15))</f>
        <v/>
      </c>
      <c r="K15" s="36"/>
    </row>
    <row r="16" customFormat="false" ht="15" hidden="false" customHeight="true" outlineLevel="0" collapsed="false">
      <c r="A16" s="38"/>
      <c r="B16" s="38"/>
      <c r="C16" s="38"/>
      <c r="D16" s="38"/>
      <c r="E16" s="38"/>
      <c r="F16" s="44" t="str">
        <f aca="true">IF($B16="","",MAX(0,TODAY()-$B16))</f>
        <v/>
      </c>
      <c r="G16" s="54" t="str">
        <f aca="false">IF($A16="","",(IF($C16="",0,$C16)+IF($D16="",0,$D16))*IF($E16="",0,$E16)*$F16/365)</f>
        <v/>
      </c>
      <c r="H16" s="54" t="str">
        <f aca="false">IF($A16="","",IF($C16="",0,$C16)+IF($D16="",0,$D16)+IF($G16="",0,$G16))</f>
        <v/>
      </c>
      <c r="I16" s="38"/>
      <c r="J16" s="54" t="str">
        <f aca="false">IF($A16="","",$H16-IF($I16="",0,$I16))</f>
        <v/>
      </c>
      <c r="K16" s="38"/>
    </row>
    <row r="17" customFormat="false" ht="15" hidden="false" customHeight="true" outlineLevel="0" collapsed="false">
      <c r="A17" s="36"/>
      <c r="B17" s="36"/>
      <c r="C17" s="36"/>
      <c r="D17" s="36"/>
      <c r="E17" s="36"/>
      <c r="F17" s="41" t="str">
        <f aca="true">IF($B17="","",MAX(0,TODAY()-$B17))</f>
        <v/>
      </c>
      <c r="G17" s="47" t="str">
        <f aca="false">IF($A17="","",(IF($C17="",0,$C17)+IF($D17="",0,$D17))*IF($E17="",0,$E17)*$F17/365)</f>
        <v/>
      </c>
      <c r="H17" s="47" t="str">
        <f aca="false">IF($A17="","",IF($C17="",0,$C17)+IF($D17="",0,$D17)+IF($G17="",0,$G17))</f>
        <v/>
      </c>
      <c r="I17" s="36"/>
      <c r="J17" s="47" t="str">
        <f aca="false">IF($A17="","",$H17-IF($I17="",0,$I17))</f>
        <v/>
      </c>
      <c r="K17" s="36"/>
    </row>
    <row r="18" customFormat="false" ht="15" hidden="false" customHeight="true" outlineLevel="0" collapsed="false">
      <c r="A18" s="38"/>
      <c r="B18" s="38"/>
      <c r="C18" s="38"/>
      <c r="D18" s="38"/>
      <c r="E18" s="38"/>
      <c r="F18" s="44" t="str">
        <f aca="true">IF($B18="","",MAX(0,TODAY()-$B18))</f>
        <v/>
      </c>
      <c r="G18" s="54" t="str">
        <f aca="false">IF($A18="","",(IF($C18="",0,$C18)+IF($D18="",0,$D18))*IF($E18="",0,$E18)*$F18/365)</f>
        <v/>
      </c>
      <c r="H18" s="54" t="str">
        <f aca="false">IF($A18="","",IF($C18="",0,$C18)+IF($D18="",0,$D18)+IF($G18="",0,$G18))</f>
        <v/>
      </c>
      <c r="I18" s="38"/>
      <c r="J18" s="54" t="str">
        <f aca="false">IF($A18="","",$H18-IF($I18="",0,$I18))</f>
        <v/>
      </c>
      <c r="K18" s="38"/>
    </row>
    <row r="19" customFormat="false" ht="15" hidden="false" customHeight="true" outlineLevel="0" collapsed="false">
      <c r="A19" s="36"/>
      <c r="B19" s="36"/>
      <c r="C19" s="36"/>
      <c r="D19" s="36"/>
      <c r="E19" s="36"/>
      <c r="F19" s="41" t="str">
        <f aca="true">IF($B19="","",MAX(0,TODAY()-$B19))</f>
        <v/>
      </c>
      <c r="G19" s="47" t="str">
        <f aca="false">IF($A19="","",(IF($C19="",0,$C19)+IF($D19="",0,$D19))*IF($E19="",0,$E19)*$F19/365)</f>
        <v/>
      </c>
      <c r="H19" s="47" t="str">
        <f aca="false">IF($A19="","",IF($C19="",0,$C19)+IF($D19="",0,$D19)+IF($G19="",0,$G19))</f>
        <v/>
      </c>
      <c r="I19" s="36"/>
      <c r="J19" s="47" t="str">
        <f aca="false">IF($A19="","",$H19-IF($I19="",0,$I19))</f>
        <v/>
      </c>
      <c r="K19" s="36"/>
    </row>
    <row r="20" customFormat="false" ht="15" hidden="false" customHeight="true" outlineLevel="0" collapsed="false">
      <c r="A20" s="38"/>
      <c r="B20" s="38"/>
      <c r="C20" s="38"/>
      <c r="D20" s="38"/>
      <c r="E20" s="38"/>
      <c r="F20" s="44" t="str">
        <f aca="true">IF($B20="","",MAX(0,TODAY()-$B20))</f>
        <v/>
      </c>
      <c r="G20" s="54" t="str">
        <f aca="false">IF($A20="","",(IF($C20="",0,$C20)+IF($D20="",0,$D20))*IF($E20="",0,$E20)*$F20/365)</f>
        <v/>
      </c>
      <c r="H20" s="54" t="str">
        <f aca="false">IF($A20="","",IF($C20="",0,$C20)+IF($D20="",0,$D20)+IF($G20="",0,$G20))</f>
        <v/>
      </c>
      <c r="I20" s="38"/>
      <c r="J20" s="54" t="str">
        <f aca="false">IF($A20="","",$H20-IF($I20="",0,$I20))</f>
        <v/>
      </c>
      <c r="K20" s="38"/>
    </row>
    <row r="21" customFormat="false" ht="15" hidden="false" customHeight="true" outlineLevel="0" collapsed="false">
      <c r="A21" s="36"/>
      <c r="B21" s="36"/>
      <c r="C21" s="36"/>
      <c r="D21" s="36"/>
      <c r="E21" s="36"/>
      <c r="F21" s="41" t="str">
        <f aca="true">IF($B21="","",MAX(0,TODAY()-$B21))</f>
        <v/>
      </c>
      <c r="G21" s="47" t="str">
        <f aca="false">IF($A21="","",(IF($C21="",0,$C21)+IF($D21="",0,$D21))*IF($E21="",0,$E21)*$F21/365)</f>
        <v/>
      </c>
      <c r="H21" s="47" t="str">
        <f aca="false">IF($A21="","",IF($C21="",0,$C21)+IF($D21="",0,$D21)+IF($G21="",0,$G21))</f>
        <v/>
      </c>
      <c r="I21" s="36"/>
      <c r="J21" s="47" t="str">
        <f aca="false">IF($A21="","",$H21-IF($I21="",0,$I21))</f>
        <v/>
      </c>
      <c r="K21" s="36"/>
    </row>
    <row r="22" customFormat="false" ht="15" hidden="false" customHeight="true" outlineLevel="0" collapsed="false">
      <c r="A22" s="38"/>
      <c r="B22" s="38"/>
      <c r="C22" s="38"/>
      <c r="D22" s="38"/>
      <c r="E22" s="38"/>
      <c r="F22" s="44" t="str">
        <f aca="true">IF($B22="","",MAX(0,TODAY()-$B22))</f>
        <v/>
      </c>
      <c r="G22" s="54" t="str">
        <f aca="false">IF($A22="","",(IF($C22="",0,$C22)+IF($D22="",0,$D22))*IF($E22="",0,$E22)*$F22/365)</f>
        <v/>
      </c>
      <c r="H22" s="54" t="str">
        <f aca="false">IF($A22="","",IF($C22="",0,$C22)+IF($D22="",0,$D22)+IF($G22="",0,$G22))</f>
        <v/>
      </c>
      <c r="I22" s="38"/>
      <c r="J22" s="54" t="str">
        <f aca="false">IF($A22="","",$H22-IF($I22="",0,$I22))</f>
        <v/>
      </c>
      <c r="K22" s="38"/>
    </row>
    <row r="23" customFormat="false" ht="15" hidden="false" customHeight="true" outlineLevel="0" collapsed="false">
      <c r="A23" s="36"/>
      <c r="B23" s="36"/>
      <c r="C23" s="36"/>
      <c r="D23" s="36"/>
      <c r="E23" s="36"/>
      <c r="F23" s="41" t="str">
        <f aca="true">IF($B23="","",MAX(0,TODAY()-$B23))</f>
        <v/>
      </c>
      <c r="G23" s="47" t="str">
        <f aca="false">IF($A23="","",(IF($C23="",0,$C23)+IF($D23="",0,$D23))*IF($E23="",0,$E23)*$F23/365)</f>
        <v/>
      </c>
      <c r="H23" s="47" t="str">
        <f aca="false">IF($A23="","",IF($C23="",0,$C23)+IF($D23="",0,$D23)+IF($G23="",0,$G23))</f>
        <v/>
      </c>
      <c r="I23" s="36"/>
      <c r="J23" s="47" t="str">
        <f aca="false">IF($A23="","",$H23-IF($I23="",0,$I23))</f>
        <v/>
      </c>
      <c r="K23" s="36"/>
    </row>
    <row r="24" customFormat="false" ht="15" hidden="false" customHeight="true" outlineLevel="0" collapsed="false">
      <c r="A24" s="38"/>
      <c r="B24" s="38"/>
      <c r="C24" s="38"/>
      <c r="D24" s="38"/>
      <c r="E24" s="38"/>
      <c r="F24" s="44" t="str">
        <f aca="true">IF($B24="","",MAX(0,TODAY()-$B24))</f>
        <v/>
      </c>
      <c r="G24" s="54" t="str">
        <f aca="false">IF($A24="","",(IF($C24="",0,$C24)+IF($D24="",0,$D24))*IF($E24="",0,$E24)*$F24/365)</f>
        <v/>
      </c>
      <c r="H24" s="54" t="str">
        <f aca="false">IF($A24="","",IF($C24="",0,$C24)+IF($D24="",0,$D24)+IF($G24="",0,$G24))</f>
        <v/>
      </c>
      <c r="I24" s="38"/>
      <c r="J24" s="54" t="str">
        <f aca="false">IF($A24="","",$H24-IF($I24="",0,$I24))</f>
        <v/>
      </c>
      <c r="K24" s="38"/>
    </row>
    <row r="25" customFormat="false" ht="15" hidden="false" customHeight="true" outlineLevel="0" collapsed="false">
      <c r="A25" s="36"/>
      <c r="B25" s="36"/>
      <c r="C25" s="36"/>
      <c r="D25" s="36"/>
      <c r="E25" s="36"/>
      <c r="F25" s="41" t="str">
        <f aca="true">IF($B25="","",MAX(0,TODAY()-$B25))</f>
        <v/>
      </c>
      <c r="G25" s="47" t="str">
        <f aca="false">IF($A25="","",(IF($C25="",0,$C25)+IF($D25="",0,$D25))*IF($E25="",0,$E25)*$F25/365)</f>
        <v/>
      </c>
      <c r="H25" s="47" t="str">
        <f aca="false">IF($A25="","",IF($C25="",0,$C25)+IF($D25="",0,$D25)+IF($G25="",0,$G25))</f>
        <v/>
      </c>
      <c r="I25" s="36"/>
      <c r="J25" s="47" t="str">
        <f aca="false">IF($A25="","",$H25-IF($I25="",0,$I25))</f>
        <v/>
      </c>
      <c r="K25" s="36"/>
    </row>
    <row r="26" customFormat="false" ht="15" hidden="false" customHeight="true" outlineLevel="0" collapsed="false">
      <c r="A26" s="38"/>
      <c r="B26" s="38"/>
      <c r="C26" s="38"/>
      <c r="D26" s="38"/>
      <c r="E26" s="38"/>
      <c r="F26" s="44" t="str">
        <f aca="true">IF($B26="","",MAX(0,TODAY()-$B26))</f>
        <v/>
      </c>
      <c r="G26" s="54" t="str">
        <f aca="false">IF($A26="","",(IF($C26="",0,$C26)+IF($D26="",0,$D26))*IF($E26="",0,$E26)*$F26/365)</f>
        <v/>
      </c>
      <c r="H26" s="54" t="str">
        <f aca="false">IF($A26="","",IF($C26="",0,$C26)+IF($D26="",0,$D26)+IF($G26="",0,$G26))</f>
        <v/>
      </c>
      <c r="I26" s="38"/>
      <c r="J26" s="54" t="str">
        <f aca="false">IF($A26="","",$H26-IF($I26="",0,$I26))</f>
        <v/>
      </c>
      <c r="K26" s="38"/>
    </row>
    <row r="27" customFormat="false" ht="15" hidden="false" customHeight="true" outlineLevel="0" collapsed="false">
      <c r="A27" s="36"/>
      <c r="B27" s="36"/>
      <c r="C27" s="36"/>
      <c r="D27" s="36"/>
      <c r="E27" s="36"/>
      <c r="F27" s="41" t="str">
        <f aca="true">IF($B27="","",MAX(0,TODAY()-$B27))</f>
        <v/>
      </c>
      <c r="G27" s="47" t="str">
        <f aca="false">IF($A27="","",(IF($C27="",0,$C27)+IF($D27="",0,$D27))*IF($E27="",0,$E27)*$F27/365)</f>
        <v/>
      </c>
      <c r="H27" s="47" t="str">
        <f aca="false">IF($A27="","",IF($C27="",0,$C27)+IF($D27="",0,$D27)+IF($G27="",0,$G27))</f>
        <v/>
      </c>
      <c r="I27" s="36"/>
      <c r="J27" s="47" t="str">
        <f aca="false">IF($A27="","",$H27-IF($I27="",0,$I27))</f>
        <v/>
      </c>
      <c r="K27" s="36"/>
    </row>
    <row r="28" customFormat="false" ht="15" hidden="false" customHeight="true" outlineLevel="0" collapsed="false">
      <c r="A28" s="38"/>
      <c r="B28" s="38"/>
      <c r="C28" s="38"/>
      <c r="D28" s="38"/>
      <c r="E28" s="38"/>
      <c r="F28" s="44" t="str">
        <f aca="true">IF($B28="","",MAX(0,TODAY()-$B28))</f>
        <v/>
      </c>
      <c r="G28" s="54" t="str">
        <f aca="false">IF($A28="","",(IF($C28="",0,$C28)+IF($D28="",0,$D28))*IF($E28="",0,$E28)*$F28/365)</f>
        <v/>
      </c>
      <c r="H28" s="54" t="str">
        <f aca="false">IF($A28="","",IF($C28="",0,$C28)+IF($D28="",0,$D28)+IF($G28="",0,$G28))</f>
        <v/>
      </c>
      <c r="I28" s="38"/>
      <c r="J28" s="54" t="str">
        <f aca="false">IF($A28="","",$H28-IF($I28="",0,$I28))</f>
        <v/>
      </c>
      <c r="K28" s="38"/>
    </row>
    <row r="29" customFormat="false" ht="15" hidden="false" customHeight="true" outlineLevel="0" collapsed="false">
      <c r="A29" s="36"/>
      <c r="B29" s="36"/>
      <c r="C29" s="36"/>
      <c r="D29" s="36"/>
      <c r="E29" s="36"/>
      <c r="F29" s="41" t="str">
        <f aca="true">IF($B29="","",MAX(0,TODAY()-$B29))</f>
        <v/>
      </c>
      <c r="G29" s="47" t="str">
        <f aca="false">IF($A29="","",(IF($C29="",0,$C29)+IF($D29="",0,$D29))*IF($E29="",0,$E29)*$F29/365)</f>
        <v/>
      </c>
      <c r="H29" s="47" t="str">
        <f aca="false">IF($A29="","",IF($C29="",0,$C29)+IF($D29="",0,$D29)+IF($G29="",0,$G29))</f>
        <v/>
      </c>
      <c r="I29" s="36"/>
      <c r="J29" s="47" t="str">
        <f aca="false">IF($A29="","",$H29-IF($I29="",0,$I29))</f>
        <v/>
      </c>
      <c r="K29" s="36"/>
    </row>
    <row r="30" customFormat="false" ht="15" hidden="false" customHeight="true" outlineLevel="0" collapsed="false">
      <c r="A30" s="38"/>
      <c r="B30" s="38"/>
      <c r="C30" s="38"/>
      <c r="D30" s="38"/>
      <c r="E30" s="38"/>
      <c r="F30" s="44" t="str">
        <f aca="true">IF($B30="","",MAX(0,TODAY()-$B30))</f>
        <v/>
      </c>
      <c r="G30" s="54" t="str">
        <f aca="false">IF($A30="","",(IF($C30="",0,$C30)+IF($D30="",0,$D30))*IF($E30="",0,$E30)*$F30/365)</f>
        <v/>
      </c>
      <c r="H30" s="54" t="str">
        <f aca="false">IF($A30="","",IF($C30="",0,$C30)+IF($D30="",0,$D30)+IF($G30="",0,$G30))</f>
        <v/>
      </c>
      <c r="I30" s="38"/>
      <c r="J30" s="54" t="str">
        <f aca="false">IF($A30="","",$H30-IF($I30="",0,$I30))</f>
        <v/>
      </c>
      <c r="K30" s="38"/>
    </row>
    <row r="31" customFormat="false" ht="15" hidden="false" customHeight="true" outlineLevel="0" collapsed="false">
      <c r="A31" s="36"/>
      <c r="B31" s="36"/>
      <c r="C31" s="36"/>
      <c r="D31" s="36"/>
      <c r="E31" s="36"/>
      <c r="F31" s="41" t="str">
        <f aca="true">IF($B31="","",MAX(0,TODAY()-$B31))</f>
        <v/>
      </c>
      <c r="G31" s="47" t="str">
        <f aca="false">IF($A31="","",(IF($C31="",0,$C31)+IF($D31="",0,$D31))*IF($E31="",0,$E31)*$F31/365)</f>
        <v/>
      </c>
      <c r="H31" s="47" t="str">
        <f aca="false">IF($A31="","",IF($C31="",0,$C31)+IF($D31="",0,$D31)+IF($G31="",0,$G31))</f>
        <v/>
      </c>
      <c r="I31" s="36"/>
      <c r="J31" s="47" t="str">
        <f aca="false">IF($A31="","",$H31-IF($I31="",0,$I31))</f>
        <v/>
      </c>
      <c r="K31" s="36"/>
    </row>
    <row r="32" customFormat="false" ht="15" hidden="false" customHeight="true" outlineLevel="0" collapsed="false">
      <c r="A32" s="38"/>
      <c r="B32" s="38"/>
      <c r="C32" s="38"/>
      <c r="D32" s="38"/>
      <c r="E32" s="38"/>
      <c r="F32" s="44" t="str">
        <f aca="true">IF($B32="","",MAX(0,TODAY()-$B32))</f>
        <v/>
      </c>
      <c r="G32" s="54" t="str">
        <f aca="false">IF($A32="","",(IF($C32="",0,$C32)+IF($D32="",0,$D32))*IF($E32="",0,$E32)*$F32/365)</f>
        <v/>
      </c>
      <c r="H32" s="54" t="str">
        <f aca="false">IF($A32="","",IF($C32="",0,$C32)+IF($D32="",0,$D32)+IF($G32="",0,$G32))</f>
        <v/>
      </c>
      <c r="I32" s="38"/>
      <c r="J32" s="54" t="str">
        <f aca="false">IF($A32="","",$H32-IF($I32="",0,$I32))</f>
        <v/>
      </c>
      <c r="K32" s="38"/>
    </row>
    <row r="33" customFormat="false" ht="15" hidden="false" customHeight="true" outlineLevel="0" collapsed="false">
      <c r="A33" s="36"/>
      <c r="B33" s="36"/>
      <c r="C33" s="36"/>
      <c r="D33" s="36"/>
      <c r="E33" s="36"/>
      <c r="F33" s="41" t="str">
        <f aca="true">IF($B33="","",MAX(0,TODAY()-$B33))</f>
        <v/>
      </c>
      <c r="G33" s="47" t="str">
        <f aca="false">IF($A33="","",(IF($C33="",0,$C33)+IF($D33="",0,$D33))*IF($E33="",0,$E33)*$F33/365)</f>
        <v/>
      </c>
      <c r="H33" s="47" t="str">
        <f aca="false">IF($A33="","",IF($C33="",0,$C33)+IF($D33="",0,$D33)+IF($G33="",0,$G33))</f>
        <v/>
      </c>
      <c r="I33" s="36"/>
      <c r="J33" s="47" t="str">
        <f aca="false">IF($A33="","",$H33-IF($I33="",0,$I33))</f>
        <v/>
      </c>
      <c r="K33" s="36"/>
    </row>
    <row r="34" customFormat="false" ht="15" hidden="false" customHeight="true" outlineLevel="0" collapsed="false">
      <c r="A34" s="38"/>
      <c r="B34" s="38"/>
      <c r="C34" s="38"/>
      <c r="D34" s="38"/>
      <c r="E34" s="38"/>
      <c r="F34" s="44" t="str">
        <f aca="true">IF($B34="","",MAX(0,TODAY()-$B34))</f>
        <v/>
      </c>
      <c r="G34" s="54" t="str">
        <f aca="false">IF($A34="","",(IF($C34="",0,$C34)+IF($D34="",0,$D34))*IF($E34="",0,$E34)*$F34/365)</f>
        <v/>
      </c>
      <c r="H34" s="54" t="str">
        <f aca="false">IF($A34="","",IF($C34="",0,$C34)+IF($D34="",0,$D34)+IF($G34="",0,$G34))</f>
        <v/>
      </c>
      <c r="I34" s="38"/>
      <c r="J34" s="54" t="str">
        <f aca="false">IF($A34="","",$H34-IF($I34="",0,$I34))</f>
        <v/>
      </c>
      <c r="K34" s="38"/>
    </row>
  </sheetData>
  <mergeCells count="2">
    <mergeCell ref="A1:K1"/>
    <mergeCell ref="A2:K2"/>
  </mergeCells>
  <dataValidations count="1">
    <dataValidation allowBlank="true" error="Pick from the list" errorStyle="stop" errorTitle="Invalid entry" operator="between" showDropDown="false" showErrorMessage="false" showInputMessage="false" sqref="A5:A34" type="list">
      <formula1>TaxTypeList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4"/>
    <col collapsed="false" customWidth="true" hidden="false" outlineLevel="0" max="4" min="4" style="1" width="50"/>
  </cols>
  <sheetData>
    <row r="1" customFormat="false" ht="27.75" hidden="false" customHeight="true" outlineLevel="0" collapsed="false">
      <c r="A1" s="17" t="s">
        <v>293</v>
      </c>
      <c r="B1" s="17"/>
      <c r="C1" s="17"/>
      <c r="D1" s="17"/>
    </row>
    <row r="2" customFormat="false" ht="15.75" hidden="false" customHeight="true" outlineLevel="0" collapsed="false">
      <c r="A2" s="18" t="s">
        <v>294</v>
      </c>
      <c r="B2" s="18"/>
      <c r="C2" s="18"/>
      <c r="D2" s="18"/>
    </row>
    <row r="4" customFormat="false" ht="19.5" hidden="false" customHeight="true" outlineLevel="0" collapsed="false">
      <c r="A4" s="66" t="s">
        <v>295</v>
      </c>
      <c r="B4" s="66"/>
      <c r="C4" s="66"/>
      <c r="D4" s="66"/>
    </row>
    <row r="5" customFormat="false" ht="15" hidden="false" customHeight="true" outlineLevel="0" collapsed="false">
      <c r="A5" s="21" t="s">
        <v>296</v>
      </c>
      <c r="B5" s="67" t="n">
        <f aca="false">SUMIFS(Orders!$G$5:$G$64,Orders!$J$5:$J$64,"Yes")</f>
        <v>14182.5</v>
      </c>
    </row>
    <row r="6" customFormat="false" ht="15" hidden="false" customHeight="true" outlineLevel="0" collapsed="false">
      <c r="A6" s="21" t="s">
        <v>297</v>
      </c>
      <c r="B6" s="67" t="n">
        <f aca="false">SUM(ContractPayments!$G$5:$G$64)</f>
        <v>43710</v>
      </c>
    </row>
    <row r="7" customFormat="false" ht="15" hidden="false" customHeight="true" outlineLevel="0" collapsed="false">
      <c r="A7" s="68" t="s">
        <v>298</v>
      </c>
      <c r="B7" s="69" t="n">
        <f aca="false">B5+B6</f>
        <v>57892.5</v>
      </c>
    </row>
    <row r="8" customFormat="false" ht="15" hidden="false" customHeight="true" outlineLevel="0" collapsed="false">
      <c r="A8" s="21" t="s">
        <v>299</v>
      </c>
      <c r="B8" s="67" t="n">
        <f aca="false">SUM(OrderExpenses!$I$5:$I$84)</f>
        <v>7261.75</v>
      </c>
    </row>
    <row r="9" customFormat="false" ht="15" hidden="false" customHeight="true" outlineLevel="0" collapsed="false">
      <c r="A9" s="21" t="s">
        <v>300</v>
      </c>
      <c r="B9" s="67" t="n">
        <f aca="false">SUM(GeneralExpenses!$F$5:$F$44)</f>
        <v>230.95</v>
      </c>
    </row>
    <row r="10" customFormat="false" ht="15" hidden="false" customHeight="true" outlineLevel="0" collapsed="false">
      <c r="A10" s="21" t="s">
        <v>301</v>
      </c>
      <c r="B10" s="67" t="n">
        <f aca="false">SUM(Overheads!$J$5:$J$44)</f>
        <v>1213</v>
      </c>
    </row>
    <row r="11" customFormat="false" ht="15" hidden="false" customHeight="true" outlineLevel="0" collapsed="false">
      <c r="A11" s="68" t="s">
        <v>302</v>
      </c>
      <c r="B11" s="69" t="n">
        <f aca="false">B8+B9+B10</f>
        <v>8705.7</v>
      </c>
    </row>
    <row r="12" customFormat="false" ht="15" hidden="false" customHeight="true" outlineLevel="0" collapsed="false">
      <c r="A12" s="21" t="s">
        <v>303</v>
      </c>
      <c r="B12" s="70" t="n">
        <f aca="false">B7-B11</f>
        <v>49186.8</v>
      </c>
    </row>
    <row r="13" customFormat="false" ht="15" hidden="false" customHeight="true" outlineLevel="0" collapsed="false">
      <c r="A13" s="21" t="s">
        <v>304</v>
      </c>
      <c r="B13" s="67" t="n">
        <f aca="false">SUM(OtherTaxDebt!$D$5:$D$34)</f>
        <v>4000</v>
      </c>
    </row>
    <row r="14" customFormat="false" ht="15" hidden="false" customHeight="true" outlineLevel="0" collapsed="false">
      <c r="A14" s="21" t="s">
        <v>305</v>
      </c>
      <c r="B14" s="67" t="n">
        <f aca="false">-SUM(Orders!$V$5:$V$64)</f>
        <v>-1200</v>
      </c>
    </row>
    <row r="15" customFormat="false" ht="15" hidden="false" customHeight="true" outlineLevel="0" collapsed="false">
      <c r="A15" s="21" t="s">
        <v>306</v>
      </c>
      <c r="B15" s="67" t="n">
        <f aca="false">-SUM(ContractPayments!$H$5:$H$64)</f>
        <v>-14625</v>
      </c>
    </row>
    <row r="16" customFormat="false" ht="15" hidden="false" customHeight="true" outlineLevel="0" collapsed="false">
      <c r="A16" s="71" t="s">
        <v>307</v>
      </c>
      <c r="B16" s="72" t="n">
        <f aca="false">B12+B13+B14+B15</f>
        <v>37361.8</v>
      </c>
    </row>
    <row r="18" customFormat="false" ht="19.5" hidden="false" customHeight="true" outlineLevel="0" collapsed="false">
      <c r="A18" s="66" t="s">
        <v>308</v>
      </c>
      <c r="B18" s="66"/>
      <c r="C18" s="66"/>
      <c r="D18" s="66"/>
    </row>
    <row r="19" customFormat="false" ht="15" hidden="false" customHeight="true" outlineLevel="0" collapsed="false">
      <c r="A19" s="21" t="s">
        <v>309</v>
      </c>
      <c r="B19" s="67" t="n">
        <f aca="false">SUM(Overheads!$C$5:$C$44)</f>
        <v>7907</v>
      </c>
    </row>
    <row r="20" customFormat="false" ht="15" hidden="false" customHeight="true" outlineLevel="0" collapsed="false">
      <c r="A20" s="21" t="s">
        <v>310</v>
      </c>
      <c r="B20" s="67" t="n">
        <f aca="false">SUM(OtherTaxDebt!$C$5:$C$34)</f>
        <v>4100</v>
      </c>
    </row>
    <row r="21" customFormat="false" ht="15" hidden="false" customHeight="true" outlineLevel="0" collapsed="false">
      <c r="A21" s="68" t="s">
        <v>311</v>
      </c>
      <c r="B21" s="69" t="n">
        <f aca="false">B19+B20</f>
        <v>12007</v>
      </c>
    </row>
    <row r="22" customFormat="false" ht="15" hidden="false" customHeight="true" outlineLevel="0" collapsed="false">
      <c r="A22" s="21" t="s">
        <v>312</v>
      </c>
      <c r="B22" s="67" t="n">
        <f aca="false">-SUM(Overheads!$D$5:$D$44)</f>
        <v>-4080</v>
      </c>
    </row>
    <row r="23" customFormat="false" ht="15" hidden="false" customHeight="true" outlineLevel="0" collapsed="false">
      <c r="A23" s="71" t="s">
        <v>313</v>
      </c>
      <c r="B23" s="72" t="n">
        <f aca="false">B21+B22</f>
        <v>7927</v>
      </c>
    </row>
    <row r="25" customFormat="false" ht="15" hidden="false" customHeight="true" outlineLevel="0" collapsed="false">
      <c r="A25" s="16" t="s">
        <v>314</v>
      </c>
    </row>
  </sheetData>
  <mergeCells count="4">
    <mergeCell ref="A1:D1"/>
    <mergeCell ref="A2:D2"/>
    <mergeCell ref="A4:D4"/>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4"/>
    <col collapsed="false" customWidth="true" hidden="false" outlineLevel="0" max="4" min="4" style="1" width="50"/>
  </cols>
  <sheetData>
    <row r="1" customFormat="false" ht="27.75" hidden="false" customHeight="true" outlineLevel="0" collapsed="false">
      <c r="A1" s="17" t="s">
        <v>315</v>
      </c>
      <c r="B1" s="17"/>
      <c r="C1" s="17"/>
      <c r="D1" s="17"/>
    </row>
    <row r="2" customFormat="false" ht="15.75" hidden="false" customHeight="true" outlineLevel="0" collapsed="false">
      <c r="A2" s="18" t="s">
        <v>316</v>
      </c>
      <c r="B2" s="18"/>
      <c r="C2" s="18"/>
      <c r="D2" s="18"/>
    </row>
    <row r="4" customFormat="false" ht="19.5" hidden="false" customHeight="true" outlineLevel="0" collapsed="false">
      <c r="A4" s="66" t="s">
        <v>317</v>
      </c>
      <c r="B4" s="66"/>
      <c r="C4" s="66"/>
      <c r="D4" s="66"/>
      <c r="F4" s="12" t="s">
        <v>62</v>
      </c>
      <c r="G4" s="12" t="s">
        <v>318</v>
      </c>
    </row>
    <row r="5" customFormat="false" ht="15" hidden="false" customHeight="true" outlineLevel="0" collapsed="false">
      <c r="A5" s="21" t="s">
        <v>319</v>
      </c>
      <c r="B5" s="67" t="n">
        <f aca="false">Tax!$B$16</f>
        <v>37361.8</v>
      </c>
      <c r="F5" s="1" t="s">
        <v>320</v>
      </c>
      <c r="G5" s="73" t="n">
        <f aca="false">Tax!$B$7</f>
        <v>57892.5</v>
      </c>
    </row>
    <row r="6" customFormat="false" ht="15" hidden="false" customHeight="true" outlineLevel="0" collapsed="false">
      <c r="A6" s="21" t="s">
        <v>321</v>
      </c>
      <c r="B6" s="74" t="n">
        <v>0</v>
      </c>
      <c r="F6" s="1" t="s">
        <v>322</v>
      </c>
      <c r="G6" s="73" t="n">
        <f aca="false">Tax!$B$11</f>
        <v>8705.7</v>
      </c>
    </row>
    <row r="7" customFormat="false" ht="15" hidden="false" customHeight="true" outlineLevel="0" collapsed="false">
      <c r="A7" s="21" t="s">
        <v>323</v>
      </c>
      <c r="B7" s="70" t="n">
        <f aca="false">B5-B6</f>
        <v>37361.8</v>
      </c>
      <c r="F7" s="1" t="s">
        <v>324</v>
      </c>
      <c r="G7" s="73" t="n">
        <f aca="false">Tax!$B$16</f>
        <v>37361.8</v>
      </c>
    </row>
    <row r="8" customFormat="false" ht="15" hidden="false" customHeight="true" outlineLevel="0" collapsed="false">
      <c r="A8" s="21" t="s">
        <v>325</v>
      </c>
      <c r="B8" s="75" t="n">
        <v>46228</v>
      </c>
    </row>
    <row r="9" customFormat="false" ht="15" hidden="false" customHeight="true" outlineLevel="0" collapsed="false">
      <c r="A9" s="21" t="s">
        <v>326</v>
      </c>
      <c r="B9" s="76" t="n">
        <f aca="true">MAX(0,TODAY()-B8)</f>
        <v>0</v>
      </c>
    </row>
    <row r="10" customFormat="false" ht="15" hidden="false" customHeight="true" outlineLevel="0" collapsed="false">
      <c r="A10" s="21" t="s">
        <v>327</v>
      </c>
      <c r="B10" s="70" t="n">
        <f aca="false">MAX(0,B5)*ZimraInt*B9/365</f>
        <v>0</v>
      </c>
    </row>
    <row r="12" customFormat="false" ht="19.5" hidden="false" customHeight="true" outlineLevel="0" collapsed="false">
      <c r="A12" s="66" t="s">
        <v>328</v>
      </c>
      <c r="B12" s="66"/>
      <c r="C12" s="66"/>
      <c r="D12" s="66"/>
    </row>
    <row r="13" customFormat="false" ht="15" hidden="false" customHeight="true" outlineLevel="0" collapsed="false">
      <c r="A13" s="21" t="s">
        <v>329</v>
      </c>
      <c r="B13" s="67" t="n">
        <f aca="false">Tax!$B$23</f>
        <v>7927</v>
      </c>
    </row>
    <row r="14" customFormat="false" ht="15" hidden="false" customHeight="true" outlineLevel="0" collapsed="false">
      <c r="A14" s="21" t="s">
        <v>330</v>
      </c>
      <c r="B14" s="74" t="n">
        <v>0</v>
      </c>
    </row>
    <row r="15" customFormat="false" ht="15" hidden="false" customHeight="true" outlineLevel="0" collapsed="false">
      <c r="A15" s="21" t="s">
        <v>323</v>
      </c>
      <c r="B15" s="70" t="n">
        <f aca="false">B13-B14</f>
        <v>7927</v>
      </c>
    </row>
    <row r="16" customFormat="false" ht="15" hidden="false" customHeight="true" outlineLevel="0" collapsed="false">
      <c r="A16" s="21" t="s">
        <v>331</v>
      </c>
      <c r="B16" s="75" t="n">
        <v>46213</v>
      </c>
    </row>
    <row r="17" customFormat="false" ht="15" hidden="false" customHeight="true" outlineLevel="0" collapsed="false">
      <c r="A17" s="21" t="s">
        <v>326</v>
      </c>
      <c r="B17" s="76" t="n">
        <f aca="true">MAX(0,TODAY()-B16)</f>
        <v>14</v>
      </c>
    </row>
    <row r="18" customFormat="false" ht="15" hidden="false" customHeight="true" outlineLevel="0" collapsed="false">
      <c r="A18" s="21" t="s">
        <v>332</v>
      </c>
      <c r="B18" s="70" t="n">
        <f aca="false">MAX(0,B13)*ZimraInt*B17/365</f>
        <v>30.4049315068493</v>
      </c>
    </row>
    <row r="20" customFormat="false" ht="19.5" hidden="false" customHeight="true" outlineLevel="0" collapsed="false">
      <c r="A20" s="66" t="s">
        <v>333</v>
      </c>
      <c r="B20" s="66"/>
      <c r="C20" s="66"/>
      <c r="D20" s="66"/>
    </row>
    <row r="21" customFormat="false" ht="15" hidden="false" customHeight="true" outlineLevel="0" collapsed="false">
      <c r="A21" s="21" t="s">
        <v>334</v>
      </c>
      <c r="B21" s="67" t="n">
        <f aca="false">SUM(OtherTaxDebt!$G$5:$G$34)</f>
        <v>387.013698630137</v>
      </c>
    </row>
    <row r="22" customFormat="false" ht="15" hidden="false" customHeight="true" outlineLevel="0" collapsed="false">
      <c r="A22" s="21" t="s">
        <v>335</v>
      </c>
      <c r="B22" s="67" t="n">
        <f aca="false">SUM(OtherTaxDebt!$J$5:$J$34)</f>
        <v>6387.01369863014</v>
      </c>
    </row>
    <row r="23" customFormat="false" ht="15" hidden="false" customHeight="true" outlineLevel="0" collapsed="false">
      <c r="A23" s="71" t="s">
        <v>336</v>
      </c>
      <c r="B23" s="72" t="n">
        <f aca="false">MAX(0,B5)+MAX(0,B13)+B22+B21</f>
        <v>52062.8273972603</v>
      </c>
    </row>
  </sheetData>
  <mergeCells count="5">
    <mergeCell ref="A1:D1"/>
    <mergeCell ref="A2:D2"/>
    <mergeCell ref="A4:D4"/>
    <mergeCell ref="A12:D12"/>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14"/>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6"/>
    <col collapsed="false" customWidth="true" hidden="false" outlineLevel="0" max="10" min="10" style="1" width="14"/>
    <col collapsed="false" customWidth="true" hidden="true" outlineLevel="0" max="13" min="12" style="1" width="13"/>
    <col collapsed="false" customWidth="true" hidden="true" outlineLevel="0" max="28" min="28" style="1" width="13"/>
  </cols>
  <sheetData>
    <row r="1" customFormat="false" ht="27.75" hidden="false" customHeight="true" outlineLevel="0" collapsed="false">
      <c r="A1" s="17" t="s">
        <v>337</v>
      </c>
      <c r="B1" s="17"/>
      <c r="C1" s="17"/>
      <c r="D1" s="17"/>
      <c r="E1" s="17"/>
      <c r="F1" s="17"/>
      <c r="G1" s="17"/>
      <c r="H1" s="17"/>
      <c r="I1" s="17"/>
      <c r="J1" s="17"/>
    </row>
    <row r="2" customFormat="false" ht="15.75" hidden="false" customHeight="true" outlineLevel="0" collapsed="false">
      <c r="A2" s="18" t="s">
        <v>338</v>
      </c>
      <c r="B2" s="18"/>
      <c r="C2" s="18"/>
      <c r="D2" s="18"/>
      <c r="E2" s="18"/>
      <c r="F2" s="18"/>
      <c r="G2" s="18"/>
      <c r="H2" s="18"/>
      <c r="I2" s="18"/>
      <c r="J2" s="18"/>
    </row>
    <row r="3" customFormat="false" ht="15" hidden="false" customHeight="true" outlineLevel="0" collapsed="false">
      <c r="AB3" s="1" t="n">
        <v>0</v>
      </c>
    </row>
    <row r="4" customFormat="false" ht="21.75" hidden="false" customHeight="true" outlineLevel="0" collapsed="false">
      <c r="A4" s="77" t="s">
        <v>339</v>
      </c>
      <c r="B4" s="78" t="s">
        <v>340</v>
      </c>
      <c r="C4" s="78"/>
      <c r="D4" s="78" t="s">
        <v>341</v>
      </c>
      <c r="E4" s="78"/>
      <c r="F4" s="79" t="s">
        <v>342</v>
      </c>
      <c r="G4" s="79"/>
      <c r="H4" s="80" t="s">
        <v>343</v>
      </c>
      <c r="I4" s="80"/>
    </row>
    <row r="5" customFormat="false" ht="30" hidden="false" customHeight="true" outlineLevel="0" collapsed="false">
      <c r="A5" s="81" t="n">
        <f aca="false">COUNTIF(Orders!$A$5:$A$64,"?*")</f>
        <v>10</v>
      </c>
      <c r="B5" s="81" t="n">
        <f aca="false">COUNTIFS(Orders!$A$5:$A$64,"?*",Orders!$J$5:$J$64,"Yes")</f>
        <v>6</v>
      </c>
      <c r="C5" s="81"/>
      <c r="D5" s="81" t="n">
        <f aca="false">COUNTIFS(Orders!$A$5:$A$64,"?*",Orders!$J$5:$J$64,"No")</f>
        <v>4</v>
      </c>
      <c r="E5" s="81"/>
      <c r="F5" s="81" t="n">
        <f aca="false">COUNTIF(Orders!$AB$5:$AB$64,"Awaiting Payment")+COUNTIF(Orders!$AB$5:$AB$64,"Overdue Payment")</f>
        <v>5</v>
      </c>
      <c r="G5" s="81"/>
      <c r="H5" s="81" t="n">
        <f aca="false">COUNTIF(Orders!$AB$5:$AB$64,"Paid")</f>
        <v>2</v>
      </c>
      <c r="I5" s="81"/>
      <c r="AB5" s="1" t="n">
        <f aca="false">IF(Orders!$A5&lt;&gt;"",MAX($AB$3:$AB4)+1,"")</f>
        <v>1</v>
      </c>
    </row>
    <row r="6" customFormat="false" ht="15" hidden="false" customHeight="true" outlineLevel="0" collapsed="false">
      <c r="AB6" s="1" t="n">
        <f aca="false">IF(Orders!$A6&lt;&gt;"",MAX($AB$3:$AB5)+1,"")</f>
        <v>2</v>
      </c>
    </row>
    <row r="7" customFormat="false" ht="21.75" hidden="false" customHeight="true" outlineLevel="0" collapsed="false">
      <c r="A7" s="77" t="s">
        <v>344</v>
      </c>
      <c r="B7" s="77"/>
      <c r="C7" s="78" t="s">
        <v>345</v>
      </c>
      <c r="D7" s="78"/>
      <c r="E7" s="82" t="s">
        <v>346</v>
      </c>
      <c r="F7" s="82"/>
      <c r="G7" s="80" t="s">
        <v>347</v>
      </c>
      <c r="H7" s="80"/>
      <c r="I7" s="80" t="s">
        <v>348</v>
      </c>
      <c r="J7" s="80"/>
      <c r="AB7" s="1" t="n">
        <f aca="false">IF(Orders!$A7&lt;&gt;"",MAX($AB$3:$AB6)+1,"")</f>
        <v>3</v>
      </c>
    </row>
    <row r="8" customFormat="false" ht="30" hidden="false" customHeight="true" outlineLevel="0" collapsed="false">
      <c r="A8" s="83" t="n">
        <f aca="false">SUM(Orders!$H$5:$H$64)</f>
        <v>166435.5</v>
      </c>
      <c r="B8" s="83"/>
      <c r="C8" s="83" t="n">
        <f aca="false">SUM(Orders!$S$5:$S$64)</f>
        <v>52463.4150943396</v>
      </c>
      <c r="D8" s="83"/>
      <c r="E8" s="83" t="n">
        <f aca="false">SUM(Orders!$U$5:$U$64)</f>
        <v>113972.08490566</v>
      </c>
      <c r="F8" s="83"/>
      <c r="G8" s="83" t="n">
        <f aca="false">SUM(Orders!$X$5:$X$64)</f>
        <v>90250</v>
      </c>
      <c r="H8" s="83"/>
      <c r="I8" s="83" t="n">
        <f aca="false">SUM(Orders!$Z$5:$Z$64)</f>
        <v>76195.7142857143</v>
      </c>
      <c r="J8" s="83"/>
      <c r="AB8" s="1" t="n">
        <f aca="false">IF(Orders!$A8&lt;&gt;"",MAX($AB$3:$AB7)+1,"")</f>
        <v>4</v>
      </c>
    </row>
    <row r="9" customFormat="false" ht="15" hidden="false" customHeight="true" outlineLevel="0" collapsed="false">
      <c r="AB9" s="1" t="n">
        <f aca="false">IF(Orders!$A9&lt;&gt;"",MAX($AB$3:$AB8)+1,"")</f>
        <v>5</v>
      </c>
    </row>
    <row r="10" customFormat="false" ht="15" hidden="false" customHeight="true" outlineLevel="0" collapsed="false">
      <c r="AB10" s="1" t="n">
        <f aca="false">IF(Orders!$A10&lt;&gt;"",MAX($AB$3:$AB9)+1,"")</f>
        <v>6</v>
      </c>
    </row>
    <row r="11" customFormat="false" ht="15" hidden="false" customHeight="true" outlineLevel="0" collapsed="false">
      <c r="L11" s="84" t="s">
        <v>146</v>
      </c>
      <c r="M11" s="84" t="s">
        <v>349</v>
      </c>
      <c r="AB11" s="1" t="n">
        <f aca="false">IF(Orders!$A11&lt;&gt;"",MAX($AB$3:$AB10)+1,"")</f>
        <v>7</v>
      </c>
    </row>
    <row r="12" customFormat="false" ht="15" hidden="false" customHeight="true" outlineLevel="0" collapsed="false">
      <c r="L12" s="28" t="s">
        <v>73</v>
      </c>
      <c r="M12" s="28" t="n">
        <f aca="false">COUNTIF(Orders!$AB$5:$AB$64,"Paid")</f>
        <v>2</v>
      </c>
      <c r="AB12" s="1" t="n">
        <f aca="false">IF(Orders!$A12&lt;&gt;"",MAX($AB$3:$AB11)+1,"")</f>
        <v>8</v>
      </c>
    </row>
    <row r="13" customFormat="false" ht="15" hidden="false" customHeight="true" outlineLevel="0" collapsed="false">
      <c r="L13" s="28" t="s">
        <v>71</v>
      </c>
      <c r="M13" s="28" t="n">
        <f aca="false">COUNTIF(Orders!$AB$5:$AB$64,"Advance Paid")</f>
        <v>1</v>
      </c>
      <c r="AB13" s="1" t="n">
        <f aca="false">IF(Orders!$A13&lt;&gt;"",MAX($AB$3:$AB12)+1,"")</f>
        <v>9</v>
      </c>
    </row>
    <row r="14" customFormat="false" ht="15" hidden="false" customHeight="true" outlineLevel="0" collapsed="false">
      <c r="L14" s="28" t="s">
        <v>64</v>
      </c>
      <c r="M14" s="28" t="n">
        <f aca="false">COUNTIF(Orders!$AB$5:$AB$64,"Awaiting Payment")</f>
        <v>0</v>
      </c>
      <c r="AB14" s="1" t="n">
        <f aca="false">IF(Orders!$A14&lt;&gt;"",MAX($AB$3:$AB13)+1,"")</f>
        <v>10</v>
      </c>
    </row>
    <row r="15" customFormat="false" ht="15" hidden="false" customHeight="true" outlineLevel="0" collapsed="false">
      <c r="L15" s="28" t="s">
        <v>67</v>
      </c>
      <c r="M15" s="28" t="n">
        <f aca="false">COUNTIF(Orders!$AB$5:$AB$64,"Overdue Payment")</f>
        <v>5</v>
      </c>
      <c r="AB15" s="1" t="str">
        <f aca="false">IF(Orders!$A15&lt;&gt;"",MAX($AB$3:$AB14)+1,"")</f>
        <v/>
      </c>
    </row>
    <row r="16" customFormat="false" ht="15" hidden="false" customHeight="true" outlineLevel="0" collapsed="false">
      <c r="L16" s="28" t="s">
        <v>69</v>
      </c>
      <c r="M16" s="28" t="n">
        <f aca="false">COUNTIF(Orders!$AB$5:$AB$64,"Overdue Service")</f>
        <v>1</v>
      </c>
      <c r="AB16" s="1" t="str">
        <f aca="false">IF(Orders!$A16&lt;&gt;"",MAX($AB$3:$AB15)+1,"")</f>
        <v/>
      </c>
    </row>
    <row r="17" customFormat="false" ht="15" hidden="false" customHeight="true" outlineLevel="0" collapsed="false">
      <c r="L17" s="28" t="s">
        <v>60</v>
      </c>
      <c r="M17" s="28" t="n">
        <f aca="false">COUNTIF(Orders!$AB$5:$AB$64,"Open")</f>
        <v>1</v>
      </c>
      <c r="AB17" s="1" t="str">
        <f aca="false">IF(Orders!$A17&lt;&gt;"",MAX($AB$3:$AB16)+1,"")</f>
        <v/>
      </c>
    </row>
    <row r="18" customFormat="false" ht="15" hidden="false" customHeight="true" outlineLevel="0" collapsed="false">
      <c r="AB18" s="1" t="str">
        <f aca="false">IF(Orders!$A18&lt;&gt;"",MAX($AB$3:$AB17)+1,"")</f>
        <v/>
      </c>
    </row>
    <row r="19" customFormat="false" ht="15" hidden="false" customHeight="true" outlineLevel="0" collapsed="false">
      <c r="L19" s="84" t="s">
        <v>350</v>
      </c>
      <c r="M19" s="84" t="s">
        <v>53</v>
      </c>
      <c r="AB19" s="1" t="str">
        <f aca="false">IF(Orders!$A19&lt;&gt;"",MAX($AB$3:$AB18)+1,"")</f>
        <v/>
      </c>
    </row>
    <row r="20" customFormat="false" ht="15" hidden="false" customHeight="true" outlineLevel="0" collapsed="false">
      <c r="L20" s="28" t="s">
        <v>351</v>
      </c>
      <c r="M20" s="73" t="n">
        <f aca="false">SUM(Orders!$H$5:$H$64)</f>
        <v>166435.5</v>
      </c>
      <c r="AB20" s="1" t="str">
        <f aca="false">IF(Orders!$A20&lt;&gt;"",MAX($AB$3:$AB19)+1,"")</f>
        <v/>
      </c>
    </row>
    <row r="21" customFormat="false" ht="15" hidden="false" customHeight="true" outlineLevel="0" collapsed="false">
      <c r="L21" s="28" t="s">
        <v>352</v>
      </c>
      <c r="M21" s="73" t="n">
        <f aca="false">SUM(Orders!$S$5:$S$64)</f>
        <v>52463.4150943396</v>
      </c>
      <c r="AB21" s="1" t="str">
        <f aca="false">IF(Orders!$A21&lt;&gt;"",MAX($AB$3:$AB20)+1,"")</f>
        <v/>
      </c>
    </row>
    <row r="22" customFormat="false" ht="15" hidden="false" customHeight="true" outlineLevel="0" collapsed="false">
      <c r="L22" s="28" t="s">
        <v>353</v>
      </c>
      <c r="M22" s="73" t="n">
        <f aca="false">SUM(Orders!$U$5:$U$64)</f>
        <v>113972.08490566</v>
      </c>
      <c r="AB22" s="1" t="str">
        <f aca="false">IF(Orders!$A22&lt;&gt;"",MAX($AB$3:$AB21)+1,"")</f>
        <v/>
      </c>
    </row>
    <row r="23" customFormat="false" ht="15" hidden="false" customHeight="true" outlineLevel="0" collapsed="false">
      <c r="L23" s="28" t="s">
        <v>354</v>
      </c>
      <c r="M23" s="73" t="n">
        <f aca="false">SUM(Orders!$X$5:$X$64)</f>
        <v>90250</v>
      </c>
      <c r="AB23" s="1" t="str">
        <f aca="false">IF(Orders!$A23&lt;&gt;"",MAX($AB$3:$AB22)+1,"")</f>
        <v/>
      </c>
    </row>
    <row r="24" customFormat="false" ht="15" hidden="false" customHeight="true" outlineLevel="0" collapsed="false">
      <c r="AB24" s="1" t="str">
        <f aca="false">IF(Orders!$A24&lt;&gt;"",MAX($AB$3:$AB23)+1,"")</f>
        <v/>
      </c>
    </row>
    <row r="25" customFormat="false" ht="15" hidden="false" customHeight="true" outlineLevel="0" collapsed="false">
      <c r="AB25" s="1" t="str">
        <f aca="false">IF(Orders!$A25&lt;&gt;"",MAX($AB$3:$AB24)+1,"")</f>
        <v/>
      </c>
    </row>
    <row r="26" customFormat="false" ht="15" hidden="false" customHeight="true" outlineLevel="0" collapsed="false">
      <c r="AB26" s="1" t="str">
        <f aca="false">IF(Orders!$A26&lt;&gt;"",MAX($AB$3:$AB25)+1,"")</f>
        <v/>
      </c>
    </row>
    <row r="27" customFormat="false" ht="15" hidden="false" customHeight="true" outlineLevel="0" collapsed="false">
      <c r="A27" s="19" t="s">
        <v>355</v>
      </c>
      <c r="AB27" s="1" t="str">
        <f aca="false">IF(Orders!$A27&lt;&gt;"",MAX($AB$3:$AB26)+1,"")</f>
        <v/>
      </c>
    </row>
    <row r="28" customFormat="false" ht="30" hidden="false" customHeight="true" outlineLevel="0" collapsed="false">
      <c r="A28" s="20" t="s">
        <v>157</v>
      </c>
      <c r="B28" s="20" t="s">
        <v>356</v>
      </c>
      <c r="C28" s="20" t="s">
        <v>135</v>
      </c>
      <c r="D28" s="20" t="s">
        <v>357</v>
      </c>
      <c r="E28" s="20" t="s">
        <v>358</v>
      </c>
      <c r="F28" s="20" t="s">
        <v>352</v>
      </c>
      <c r="G28" s="20" t="s">
        <v>353</v>
      </c>
      <c r="H28" s="20" t="s">
        <v>354</v>
      </c>
      <c r="I28" s="20" t="s">
        <v>183</v>
      </c>
      <c r="AB28" s="1" t="str">
        <f aca="false">IF(Orders!$A28&lt;&gt;"",MAX($AB$3:$AB27)+1,"")</f>
        <v/>
      </c>
    </row>
    <row r="29" customFormat="false" ht="15" hidden="false" customHeight="true" outlineLevel="0" collapsed="false">
      <c r="A29" s="36" t="str">
        <f aca="false">IFERROR(INDEX(Orders!$A$5:$A$64,MATCH(1,$AB$5:$AB$64,0)),"")</f>
        <v>AES-O-001</v>
      </c>
      <c r="B29" s="36" t="str">
        <f aca="false">IFERROR(INDEX(Orders!$B$5:$B$64,MATCH(1,$AB$5:$AB$64,0)),"")</f>
        <v>Underground ventilation doors (x10)</v>
      </c>
      <c r="C29" s="36" t="str">
        <f aca="false">IFERROR(INDEX(Orders!$C$5:$C$64,MATCH(1,$AB$5:$AB$64,0)),"")</f>
        <v>Zimplats</v>
      </c>
      <c r="D29" s="85" t="n">
        <f aca="false">IFERROR(INDEX(Orders!$E$5:$E$64,MATCH(1,$AB$5:$AB$64,0)),"")</f>
        <v>46188</v>
      </c>
      <c r="E29" s="42" t="n">
        <f aca="false">IFERROR(INDEX(Orders!$F$5:$F$64,MATCH(1,$AB$5:$AB$64,0)),"")</f>
        <v>18000</v>
      </c>
      <c r="F29" s="42" t="n">
        <f aca="false">IFERROR(INDEX(Orders!$S$5:$S$64,MATCH(1,$AB$5:$AB$64,0)),"")</f>
        <v>14528.3018867925</v>
      </c>
      <c r="G29" s="42" t="n">
        <f aca="false">IFERROR(INDEX(Orders!$U$5:$U$64,MATCH(1,$AB$5:$AB$64,0)),"")</f>
        <v>6261.69811320755</v>
      </c>
      <c r="H29" s="42" t="n">
        <f aca="false">IFERROR(INDEX(Orders!$X$5:$X$64,MATCH(1,$AB$5:$AB$64,0)),"")</f>
        <v>9700</v>
      </c>
      <c r="I29" s="36" t="str">
        <f aca="false">IFERROR(INDEX(Orders!$AB$5:$AB$64,MATCH(1,$AB$5:$AB$64,0)),"")</f>
        <v>Overdue Payment</v>
      </c>
      <c r="AB29" s="1" t="str">
        <f aca="false">IF(Orders!$A29&lt;&gt;"",MAX($AB$3:$AB28)+1,"")</f>
        <v/>
      </c>
    </row>
    <row r="30" customFormat="false" ht="15" hidden="false" customHeight="true" outlineLevel="0" collapsed="false">
      <c r="A30" s="38" t="str">
        <f aca="false">IFERROR(INDEX(Orders!$A$5:$A$64,MATCH(2,$AB$5:$AB$64,0)),"")</f>
        <v>AES-O-002</v>
      </c>
      <c r="B30" s="38" t="str">
        <f aca="false">IFERROR(INDEX(Orders!$B$5:$B$64,MATCH(2,$AB$5:$AB$64,0)),"")</f>
        <v>Safety explosive storage boxes (x6)</v>
      </c>
      <c r="C30" s="38" t="str">
        <f aca="false">IFERROR(INDEX(Orders!$C$5:$C$64,MATCH(2,$AB$5:$AB$64,0)),"")</f>
        <v>Mimosa Mining</v>
      </c>
      <c r="D30" s="86" t="n">
        <f aca="false">IFERROR(INDEX(Orders!$E$5:$E$64,MATCH(2,$AB$5:$AB$64,0)),"")</f>
        <v>46203</v>
      </c>
      <c r="E30" s="45" t="n">
        <f aca="false">IFERROR(INDEX(Orders!$F$5:$F$64,MATCH(2,$AB$5:$AB$64,0)),"")</f>
        <v>9500</v>
      </c>
      <c r="F30" s="45" t="n">
        <f aca="false">IFERROR(INDEX(Orders!$S$5:$S$64,MATCH(2,$AB$5:$AB$64,0)),"")</f>
        <v>0</v>
      </c>
      <c r="G30" s="45" t="n">
        <f aca="false">IFERROR(INDEX(Orders!$U$5:$U$64,MATCH(2,$AB$5:$AB$64,0)),"")</f>
        <v>10972.5</v>
      </c>
      <c r="H30" s="45" t="n">
        <f aca="false">IFERROR(INDEX(Orders!$X$5:$X$64,MATCH(2,$AB$5:$AB$64,0)),"")</f>
        <v>6300</v>
      </c>
      <c r="I30" s="38" t="str">
        <f aca="false">IFERROR(INDEX(Orders!$AB$5:$AB$64,MATCH(2,$AB$5:$AB$64,0)),"")</f>
        <v>Overdue Payment</v>
      </c>
      <c r="AB30" s="1" t="str">
        <f aca="false">IF(Orders!$A30&lt;&gt;"",MAX($AB$3:$AB29)+1,"")</f>
        <v/>
      </c>
    </row>
    <row r="31" customFormat="false" ht="15" hidden="false" customHeight="true" outlineLevel="0" collapsed="false">
      <c r="A31" s="36" t="str">
        <f aca="false">IFERROR(INDEX(Orders!$A$5:$A$64,MATCH(3,$AB$5:$AB$64,0)),"")</f>
        <v>AES-O-003</v>
      </c>
      <c r="B31" s="36" t="str">
        <f aca="false">IFERROR(INDEX(Orders!$B$5:$B$64,MATCH(3,$AB$5:$AB$64,0)),"")</f>
        <v>Air sampling services - Q2</v>
      </c>
      <c r="C31" s="36" t="str">
        <f aca="false">IFERROR(INDEX(Orders!$C$5:$C$64,MATCH(3,$AB$5:$AB$64,0)),"")</f>
        <v>Unki Mine</v>
      </c>
      <c r="D31" s="85" t="n">
        <f aca="false">IFERROR(INDEX(Orders!$E$5:$E$64,MATCH(3,$AB$5:$AB$64,0)),"")</f>
        <v>46198</v>
      </c>
      <c r="E31" s="42" t="n">
        <f aca="false">IFERROR(INDEX(Orders!$F$5:$F$64,MATCH(3,$AB$5:$AB$64,0)),"")</f>
        <v>6200</v>
      </c>
      <c r="F31" s="42" t="n">
        <f aca="false">IFERROR(INDEX(Orders!$S$5:$S$64,MATCH(3,$AB$5:$AB$64,0)),"")</f>
        <v>3000</v>
      </c>
      <c r="G31" s="42" t="n">
        <f aca="false">IFERROR(INDEX(Orders!$U$5:$U$64,MATCH(3,$AB$5:$AB$64,0)),"")</f>
        <v>4161</v>
      </c>
      <c r="H31" s="42" t="n">
        <f aca="false">IFERROR(INDEX(Orders!$X$5:$X$64,MATCH(3,$AB$5:$AB$64,0)),"")</f>
        <v>4700</v>
      </c>
      <c r="I31" s="36" t="str">
        <f aca="false">IFERROR(INDEX(Orders!$AB$5:$AB$64,MATCH(3,$AB$5:$AB$64,0)),"")</f>
        <v>Advance Paid</v>
      </c>
      <c r="AB31" s="1" t="str">
        <f aca="false">IF(Orders!$A31&lt;&gt;"",MAX($AB$3:$AB30)+1,"")</f>
        <v/>
      </c>
    </row>
    <row r="32" customFormat="false" ht="15" hidden="false" customHeight="true" outlineLevel="0" collapsed="false">
      <c r="A32" s="38" t="str">
        <f aca="false">IFERROR(INDEX(Orders!$A$5:$A$64,MATCH(4,$AB$5:$AB$64,0)),"")</f>
        <v>AES-O-004</v>
      </c>
      <c r="B32" s="38" t="str">
        <f aca="false">IFERROR(INDEX(Orders!$B$5:$B$64,MATCH(4,$AB$5:$AB$64,0)),"")</f>
        <v>Underground ventilation doors - batch 2</v>
      </c>
      <c r="C32" s="38" t="str">
        <f aca="false">IFERROR(INDEX(Orders!$C$5:$C$64,MATCH(4,$AB$5:$AB$64,0)),"")</f>
        <v>Zimplats</v>
      </c>
      <c r="D32" s="86" t="n">
        <f aca="false">IFERROR(INDEX(Orders!$E$5:$E$64,MATCH(4,$AB$5:$AB$64,0)),"")</f>
        <v>46223</v>
      </c>
      <c r="E32" s="45" t="n">
        <f aca="false">IFERROR(INDEX(Orders!$F$5:$F$64,MATCH(4,$AB$5:$AB$64,0)),"")</f>
        <v>15000</v>
      </c>
      <c r="F32" s="45" t="n">
        <f aca="false">IFERROR(INDEX(Orders!$S$5:$S$64,MATCH(4,$AB$5:$AB$64,0)),"")</f>
        <v>0</v>
      </c>
      <c r="G32" s="45" t="n">
        <f aca="false">IFERROR(INDEX(Orders!$U$5:$U$64,MATCH(4,$AB$5:$AB$64,0)),"")</f>
        <v>17325</v>
      </c>
      <c r="H32" s="45" t="n">
        <f aca="false">IFERROR(INDEX(Orders!$X$5:$X$64,MATCH(4,$AB$5:$AB$64,0)),"")</f>
        <v>15000</v>
      </c>
      <c r="I32" s="38" t="str">
        <f aca="false">IFERROR(INDEX(Orders!$AB$5:$AB$64,MATCH(4,$AB$5:$AB$64,0)),"")</f>
        <v>Overdue Service</v>
      </c>
      <c r="AB32" s="1" t="str">
        <f aca="false">IF(Orders!$A32&lt;&gt;"",MAX($AB$3:$AB31)+1,"")</f>
        <v/>
      </c>
    </row>
    <row r="33" customFormat="false" ht="15" hidden="false" customHeight="true" outlineLevel="0" collapsed="false">
      <c r="A33" s="36" t="str">
        <f aca="false">IFERROR(INDEX(Orders!$A$5:$A$64,MATCH(5,$AB$5:$AB$64,0)),"")</f>
        <v>AES-O-005</v>
      </c>
      <c r="B33" s="36" t="str">
        <f aca="false">IFERROR(INDEX(Orders!$B$5:$B$64,MATCH(5,$AB$5:$AB$64,0)),"")</f>
        <v>Safety explosive storage boxes x6</v>
      </c>
      <c r="C33" s="36" t="str">
        <f aca="false">IFERROR(INDEX(Orders!$C$5:$C$64,MATCH(5,$AB$5:$AB$64,0)),"")</f>
        <v>Zimplats</v>
      </c>
      <c r="D33" s="85" t="n">
        <f aca="false">IFERROR(INDEX(Orders!$E$5:$E$64,MATCH(5,$AB$5:$AB$64,0)),"")</f>
        <v>46172</v>
      </c>
      <c r="E33" s="42" t="n">
        <f aca="false">IFERROR(INDEX(Orders!$F$5:$F$64,MATCH(5,$AB$5:$AB$64,0)),"")</f>
        <v>21600</v>
      </c>
      <c r="F33" s="42" t="n">
        <f aca="false">IFERROR(INDEX(Orders!$S$5:$S$64,MATCH(5,$AB$5:$AB$64,0)),"")</f>
        <v>25000</v>
      </c>
      <c r="G33" s="42" t="n">
        <f aca="false">IFERROR(INDEX(Orders!$U$5:$U$64,MATCH(5,$AB$5:$AB$64,0)),"")</f>
        <v>-52</v>
      </c>
      <c r="H33" s="42" t="n">
        <f aca="false">IFERROR(INDEX(Orders!$X$5:$X$64,MATCH(5,$AB$5:$AB$64,0)),"")</f>
        <v>10300</v>
      </c>
      <c r="I33" s="36" t="str">
        <f aca="false">IFERROR(INDEX(Orders!$AB$5:$AB$64,MATCH(5,$AB$5:$AB$64,0)),"")</f>
        <v>Paid</v>
      </c>
      <c r="AB33" s="1" t="str">
        <f aca="false">IF(Orders!$A33&lt;&gt;"",MAX($AB$3:$AB32)+1,"")</f>
        <v/>
      </c>
    </row>
    <row r="34" customFormat="false" ht="15" hidden="false" customHeight="true" outlineLevel="0" collapsed="false">
      <c r="A34" s="38" t="str">
        <f aca="false">IFERROR(INDEX(Orders!$A$5:$A$64,MATCH(6,$AB$5:$AB$64,0)),"")</f>
        <v>AES-O-006</v>
      </c>
      <c r="B34" s="38" t="str">
        <f aca="false">IFERROR(INDEX(Orders!$B$5:$B$64,MATCH(6,$AB$5:$AB$64,0)),"")</f>
        <v>Air sampling services Q2</v>
      </c>
      <c r="C34" s="38" t="str">
        <f aca="false">IFERROR(INDEX(Orders!$C$5:$C$64,MATCH(6,$AB$5:$AB$64,0)),"")</f>
        <v>Mimosa Mining</v>
      </c>
      <c r="D34" s="86" t="n">
        <f aca="false">IFERROR(INDEX(Orders!$E$5:$E$64,MATCH(6,$AB$5:$AB$64,0)),"")</f>
        <v>46187</v>
      </c>
      <c r="E34" s="45" t="n">
        <f aca="false">IFERROR(INDEX(Orders!$F$5:$F$64,MATCH(6,$AB$5:$AB$64,0)),"")</f>
        <v>7800</v>
      </c>
      <c r="F34" s="45" t="n">
        <f aca="false">IFERROR(INDEX(Orders!$S$5:$S$64,MATCH(6,$AB$5:$AB$64,0)),"")</f>
        <v>3698.11320754717</v>
      </c>
      <c r="G34" s="45" t="n">
        <f aca="false">IFERROR(INDEX(Orders!$U$5:$U$64,MATCH(6,$AB$5:$AB$64,0)),"")</f>
        <v>5310.88679245283</v>
      </c>
      <c r="H34" s="45" t="n">
        <f aca="false">IFERROR(INDEX(Orders!$X$5:$X$64,MATCH(6,$AB$5:$AB$64,0)),"")</f>
        <v>6650</v>
      </c>
      <c r="I34" s="38" t="str">
        <f aca="false">IFERROR(INDEX(Orders!$AB$5:$AB$64,MATCH(6,$AB$5:$AB$64,0)),"")</f>
        <v>Overdue Payment</v>
      </c>
      <c r="AB34" s="1" t="str">
        <f aca="false">IF(Orders!$A34&lt;&gt;"",MAX($AB$3:$AB33)+1,"")</f>
        <v/>
      </c>
    </row>
    <row r="35" customFormat="false" ht="15" hidden="false" customHeight="true" outlineLevel="0" collapsed="false">
      <c r="A35" s="36" t="str">
        <f aca="false">IFERROR(INDEX(Orders!$A$5:$A$64,MATCH(7,$AB$5:$AB$64,0)),"")</f>
        <v>AES-O-007</v>
      </c>
      <c r="B35" s="36" t="str">
        <f aca="false">IFERROR(INDEX(Orders!$B$5:$B$64,MATCH(7,$AB$5:$AB$64,0)),"")</f>
        <v>Underground ventilation doors x4</v>
      </c>
      <c r="C35" s="36" t="str">
        <f aca="false">IFERROR(INDEX(Orders!$C$5:$C$64,MATCH(7,$AB$5:$AB$64,0)),"")</f>
        <v>Unki Mine</v>
      </c>
      <c r="D35" s="85" t="n">
        <f aca="false">IFERROR(INDEX(Orders!$E$5:$E$64,MATCH(7,$AB$5:$AB$64,0)),"")</f>
        <v>46213</v>
      </c>
      <c r="E35" s="42" t="n">
        <f aca="false">IFERROR(INDEX(Orders!$F$5:$F$64,MATCH(7,$AB$5:$AB$64,0)),"")</f>
        <v>30400</v>
      </c>
      <c r="F35" s="42" t="n">
        <f aca="false">IFERROR(INDEX(Orders!$S$5:$S$64,MATCH(7,$AB$5:$AB$64,0)),"")</f>
        <v>0</v>
      </c>
      <c r="G35" s="42" t="n">
        <f aca="false">IFERROR(INDEX(Orders!$U$5:$U$64,MATCH(7,$AB$5:$AB$64,0)),"")</f>
        <v>35112</v>
      </c>
      <c r="H35" s="42" t="n">
        <f aca="false">IFERROR(INDEX(Orders!$X$5:$X$64,MATCH(7,$AB$5:$AB$64,0)),"")</f>
        <v>13400</v>
      </c>
      <c r="I35" s="36" t="str">
        <f aca="false">IFERROR(INDEX(Orders!$AB$5:$AB$64,MATCH(7,$AB$5:$AB$64,0)),"")</f>
        <v>Overdue Payment</v>
      </c>
      <c r="AB35" s="1" t="str">
        <f aca="false">IF(Orders!$A35&lt;&gt;"",MAX($AB$3:$AB34)+1,"")</f>
        <v/>
      </c>
    </row>
    <row r="36" customFormat="false" ht="15" hidden="false" customHeight="true" outlineLevel="0" collapsed="false">
      <c r="A36" s="38" t="str">
        <f aca="false">IFERROR(INDEX(Orders!$A$5:$A$64,MATCH(8,$AB$5:$AB$64,0)),"")</f>
        <v>AES-O-008</v>
      </c>
      <c r="B36" s="38" t="str">
        <f aca="false">IFERROR(INDEX(Orders!$B$5:$B$64,MATCH(8,$AB$5:$AB$64,0)),"")</f>
        <v>Refuge chamber service kit</v>
      </c>
      <c r="C36" s="38" t="str">
        <f aca="false">IFERROR(INDEX(Orders!$C$5:$C$64,MATCH(8,$AB$5:$AB$64,0)),"")</f>
        <v>Zimplats</v>
      </c>
      <c r="D36" s="86" t="n">
        <f aca="false">IFERROR(INDEX(Orders!$E$5:$E$64,MATCH(8,$AB$5:$AB$64,0)),"")</f>
        <v>46193</v>
      </c>
      <c r="E36" s="45" t="n">
        <f aca="false">IFERROR(INDEX(Orders!$F$5:$F$64,MATCH(8,$AB$5:$AB$64,0)),"")</f>
        <v>5400</v>
      </c>
      <c r="F36" s="45" t="n">
        <f aca="false">IFERROR(INDEX(Orders!$S$5:$S$64,MATCH(8,$AB$5:$AB$64,0)),"")</f>
        <v>6237</v>
      </c>
      <c r="G36" s="45" t="n">
        <f aca="false">IFERROR(INDEX(Orders!$U$5:$U$64,MATCH(8,$AB$5:$AB$64,0)),"")</f>
        <v>0</v>
      </c>
      <c r="H36" s="45" t="n">
        <f aca="false">IFERROR(INDEX(Orders!$X$5:$X$64,MATCH(8,$AB$5:$AB$64,0)),"")</f>
        <v>3500</v>
      </c>
      <c r="I36" s="38" t="str">
        <f aca="false">IFERROR(INDEX(Orders!$AB$5:$AB$64,MATCH(8,$AB$5:$AB$64,0)),"")</f>
        <v>Paid</v>
      </c>
      <c r="AB36" s="1" t="str">
        <f aca="false">IF(Orders!$A36&lt;&gt;"",MAX($AB$3:$AB35)+1,"")</f>
        <v/>
      </c>
    </row>
    <row r="37" customFormat="false" ht="15" hidden="false" customHeight="true" outlineLevel="0" collapsed="false">
      <c r="A37" s="36" t="str">
        <f aca="false">IFERROR(INDEX(Orders!$A$5:$A$64,MATCH(9,$AB$5:$AB$64,0)),"")</f>
        <v>AES-O-009</v>
      </c>
      <c r="B37" s="36" t="str">
        <f aca="false">IFERROR(INDEX(Orders!$B$5:$B$64,MATCH(9,$AB$5:$AB$64,0)),"")</f>
        <v>Ducting fabrication 300m</v>
      </c>
      <c r="C37" s="36" t="str">
        <f aca="false">IFERROR(INDEX(Orders!$C$5:$C$64,MATCH(9,$AB$5:$AB$64,0)),"")</f>
        <v>Mimosa Mining</v>
      </c>
      <c r="D37" s="85" t="n">
        <f aca="false">IFERROR(INDEX(Orders!$E$5:$E$64,MATCH(9,$AB$5:$AB$64,0)),"")</f>
        <v>46249</v>
      </c>
      <c r="E37" s="42" t="n">
        <f aca="false">IFERROR(INDEX(Orders!$F$5:$F$64,MATCH(9,$AB$5:$AB$64,0)),"")</f>
        <v>26000</v>
      </c>
      <c r="F37" s="42" t="n">
        <f aca="false">IFERROR(INDEX(Orders!$S$5:$S$64,MATCH(9,$AB$5:$AB$64,0)),"")</f>
        <v>0</v>
      </c>
      <c r="G37" s="42" t="n">
        <f aca="false">IFERROR(INDEX(Orders!$U$5:$U$64,MATCH(9,$AB$5:$AB$64,0)),"")</f>
        <v>30030</v>
      </c>
      <c r="H37" s="42" t="n">
        <f aca="false">IFERROR(INDEX(Orders!$X$5:$X$64,MATCH(9,$AB$5:$AB$64,0)),"")</f>
        <v>17400</v>
      </c>
      <c r="I37" s="36" t="str">
        <f aca="false">IFERROR(INDEX(Orders!$AB$5:$AB$64,MATCH(9,$AB$5:$AB$64,0)),"")</f>
        <v>Open</v>
      </c>
      <c r="AB37" s="1" t="str">
        <f aca="false">IF(Orders!$A37&lt;&gt;"",MAX($AB$3:$AB36)+1,"")</f>
        <v/>
      </c>
    </row>
    <row r="38" customFormat="false" ht="15" hidden="false" customHeight="true" outlineLevel="0" collapsed="false">
      <c r="A38" s="38" t="str">
        <f aca="false">IFERROR(INDEX(Orders!$A$5:$A$64,MATCH(10,$AB$5:$AB$64,0)),"")</f>
        <v>AES-O-010</v>
      </c>
      <c r="B38" s="38" t="str">
        <f aca="false">IFERROR(INDEX(Orders!$B$5:$B$64,MATCH(10,$AB$5:$AB$64,0)),"")</f>
        <v>Airflow measurement audit</v>
      </c>
      <c r="C38" s="38" t="str">
        <f aca="false">IFERROR(INDEX(Orders!$C$5:$C$64,MATCH(10,$AB$5:$AB$64,0)),"")</f>
        <v>Zvishavane Engineering Ltd</v>
      </c>
      <c r="D38" s="86" t="n">
        <f aca="false">IFERROR(INDEX(Orders!$E$5:$E$64,MATCH(10,$AB$5:$AB$64,0)),"")</f>
        <v>46208</v>
      </c>
      <c r="E38" s="45" t="n">
        <f aca="false">IFERROR(INDEX(Orders!$F$5:$F$64,MATCH(10,$AB$5:$AB$64,0)),"")</f>
        <v>4200</v>
      </c>
      <c r="F38" s="45" t="n">
        <f aca="false">IFERROR(INDEX(Orders!$S$5:$S$64,MATCH(10,$AB$5:$AB$64,0)),"")</f>
        <v>0</v>
      </c>
      <c r="G38" s="45" t="n">
        <f aca="false">IFERROR(INDEX(Orders!$U$5:$U$64,MATCH(10,$AB$5:$AB$64,0)),"")</f>
        <v>4851</v>
      </c>
      <c r="H38" s="45" t="n">
        <f aca="false">IFERROR(INDEX(Orders!$X$5:$X$64,MATCH(10,$AB$5:$AB$64,0)),"")</f>
        <v>3300</v>
      </c>
      <c r="I38" s="38" t="str">
        <f aca="false">IFERROR(INDEX(Orders!$AB$5:$AB$64,MATCH(10,$AB$5:$AB$64,0)),"")</f>
        <v>Overdue Payment</v>
      </c>
      <c r="AB38" s="1" t="str">
        <f aca="false">IF(Orders!$A38&lt;&gt;"",MAX($AB$3:$AB37)+1,"")</f>
        <v/>
      </c>
    </row>
    <row r="39" customFormat="false" ht="15" hidden="false" customHeight="true" outlineLevel="0" collapsed="false">
      <c r="A39" s="36" t="str">
        <f aca="false">IFERROR(INDEX(Orders!$A$5:$A$64,MATCH(11,$AB$5:$AB$64,0)),"")</f>
        <v/>
      </c>
      <c r="B39" s="36" t="str">
        <f aca="false">IFERROR(INDEX(Orders!$B$5:$B$64,MATCH(11,$AB$5:$AB$64,0)),"")</f>
        <v/>
      </c>
      <c r="C39" s="36" t="str">
        <f aca="false">IFERROR(INDEX(Orders!$C$5:$C$64,MATCH(11,$AB$5:$AB$64,0)),"")</f>
        <v/>
      </c>
      <c r="D39" s="85" t="str">
        <f aca="false">IFERROR(INDEX(Orders!$E$5:$E$64,MATCH(11,$AB$5:$AB$64,0)),"")</f>
        <v/>
      </c>
      <c r="E39" s="42" t="str">
        <f aca="false">IFERROR(INDEX(Orders!$F$5:$F$64,MATCH(11,$AB$5:$AB$64,0)),"")</f>
        <v/>
      </c>
      <c r="F39" s="42" t="str">
        <f aca="false">IFERROR(INDEX(Orders!$S$5:$S$64,MATCH(11,$AB$5:$AB$64,0)),"")</f>
        <v/>
      </c>
      <c r="G39" s="42" t="str">
        <f aca="false">IFERROR(INDEX(Orders!$U$5:$U$64,MATCH(11,$AB$5:$AB$64,0)),"")</f>
        <v/>
      </c>
      <c r="H39" s="42" t="str">
        <f aca="false">IFERROR(INDEX(Orders!$X$5:$X$64,MATCH(11,$AB$5:$AB$64,0)),"")</f>
        <v/>
      </c>
      <c r="I39" s="36" t="str">
        <f aca="false">IFERROR(INDEX(Orders!$AB$5:$AB$64,MATCH(11,$AB$5:$AB$64,0)),"")</f>
        <v/>
      </c>
      <c r="AB39" s="1" t="str">
        <f aca="false">IF(Orders!$A39&lt;&gt;"",MAX($AB$3:$AB38)+1,"")</f>
        <v/>
      </c>
    </row>
    <row r="40" customFormat="false" ht="15" hidden="false" customHeight="true" outlineLevel="0" collapsed="false">
      <c r="A40" s="38" t="str">
        <f aca="false">IFERROR(INDEX(Orders!$A$5:$A$64,MATCH(12,$AB$5:$AB$64,0)),"")</f>
        <v/>
      </c>
      <c r="B40" s="38" t="str">
        <f aca="false">IFERROR(INDEX(Orders!$B$5:$B$64,MATCH(12,$AB$5:$AB$64,0)),"")</f>
        <v/>
      </c>
      <c r="C40" s="38" t="str">
        <f aca="false">IFERROR(INDEX(Orders!$C$5:$C$64,MATCH(12,$AB$5:$AB$64,0)),"")</f>
        <v/>
      </c>
      <c r="D40" s="86" t="str">
        <f aca="false">IFERROR(INDEX(Orders!$E$5:$E$64,MATCH(12,$AB$5:$AB$64,0)),"")</f>
        <v/>
      </c>
      <c r="E40" s="45" t="str">
        <f aca="false">IFERROR(INDEX(Orders!$F$5:$F$64,MATCH(12,$AB$5:$AB$64,0)),"")</f>
        <v/>
      </c>
      <c r="F40" s="45" t="str">
        <f aca="false">IFERROR(INDEX(Orders!$S$5:$S$64,MATCH(12,$AB$5:$AB$64,0)),"")</f>
        <v/>
      </c>
      <c r="G40" s="45" t="str">
        <f aca="false">IFERROR(INDEX(Orders!$U$5:$U$64,MATCH(12,$AB$5:$AB$64,0)),"")</f>
        <v/>
      </c>
      <c r="H40" s="45" t="str">
        <f aca="false">IFERROR(INDEX(Orders!$X$5:$X$64,MATCH(12,$AB$5:$AB$64,0)),"")</f>
        <v/>
      </c>
      <c r="I40" s="38" t="str">
        <f aca="false">IFERROR(INDEX(Orders!$AB$5:$AB$64,MATCH(12,$AB$5:$AB$64,0)),"")</f>
        <v/>
      </c>
      <c r="AB40" s="1" t="str">
        <f aca="false">IF(Orders!$A40&lt;&gt;"",MAX($AB$3:$AB39)+1,"")</f>
        <v/>
      </c>
    </row>
    <row r="41" customFormat="false" ht="15" hidden="false" customHeight="true" outlineLevel="0" collapsed="false">
      <c r="A41" s="36" t="str">
        <f aca="false">IFERROR(INDEX(Orders!$A$5:$A$64,MATCH(13,$AB$5:$AB$64,0)),"")</f>
        <v/>
      </c>
      <c r="B41" s="36" t="str">
        <f aca="false">IFERROR(INDEX(Orders!$B$5:$B$64,MATCH(13,$AB$5:$AB$64,0)),"")</f>
        <v/>
      </c>
      <c r="C41" s="36" t="str">
        <f aca="false">IFERROR(INDEX(Orders!$C$5:$C$64,MATCH(13,$AB$5:$AB$64,0)),"")</f>
        <v/>
      </c>
      <c r="D41" s="85" t="str">
        <f aca="false">IFERROR(INDEX(Orders!$E$5:$E$64,MATCH(13,$AB$5:$AB$64,0)),"")</f>
        <v/>
      </c>
      <c r="E41" s="42" t="str">
        <f aca="false">IFERROR(INDEX(Orders!$F$5:$F$64,MATCH(13,$AB$5:$AB$64,0)),"")</f>
        <v/>
      </c>
      <c r="F41" s="42" t="str">
        <f aca="false">IFERROR(INDEX(Orders!$S$5:$S$64,MATCH(13,$AB$5:$AB$64,0)),"")</f>
        <v/>
      </c>
      <c r="G41" s="42" t="str">
        <f aca="false">IFERROR(INDEX(Orders!$U$5:$U$64,MATCH(13,$AB$5:$AB$64,0)),"")</f>
        <v/>
      </c>
      <c r="H41" s="42" t="str">
        <f aca="false">IFERROR(INDEX(Orders!$X$5:$X$64,MATCH(13,$AB$5:$AB$64,0)),"")</f>
        <v/>
      </c>
      <c r="I41" s="36" t="str">
        <f aca="false">IFERROR(INDEX(Orders!$AB$5:$AB$64,MATCH(13,$AB$5:$AB$64,0)),"")</f>
        <v/>
      </c>
      <c r="AB41" s="1" t="str">
        <f aca="false">IF(Orders!$A41&lt;&gt;"",MAX($AB$3:$AB40)+1,"")</f>
        <v/>
      </c>
    </row>
    <row r="42" customFormat="false" ht="15" hidden="false" customHeight="true" outlineLevel="0" collapsed="false">
      <c r="A42" s="38" t="str">
        <f aca="false">IFERROR(INDEX(Orders!$A$5:$A$64,MATCH(14,$AB$5:$AB$64,0)),"")</f>
        <v/>
      </c>
      <c r="B42" s="38" t="str">
        <f aca="false">IFERROR(INDEX(Orders!$B$5:$B$64,MATCH(14,$AB$5:$AB$64,0)),"")</f>
        <v/>
      </c>
      <c r="C42" s="38" t="str">
        <f aca="false">IFERROR(INDEX(Orders!$C$5:$C$64,MATCH(14,$AB$5:$AB$64,0)),"")</f>
        <v/>
      </c>
      <c r="D42" s="86" t="str">
        <f aca="false">IFERROR(INDEX(Orders!$E$5:$E$64,MATCH(14,$AB$5:$AB$64,0)),"")</f>
        <v/>
      </c>
      <c r="E42" s="45" t="str">
        <f aca="false">IFERROR(INDEX(Orders!$F$5:$F$64,MATCH(14,$AB$5:$AB$64,0)),"")</f>
        <v/>
      </c>
      <c r="F42" s="45" t="str">
        <f aca="false">IFERROR(INDEX(Orders!$S$5:$S$64,MATCH(14,$AB$5:$AB$64,0)),"")</f>
        <v/>
      </c>
      <c r="G42" s="45" t="str">
        <f aca="false">IFERROR(INDEX(Orders!$U$5:$U$64,MATCH(14,$AB$5:$AB$64,0)),"")</f>
        <v/>
      </c>
      <c r="H42" s="45" t="str">
        <f aca="false">IFERROR(INDEX(Orders!$X$5:$X$64,MATCH(14,$AB$5:$AB$64,0)),"")</f>
        <v/>
      </c>
      <c r="I42" s="38" t="str">
        <f aca="false">IFERROR(INDEX(Orders!$AB$5:$AB$64,MATCH(14,$AB$5:$AB$64,0)),"")</f>
        <v/>
      </c>
      <c r="AB42" s="1" t="str">
        <f aca="false">IF(Orders!$A42&lt;&gt;"",MAX($AB$3:$AB41)+1,"")</f>
        <v/>
      </c>
    </row>
    <row r="43" customFormat="false" ht="15" hidden="false" customHeight="true" outlineLevel="0" collapsed="false">
      <c r="A43" s="36" t="str">
        <f aca="false">IFERROR(INDEX(Orders!$A$5:$A$64,MATCH(15,$AB$5:$AB$64,0)),"")</f>
        <v/>
      </c>
      <c r="B43" s="36" t="str">
        <f aca="false">IFERROR(INDEX(Orders!$B$5:$B$64,MATCH(15,$AB$5:$AB$64,0)),"")</f>
        <v/>
      </c>
      <c r="C43" s="36" t="str">
        <f aca="false">IFERROR(INDEX(Orders!$C$5:$C$64,MATCH(15,$AB$5:$AB$64,0)),"")</f>
        <v/>
      </c>
      <c r="D43" s="85" t="str">
        <f aca="false">IFERROR(INDEX(Orders!$E$5:$E$64,MATCH(15,$AB$5:$AB$64,0)),"")</f>
        <v/>
      </c>
      <c r="E43" s="42" t="str">
        <f aca="false">IFERROR(INDEX(Orders!$F$5:$F$64,MATCH(15,$AB$5:$AB$64,0)),"")</f>
        <v/>
      </c>
      <c r="F43" s="42" t="str">
        <f aca="false">IFERROR(INDEX(Orders!$S$5:$S$64,MATCH(15,$AB$5:$AB$64,0)),"")</f>
        <v/>
      </c>
      <c r="G43" s="42" t="str">
        <f aca="false">IFERROR(INDEX(Orders!$U$5:$U$64,MATCH(15,$AB$5:$AB$64,0)),"")</f>
        <v/>
      </c>
      <c r="H43" s="42" t="str">
        <f aca="false">IFERROR(INDEX(Orders!$X$5:$X$64,MATCH(15,$AB$5:$AB$64,0)),"")</f>
        <v/>
      </c>
      <c r="I43" s="36" t="str">
        <f aca="false">IFERROR(INDEX(Orders!$AB$5:$AB$64,MATCH(15,$AB$5:$AB$64,0)),"")</f>
        <v/>
      </c>
      <c r="AB43" s="1" t="str">
        <f aca="false">IF(Orders!$A43&lt;&gt;"",MAX($AB$3:$AB42)+1,"")</f>
        <v/>
      </c>
    </row>
    <row r="44" customFormat="false" ht="15" hidden="false" customHeight="true" outlineLevel="0" collapsed="false">
      <c r="A44" s="38" t="str">
        <f aca="false">IFERROR(INDEX(Orders!$A$5:$A$64,MATCH(16,$AB$5:$AB$64,0)),"")</f>
        <v/>
      </c>
      <c r="B44" s="38" t="str">
        <f aca="false">IFERROR(INDEX(Orders!$B$5:$B$64,MATCH(16,$AB$5:$AB$64,0)),"")</f>
        <v/>
      </c>
      <c r="C44" s="38" t="str">
        <f aca="false">IFERROR(INDEX(Orders!$C$5:$C$64,MATCH(16,$AB$5:$AB$64,0)),"")</f>
        <v/>
      </c>
      <c r="D44" s="86" t="str">
        <f aca="false">IFERROR(INDEX(Orders!$E$5:$E$64,MATCH(16,$AB$5:$AB$64,0)),"")</f>
        <v/>
      </c>
      <c r="E44" s="45" t="str">
        <f aca="false">IFERROR(INDEX(Orders!$F$5:$F$64,MATCH(16,$AB$5:$AB$64,0)),"")</f>
        <v/>
      </c>
      <c r="F44" s="45" t="str">
        <f aca="false">IFERROR(INDEX(Orders!$S$5:$S$64,MATCH(16,$AB$5:$AB$64,0)),"")</f>
        <v/>
      </c>
      <c r="G44" s="45" t="str">
        <f aca="false">IFERROR(INDEX(Orders!$U$5:$U$64,MATCH(16,$AB$5:$AB$64,0)),"")</f>
        <v/>
      </c>
      <c r="H44" s="45" t="str">
        <f aca="false">IFERROR(INDEX(Orders!$X$5:$X$64,MATCH(16,$AB$5:$AB$64,0)),"")</f>
        <v/>
      </c>
      <c r="I44" s="38" t="str">
        <f aca="false">IFERROR(INDEX(Orders!$AB$5:$AB$64,MATCH(16,$AB$5:$AB$64,0)),"")</f>
        <v/>
      </c>
      <c r="AB44" s="1" t="str">
        <f aca="false">IF(Orders!$A44&lt;&gt;"",MAX($AB$3:$AB43)+1,"")</f>
        <v/>
      </c>
    </row>
    <row r="45" customFormat="false" ht="15" hidden="false" customHeight="true" outlineLevel="0" collapsed="false">
      <c r="A45" s="36" t="str">
        <f aca="false">IFERROR(INDEX(Orders!$A$5:$A$64,MATCH(17,$AB$5:$AB$64,0)),"")</f>
        <v/>
      </c>
      <c r="B45" s="36" t="str">
        <f aca="false">IFERROR(INDEX(Orders!$B$5:$B$64,MATCH(17,$AB$5:$AB$64,0)),"")</f>
        <v/>
      </c>
      <c r="C45" s="36" t="str">
        <f aca="false">IFERROR(INDEX(Orders!$C$5:$C$64,MATCH(17,$AB$5:$AB$64,0)),"")</f>
        <v/>
      </c>
      <c r="D45" s="85" t="str">
        <f aca="false">IFERROR(INDEX(Orders!$E$5:$E$64,MATCH(17,$AB$5:$AB$64,0)),"")</f>
        <v/>
      </c>
      <c r="E45" s="42" t="str">
        <f aca="false">IFERROR(INDEX(Orders!$F$5:$F$64,MATCH(17,$AB$5:$AB$64,0)),"")</f>
        <v/>
      </c>
      <c r="F45" s="42" t="str">
        <f aca="false">IFERROR(INDEX(Orders!$S$5:$S$64,MATCH(17,$AB$5:$AB$64,0)),"")</f>
        <v/>
      </c>
      <c r="G45" s="42" t="str">
        <f aca="false">IFERROR(INDEX(Orders!$U$5:$U$64,MATCH(17,$AB$5:$AB$64,0)),"")</f>
        <v/>
      </c>
      <c r="H45" s="42" t="str">
        <f aca="false">IFERROR(INDEX(Orders!$X$5:$X$64,MATCH(17,$AB$5:$AB$64,0)),"")</f>
        <v/>
      </c>
      <c r="I45" s="36" t="str">
        <f aca="false">IFERROR(INDEX(Orders!$AB$5:$AB$64,MATCH(17,$AB$5:$AB$64,0)),"")</f>
        <v/>
      </c>
      <c r="AB45" s="1" t="str">
        <f aca="false">IF(Orders!$A45&lt;&gt;"",MAX($AB$3:$AB44)+1,"")</f>
        <v/>
      </c>
    </row>
    <row r="46" customFormat="false" ht="15" hidden="false" customHeight="true" outlineLevel="0" collapsed="false">
      <c r="A46" s="38" t="str">
        <f aca="false">IFERROR(INDEX(Orders!$A$5:$A$64,MATCH(18,$AB$5:$AB$64,0)),"")</f>
        <v/>
      </c>
      <c r="B46" s="38" t="str">
        <f aca="false">IFERROR(INDEX(Orders!$B$5:$B$64,MATCH(18,$AB$5:$AB$64,0)),"")</f>
        <v/>
      </c>
      <c r="C46" s="38" t="str">
        <f aca="false">IFERROR(INDEX(Orders!$C$5:$C$64,MATCH(18,$AB$5:$AB$64,0)),"")</f>
        <v/>
      </c>
      <c r="D46" s="86" t="str">
        <f aca="false">IFERROR(INDEX(Orders!$E$5:$E$64,MATCH(18,$AB$5:$AB$64,0)),"")</f>
        <v/>
      </c>
      <c r="E46" s="45" t="str">
        <f aca="false">IFERROR(INDEX(Orders!$F$5:$F$64,MATCH(18,$AB$5:$AB$64,0)),"")</f>
        <v/>
      </c>
      <c r="F46" s="45" t="str">
        <f aca="false">IFERROR(INDEX(Orders!$S$5:$S$64,MATCH(18,$AB$5:$AB$64,0)),"")</f>
        <v/>
      </c>
      <c r="G46" s="45" t="str">
        <f aca="false">IFERROR(INDEX(Orders!$U$5:$U$64,MATCH(18,$AB$5:$AB$64,0)),"")</f>
        <v/>
      </c>
      <c r="H46" s="45" t="str">
        <f aca="false">IFERROR(INDEX(Orders!$X$5:$X$64,MATCH(18,$AB$5:$AB$64,0)),"")</f>
        <v/>
      </c>
      <c r="I46" s="38" t="str">
        <f aca="false">IFERROR(INDEX(Orders!$AB$5:$AB$64,MATCH(18,$AB$5:$AB$64,0)),"")</f>
        <v/>
      </c>
      <c r="AB46" s="1" t="str">
        <f aca="false">IF(Orders!$A46&lt;&gt;"",MAX($AB$3:$AB45)+1,"")</f>
        <v/>
      </c>
    </row>
    <row r="47" customFormat="false" ht="15" hidden="false" customHeight="true" outlineLevel="0" collapsed="false">
      <c r="A47" s="36" t="str">
        <f aca="false">IFERROR(INDEX(Orders!$A$5:$A$64,MATCH(19,$AB$5:$AB$64,0)),"")</f>
        <v/>
      </c>
      <c r="B47" s="36" t="str">
        <f aca="false">IFERROR(INDEX(Orders!$B$5:$B$64,MATCH(19,$AB$5:$AB$64,0)),"")</f>
        <v/>
      </c>
      <c r="C47" s="36" t="str">
        <f aca="false">IFERROR(INDEX(Orders!$C$5:$C$64,MATCH(19,$AB$5:$AB$64,0)),"")</f>
        <v/>
      </c>
      <c r="D47" s="85" t="str">
        <f aca="false">IFERROR(INDEX(Orders!$E$5:$E$64,MATCH(19,$AB$5:$AB$64,0)),"")</f>
        <v/>
      </c>
      <c r="E47" s="42" t="str">
        <f aca="false">IFERROR(INDEX(Orders!$F$5:$F$64,MATCH(19,$AB$5:$AB$64,0)),"")</f>
        <v/>
      </c>
      <c r="F47" s="42" t="str">
        <f aca="false">IFERROR(INDEX(Orders!$S$5:$S$64,MATCH(19,$AB$5:$AB$64,0)),"")</f>
        <v/>
      </c>
      <c r="G47" s="42" t="str">
        <f aca="false">IFERROR(INDEX(Orders!$U$5:$U$64,MATCH(19,$AB$5:$AB$64,0)),"")</f>
        <v/>
      </c>
      <c r="H47" s="42" t="str">
        <f aca="false">IFERROR(INDEX(Orders!$X$5:$X$64,MATCH(19,$AB$5:$AB$64,0)),"")</f>
        <v/>
      </c>
      <c r="I47" s="36" t="str">
        <f aca="false">IFERROR(INDEX(Orders!$AB$5:$AB$64,MATCH(19,$AB$5:$AB$64,0)),"")</f>
        <v/>
      </c>
      <c r="AB47" s="1" t="str">
        <f aca="false">IF(Orders!$A47&lt;&gt;"",MAX($AB$3:$AB46)+1,"")</f>
        <v/>
      </c>
    </row>
    <row r="48" customFormat="false" ht="15" hidden="false" customHeight="true" outlineLevel="0" collapsed="false">
      <c r="A48" s="38" t="str">
        <f aca="false">IFERROR(INDEX(Orders!$A$5:$A$64,MATCH(20,$AB$5:$AB$64,0)),"")</f>
        <v/>
      </c>
      <c r="B48" s="38" t="str">
        <f aca="false">IFERROR(INDEX(Orders!$B$5:$B$64,MATCH(20,$AB$5:$AB$64,0)),"")</f>
        <v/>
      </c>
      <c r="C48" s="38" t="str">
        <f aca="false">IFERROR(INDEX(Orders!$C$5:$C$64,MATCH(20,$AB$5:$AB$64,0)),"")</f>
        <v/>
      </c>
      <c r="D48" s="86" t="str">
        <f aca="false">IFERROR(INDEX(Orders!$E$5:$E$64,MATCH(20,$AB$5:$AB$64,0)),"")</f>
        <v/>
      </c>
      <c r="E48" s="45" t="str">
        <f aca="false">IFERROR(INDEX(Orders!$F$5:$F$64,MATCH(20,$AB$5:$AB$64,0)),"")</f>
        <v/>
      </c>
      <c r="F48" s="45" t="str">
        <f aca="false">IFERROR(INDEX(Orders!$S$5:$S$64,MATCH(20,$AB$5:$AB$64,0)),"")</f>
        <v/>
      </c>
      <c r="G48" s="45" t="str">
        <f aca="false">IFERROR(INDEX(Orders!$U$5:$U$64,MATCH(20,$AB$5:$AB$64,0)),"")</f>
        <v/>
      </c>
      <c r="H48" s="45" t="str">
        <f aca="false">IFERROR(INDEX(Orders!$X$5:$X$64,MATCH(20,$AB$5:$AB$64,0)),"")</f>
        <v/>
      </c>
      <c r="I48" s="38" t="str">
        <f aca="false">IFERROR(INDEX(Orders!$AB$5:$AB$64,MATCH(20,$AB$5:$AB$64,0)),"")</f>
        <v/>
      </c>
      <c r="AB48" s="1" t="str">
        <f aca="false">IF(Orders!$A48&lt;&gt;"",MAX($AB$3:$AB47)+1,"")</f>
        <v/>
      </c>
    </row>
    <row r="49" customFormat="false" ht="15" hidden="false" customHeight="true" outlineLevel="0" collapsed="false">
      <c r="A49" s="36" t="str">
        <f aca="false">IFERROR(INDEX(Orders!$A$5:$A$64,MATCH(21,$AB$5:$AB$64,0)),"")</f>
        <v/>
      </c>
      <c r="B49" s="36" t="str">
        <f aca="false">IFERROR(INDEX(Orders!$B$5:$B$64,MATCH(21,$AB$5:$AB$64,0)),"")</f>
        <v/>
      </c>
      <c r="C49" s="36" t="str">
        <f aca="false">IFERROR(INDEX(Orders!$C$5:$C$64,MATCH(21,$AB$5:$AB$64,0)),"")</f>
        <v/>
      </c>
      <c r="D49" s="85" t="str">
        <f aca="false">IFERROR(INDEX(Orders!$E$5:$E$64,MATCH(21,$AB$5:$AB$64,0)),"")</f>
        <v/>
      </c>
      <c r="E49" s="42" t="str">
        <f aca="false">IFERROR(INDEX(Orders!$F$5:$F$64,MATCH(21,$AB$5:$AB$64,0)),"")</f>
        <v/>
      </c>
      <c r="F49" s="42" t="str">
        <f aca="false">IFERROR(INDEX(Orders!$S$5:$S$64,MATCH(21,$AB$5:$AB$64,0)),"")</f>
        <v/>
      </c>
      <c r="G49" s="42" t="str">
        <f aca="false">IFERROR(INDEX(Orders!$U$5:$U$64,MATCH(21,$AB$5:$AB$64,0)),"")</f>
        <v/>
      </c>
      <c r="H49" s="42" t="str">
        <f aca="false">IFERROR(INDEX(Orders!$X$5:$X$64,MATCH(21,$AB$5:$AB$64,0)),"")</f>
        <v/>
      </c>
      <c r="I49" s="36" t="str">
        <f aca="false">IFERROR(INDEX(Orders!$AB$5:$AB$64,MATCH(21,$AB$5:$AB$64,0)),"")</f>
        <v/>
      </c>
      <c r="AB49" s="1" t="str">
        <f aca="false">IF(Orders!$A49&lt;&gt;"",MAX($AB$3:$AB48)+1,"")</f>
        <v/>
      </c>
    </row>
    <row r="50" customFormat="false" ht="15" hidden="false" customHeight="true" outlineLevel="0" collapsed="false">
      <c r="A50" s="38" t="str">
        <f aca="false">IFERROR(INDEX(Orders!$A$5:$A$64,MATCH(22,$AB$5:$AB$64,0)),"")</f>
        <v/>
      </c>
      <c r="B50" s="38" t="str">
        <f aca="false">IFERROR(INDEX(Orders!$B$5:$B$64,MATCH(22,$AB$5:$AB$64,0)),"")</f>
        <v/>
      </c>
      <c r="C50" s="38" t="str">
        <f aca="false">IFERROR(INDEX(Orders!$C$5:$C$64,MATCH(22,$AB$5:$AB$64,0)),"")</f>
        <v/>
      </c>
      <c r="D50" s="86" t="str">
        <f aca="false">IFERROR(INDEX(Orders!$E$5:$E$64,MATCH(22,$AB$5:$AB$64,0)),"")</f>
        <v/>
      </c>
      <c r="E50" s="45" t="str">
        <f aca="false">IFERROR(INDEX(Orders!$F$5:$F$64,MATCH(22,$AB$5:$AB$64,0)),"")</f>
        <v/>
      </c>
      <c r="F50" s="45" t="str">
        <f aca="false">IFERROR(INDEX(Orders!$S$5:$S$64,MATCH(22,$AB$5:$AB$64,0)),"")</f>
        <v/>
      </c>
      <c r="G50" s="45" t="str">
        <f aca="false">IFERROR(INDEX(Orders!$U$5:$U$64,MATCH(22,$AB$5:$AB$64,0)),"")</f>
        <v/>
      </c>
      <c r="H50" s="45" t="str">
        <f aca="false">IFERROR(INDEX(Orders!$X$5:$X$64,MATCH(22,$AB$5:$AB$64,0)),"")</f>
        <v/>
      </c>
      <c r="I50" s="38" t="str">
        <f aca="false">IFERROR(INDEX(Orders!$AB$5:$AB$64,MATCH(22,$AB$5:$AB$64,0)),"")</f>
        <v/>
      </c>
      <c r="AB50" s="1" t="str">
        <f aca="false">IF(Orders!$A50&lt;&gt;"",MAX($AB$3:$AB49)+1,"")</f>
        <v/>
      </c>
    </row>
    <row r="51" customFormat="false" ht="15" hidden="false" customHeight="true" outlineLevel="0" collapsed="false">
      <c r="A51" s="36" t="str">
        <f aca="false">IFERROR(INDEX(Orders!$A$5:$A$64,MATCH(23,$AB$5:$AB$64,0)),"")</f>
        <v/>
      </c>
      <c r="B51" s="36" t="str">
        <f aca="false">IFERROR(INDEX(Orders!$B$5:$B$64,MATCH(23,$AB$5:$AB$64,0)),"")</f>
        <v/>
      </c>
      <c r="C51" s="36" t="str">
        <f aca="false">IFERROR(INDEX(Orders!$C$5:$C$64,MATCH(23,$AB$5:$AB$64,0)),"")</f>
        <v/>
      </c>
      <c r="D51" s="85" t="str">
        <f aca="false">IFERROR(INDEX(Orders!$E$5:$E$64,MATCH(23,$AB$5:$AB$64,0)),"")</f>
        <v/>
      </c>
      <c r="E51" s="42" t="str">
        <f aca="false">IFERROR(INDEX(Orders!$F$5:$F$64,MATCH(23,$AB$5:$AB$64,0)),"")</f>
        <v/>
      </c>
      <c r="F51" s="42" t="str">
        <f aca="false">IFERROR(INDEX(Orders!$S$5:$S$64,MATCH(23,$AB$5:$AB$64,0)),"")</f>
        <v/>
      </c>
      <c r="G51" s="42" t="str">
        <f aca="false">IFERROR(INDEX(Orders!$U$5:$U$64,MATCH(23,$AB$5:$AB$64,0)),"")</f>
        <v/>
      </c>
      <c r="H51" s="42" t="str">
        <f aca="false">IFERROR(INDEX(Orders!$X$5:$X$64,MATCH(23,$AB$5:$AB$64,0)),"")</f>
        <v/>
      </c>
      <c r="I51" s="36" t="str">
        <f aca="false">IFERROR(INDEX(Orders!$AB$5:$AB$64,MATCH(23,$AB$5:$AB$64,0)),"")</f>
        <v/>
      </c>
      <c r="AB51" s="1" t="str">
        <f aca="false">IF(Orders!$A51&lt;&gt;"",MAX($AB$3:$AB50)+1,"")</f>
        <v/>
      </c>
    </row>
    <row r="52" customFormat="false" ht="15" hidden="false" customHeight="true" outlineLevel="0" collapsed="false">
      <c r="A52" s="38" t="str">
        <f aca="false">IFERROR(INDEX(Orders!$A$5:$A$64,MATCH(24,$AB$5:$AB$64,0)),"")</f>
        <v/>
      </c>
      <c r="B52" s="38" t="str">
        <f aca="false">IFERROR(INDEX(Orders!$B$5:$B$64,MATCH(24,$AB$5:$AB$64,0)),"")</f>
        <v/>
      </c>
      <c r="C52" s="38" t="str">
        <f aca="false">IFERROR(INDEX(Orders!$C$5:$C$64,MATCH(24,$AB$5:$AB$64,0)),"")</f>
        <v/>
      </c>
      <c r="D52" s="86" t="str">
        <f aca="false">IFERROR(INDEX(Orders!$E$5:$E$64,MATCH(24,$AB$5:$AB$64,0)),"")</f>
        <v/>
      </c>
      <c r="E52" s="45" t="str">
        <f aca="false">IFERROR(INDEX(Orders!$F$5:$F$64,MATCH(24,$AB$5:$AB$64,0)),"")</f>
        <v/>
      </c>
      <c r="F52" s="45" t="str">
        <f aca="false">IFERROR(INDEX(Orders!$S$5:$S$64,MATCH(24,$AB$5:$AB$64,0)),"")</f>
        <v/>
      </c>
      <c r="G52" s="45" t="str">
        <f aca="false">IFERROR(INDEX(Orders!$U$5:$U$64,MATCH(24,$AB$5:$AB$64,0)),"")</f>
        <v/>
      </c>
      <c r="H52" s="45" t="str">
        <f aca="false">IFERROR(INDEX(Orders!$X$5:$X$64,MATCH(24,$AB$5:$AB$64,0)),"")</f>
        <v/>
      </c>
      <c r="I52" s="38" t="str">
        <f aca="false">IFERROR(INDEX(Orders!$AB$5:$AB$64,MATCH(24,$AB$5:$AB$64,0)),"")</f>
        <v/>
      </c>
      <c r="AB52" s="1" t="str">
        <f aca="false">IF(Orders!$A52&lt;&gt;"",MAX($AB$3:$AB51)+1,"")</f>
        <v/>
      </c>
    </row>
    <row r="53" customFormat="false" ht="15" hidden="false" customHeight="true" outlineLevel="0" collapsed="false">
      <c r="A53" s="36" t="str">
        <f aca="false">IFERROR(INDEX(Orders!$A$5:$A$64,MATCH(25,$AB$5:$AB$64,0)),"")</f>
        <v/>
      </c>
      <c r="B53" s="36" t="str">
        <f aca="false">IFERROR(INDEX(Orders!$B$5:$B$64,MATCH(25,$AB$5:$AB$64,0)),"")</f>
        <v/>
      </c>
      <c r="C53" s="36" t="str">
        <f aca="false">IFERROR(INDEX(Orders!$C$5:$C$64,MATCH(25,$AB$5:$AB$64,0)),"")</f>
        <v/>
      </c>
      <c r="D53" s="85" t="str">
        <f aca="false">IFERROR(INDEX(Orders!$E$5:$E$64,MATCH(25,$AB$5:$AB$64,0)),"")</f>
        <v/>
      </c>
      <c r="E53" s="42" t="str">
        <f aca="false">IFERROR(INDEX(Orders!$F$5:$F$64,MATCH(25,$AB$5:$AB$64,0)),"")</f>
        <v/>
      </c>
      <c r="F53" s="42" t="str">
        <f aca="false">IFERROR(INDEX(Orders!$S$5:$S$64,MATCH(25,$AB$5:$AB$64,0)),"")</f>
        <v/>
      </c>
      <c r="G53" s="42" t="str">
        <f aca="false">IFERROR(INDEX(Orders!$U$5:$U$64,MATCH(25,$AB$5:$AB$64,0)),"")</f>
        <v/>
      </c>
      <c r="H53" s="42" t="str">
        <f aca="false">IFERROR(INDEX(Orders!$X$5:$X$64,MATCH(25,$AB$5:$AB$64,0)),"")</f>
        <v/>
      </c>
      <c r="I53" s="36" t="str">
        <f aca="false">IFERROR(INDEX(Orders!$AB$5:$AB$64,MATCH(25,$AB$5:$AB$64,0)),"")</f>
        <v/>
      </c>
      <c r="AB53" s="1" t="str">
        <f aca="false">IF(Orders!$A53&lt;&gt;"",MAX($AB$3:$AB52)+1,"")</f>
        <v/>
      </c>
    </row>
    <row r="54" customFormat="false" ht="15" hidden="false" customHeight="true" outlineLevel="0" collapsed="false">
      <c r="A54" s="38" t="str">
        <f aca="false">IFERROR(INDEX(Orders!$A$5:$A$64,MATCH(26,$AB$5:$AB$64,0)),"")</f>
        <v/>
      </c>
      <c r="B54" s="38" t="str">
        <f aca="false">IFERROR(INDEX(Orders!$B$5:$B$64,MATCH(26,$AB$5:$AB$64,0)),"")</f>
        <v/>
      </c>
      <c r="C54" s="38" t="str">
        <f aca="false">IFERROR(INDEX(Orders!$C$5:$C$64,MATCH(26,$AB$5:$AB$64,0)),"")</f>
        <v/>
      </c>
      <c r="D54" s="86" t="str">
        <f aca="false">IFERROR(INDEX(Orders!$E$5:$E$64,MATCH(26,$AB$5:$AB$64,0)),"")</f>
        <v/>
      </c>
      <c r="E54" s="45" t="str">
        <f aca="false">IFERROR(INDEX(Orders!$F$5:$F$64,MATCH(26,$AB$5:$AB$64,0)),"")</f>
        <v/>
      </c>
      <c r="F54" s="45" t="str">
        <f aca="false">IFERROR(INDEX(Orders!$S$5:$S$64,MATCH(26,$AB$5:$AB$64,0)),"")</f>
        <v/>
      </c>
      <c r="G54" s="45" t="str">
        <f aca="false">IFERROR(INDEX(Orders!$U$5:$U$64,MATCH(26,$AB$5:$AB$64,0)),"")</f>
        <v/>
      </c>
      <c r="H54" s="45" t="str">
        <f aca="false">IFERROR(INDEX(Orders!$X$5:$X$64,MATCH(26,$AB$5:$AB$64,0)),"")</f>
        <v/>
      </c>
      <c r="I54" s="38" t="str">
        <f aca="false">IFERROR(INDEX(Orders!$AB$5:$AB$64,MATCH(26,$AB$5:$AB$64,0)),"")</f>
        <v/>
      </c>
      <c r="AB54" s="1" t="str">
        <f aca="false">IF(Orders!$A54&lt;&gt;"",MAX($AB$3:$AB53)+1,"")</f>
        <v/>
      </c>
    </row>
    <row r="55" customFormat="false" ht="15" hidden="false" customHeight="true" outlineLevel="0" collapsed="false">
      <c r="A55" s="36" t="str">
        <f aca="false">IFERROR(INDEX(Orders!$A$5:$A$64,MATCH(27,$AB$5:$AB$64,0)),"")</f>
        <v/>
      </c>
      <c r="B55" s="36" t="str">
        <f aca="false">IFERROR(INDEX(Orders!$B$5:$B$64,MATCH(27,$AB$5:$AB$64,0)),"")</f>
        <v/>
      </c>
      <c r="C55" s="36" t="str">
        <f aca="false">IFERROR(INDEX(Orders!$C$5:$C$64,MATCH(27,$AB$5:$AB$64,0)),"")</f>
        <v/>
      </c>
      <c r="D55" s="85" t="str">
        <f aca="false">IFERROR(INDEX(Orders!$E$5:$E$64,MATCH(27,$AB$5:$AB$64,0)),"")</f>
        <v/>
      </c>
      <c r="E55" s="42" t="str">
        <f aca="false">IFERROR(INDEX(Orders!$F$5:$F$64,MATCH(27,$AB$5:$AB$64,0)),"")</f>
        <v/>
      </c>
      <c r="F55" s="42" t="str">
        <f aca="false">IFERROR(INDEX(Orders!$S$5:$S$64,MATCH(27,$AB$5:$AB$64,0)),"")</f>
        <v/>
      </c>
      <c r="G55" s="42" t="str">
        <f aca="false">IFERROR(INDEX(Orders!$U$5:$U$64,MATCH(27,$AB$5:$AB$64,0)),"")</f>
        <v/>
      </c>
      <c r="H55" s="42" t="str">
        <f aca="false">IFERROR(INDEX(Orders!$X$5:$X$64,MATCH(27,$AB$5:$AB$64,0)),"")</f>
        <v/>
      </c>
      <c r="I55" s="36" t="str">
        <f aca="false">IFERROR(INDEX(Orders!$AB$5:$AB$64,MATCH(27,$AB$5:$AB$64,0)),"")</f>
        <v/>
      </c>
      <c r="AB55" s="1" t="str">
        <f aca="false">IF(Orders!$A55&lt;&gt;"",MAX($AB$3:$AB54)+1,"")</f>
        <v/>
      </c>
    </row>
    <row r="56" customFormat="false" ht="15" hidden="false" customHeight="true" outlineLevel="0" collapsed="false">
      <c r="A56" s="38" t="str">
        <f aca="false">IFERROR(INDEX(Orders!$A$5:$A$64,MATCH(28,$AB$5:$AB$64,0)),"")</f>
        <v/>
      </c>
      <c r="B56" s="38" t="str">
        <f aca="false">IFERROR(INDEX(Orders!$B$5:$B$64,MATCH(28,$AB$5:$AB$64,0)),"")</f>
        <v/>
      </c>
      <c r="C56" s="38" t="str">
        <f aca="false">IFERROR(INDEX(Orders!$C$5:$C$64,MATCH(28,$AB$5:$AB$64,0)),"")</f>
        <v/>
      </c>
      <c r="D56" s="86" t="str">
        <f aca="false">IFERROR(INDEX(Orders!$E$5:$E$64,MATCH(28,$AB$5:$AB$64,0)),"")</f>
        <v/>
      </c>
      <c r="E56" s="45" t="str">
        <f aca="false">IFERROR(INDEX(Orders!$F$5:$F$64,MATCH(28,$AB$5:$AB$64,0)),"")</f>
        <v/>
      </c>
      <c r="F56" s="45" t="str">
        <f aca="false">IFERROR(INDEX(Orders!$S$5:$S$64,MATCH(28,$AB$5:$AB$64,0)),"")</f>
        <v/>
      </c>
      <c r="G56" s="45" t="str">
        <f aca="false">IFERROR(INDEX(Orders!$U$5:$U$64,MATCH(28,$AB$5:$AB$64,0)),"")</f>
        <v/>
      </c>
      <c r="H56" s="45" t="str">
        <f aca="false">IFERROR(INDEX(Orders!$X$5:$X$64,MATCH(28,$AB$5:$AB$64,0)),"")</f>
        <v/>
      </c>
      <c r="I56" s="38" t="str">
        <f aca="false">IFERROR(INDEX(Orders!$AB$5:$AB$64,MATCH(28,$AB$5:$AB$64,0)),"")</f>
        <v/>
      </c>
      <c r="AB56" s="1" t="str">
        <f aca="false">IF(Orders!$A56&lt;&gt;"",MAX($AB$3:$AB55)+1,"")</f>
        <v/>
      </c>
    </row>
    <row r="57" customFormat="false" ht="15" hidden="false" customHeight="true" outlineLevel="0" collapsed="false">
      <c r="A57" s="36" t="str">
        <f aca="false">IFERROR(INDEX(Orders!$A$5:$A$64,MATCH(29,$AB$5:$AB$64,0)),"")</f>
        <v/>
      </c>
      <c r="B57" s="36" t="str">
        <f aca="false">IFERROR(INDEX(Orders!$B$5:$B$64,MATCH(29,$AB$5:$AB$64,0)),"")</f>
        <v/>
      </c>
      <c r="C57" s="36" t="str">
        <f aca="false">IFERROR(INDEX(Orders!$C$5:$C$64,MATCH(29,$AB$5:$AB$64,0)),"")</f>
        <v/>
      </c>
      <c r="D57" s="85" t="str">
        <f aca="false">IFERROR(INDEX(Orders!$E$5:$E$64,MATCH(29,$AB$5:$AB$64,0)),"")</f>
        <v/>
      </c>
      <c r="E57" s="42" t="str">
        <f aca="false">IFERROR(INDEX(Orders!$F$5:$F$64,MATCH(29,$AB$5:$AB$64,0)),"")</f>
        <v/>
      </c>
      <c r="F57" s="42" t="str">
        <f aca="false">IFERROR(INDEX(Orders!$S$5:$S$64,MATCH(29,$AB$5:$AB$64,0)),"")</f>
        <v/>
      </c>
      <c r="G57" s="42" t="str">
        <f aca="false">IFERROR(INDEX(Orders!$U$5:$U$64,MATCH(29,$AB$5:$AB$64,0)),"")</f>
        <v/>
      </c>
      <c r="H57" s="42" t="str">
        <f aca="false">IFERROR(INDEX(Orders!$X$5:$X$64,MATCH(29,$AB$5:$AB$64,0)),"")</f>
        <v/>
      </c>
      <c r="I57" s="36" t="str">
        <f aca="false">IFERROR(INDEX(Orders!$AB$5:$AB$64,MATCH(29,$AB$5:$AB$64,0)),"")</f>
        <v/>
      </c>
      <c r="AB57" s="1" t="str">
        <f aca="false">IF(Orders!$A57&lt;&gt;"",MAX($AB$3:$AB56)+1,"")</f>
        <v/>
      </c>
    </row>
    <row r="58" customFormat="false" ht="15" hidden="false" customHeight="true" outlineLevel="0" collapsed="false">
      <c r="A58" s="38" t="str">
        <f aca="false">IFERROR(INDEX(Orders!$A$5:$A$64,MATCH(30,$AB$5:$AB$64,0)),"")</f>
        <v/>
      </c>
      <c r="B58" s="38" t="str">
        <f aca="false">IFERROR(INDEX(Orders!$B$5:$B$64,MATCH(30,$AB$5:$AB$64,0)),"")</f>
        <v/>
      </c>
      <c r="C58" s="38" t="str">
        <f aca="false">IFERROR(INDEX(Orders!$C$5:$C$64,MATCH(30,$AB$5:$AB$64,0)),"")</f>
        <v/>
      </c>
      <c r="D58" s="86" t="str">
        <f aca="false">IFERROR(INDEX(Orders!$E$5:$E$64,MATCH(30,$AB$5:$AB$64,0)),"")</f>
        <v/>
      </c>
      <c r="E58" s="45" t="str">
        <f aca="false">IFERROR(INDEX(Orders!$F$5:$F$64,MATCH(30,$AB$5:$AB$64,0)),"")</f>
        <v/>
      </c>
      <c r="F58" s="45" t="str">
        <f aca="false">IFERROR(INDEX(Orders!$S$5:$S$64,MATCH(30,$AB$5:$AB$64,0)),"")</f>
        <v/>
      </c>
      <c r="G58" s="45" t="str">
        <f aca="false">IFERROR(INDEX(Orders!$U$5:$U$64,MATCH(30,$AB$5:$AB$64,0)),"")</f>
        <v/>
      </c>
      <c r="H58" s="45" t="str">
        <f aca="false">IFERROR(INDEX(Orders!$X$5:$X$64,MATCH(30,$AB$5:$AB$64,0)),"")</f>
        <v/>
      </c>
      <c r="I58" s="38" t="str">
        <f aca="false">IFERROR(INDEX(Orders!$AB$5:$AB$64,MATCH(30,$AB$5:$AB$64,0)),"")</f>
        <v/>
      </c>
      <c r="AB58" s="1" t="str">
        <f aca="false">IF(Orders!$A58&lt;&gt;"",MAX($AB$3:$AB57)+1,"")</f>
        <v/>
      </c>
    </row>
    <row r="59" customFormat="false" ht="15" hidden="false" customHeight="true" outlineLevel="0" collapsed="false">
      <c r="A59" s="36" t="str">
        <f aca="false">IFERROR(INDEX(Orders!$A$5:$A$64,MATCH(31,$AB$5:$AB$64,0)),"")</f>
        <v/>
      </c>
      <c r="B59" s="36" t="str">
        <f aca="false">IFERROR(INDEX(Orders!$B$5:$B$64,MATCH(31,$AB$5:$AB$64,0)),"")</f>
        <v/>
      </c>
      <c r="C59" s="36" t="str">
        <f aca="false">IFERROR(INDEX(Orders!$C$5:$C$64,MATCH(31,$AB$5:$AB$64,0)),"")</f>
        <v/>
      </c>
      <c r="D59" s="85" t="str">
        <f aca="false">IFERROR(INDEX(Orders!$E$5:$E$64,MATCH(31,$AB$5:$AB$64,0)),"")</f>
        <v/>
      </c>
      <c r="E59" s="42" t="str">
        <f aca="false">IFERROR(INDEX(Orders!$F$5:$F$64,MATCH(31,$AB$5:$AB$64,0)),"")</f>
        <v/>
      </c>
      <c r="F59" s="42" t="str">
        <f aca="false">IFERROR(INDEX(Orders!$S$5:$S$64,MATCH(31,$AB$5:$AB$64,0)),"")</f>
        <v/>
      </c>
      <c r="G59" s="42" t="str">
        <f aca="false">IFERROR(INDEX(Orders!$U$5:$U$64,MATCH(31,$AB$5:$AB$64,0)),"")</f>
        <v/>
      </c>
      <c r="H59" s="42" t="str">
        <f aca="false">IFERROR(INDEX(Orders!$X$5:$X$64,MATCH(31,$AB$5:$AB$64,0)),"")</f>
        <v/>
      </c>
      <c r="I59" s="36" t="str">
        <f aca="false">IFERROR(INDEX(Orders!$AB$5:$AB$64,MATCH(31,$AB$5:$AB$64,0)),"")</f>
        <v/>
      </c>
      <c r="AB59" s="1" t="str">
        <f aca="false">IF(Orders!$A59&lt;&gt;"",MAX($AB$3:$AB58)+1,"")</f>
        <v/>
      </c>
    </row>
    <row r="60" customFormat="false" ht="15" hidden="false" customHeight="true" outlineLevel="0" collapsed="false">
      <c r="A60" s="38" t="str">
        <f aca="false">IFERROR(INDEX(Orders!$A$5:$A$64,MATCH(32,$AB$5:$AB$64,0)),"")</f>
        <v/>
      </c>
      <c r="B60" s="38" t="str">
        <f aca="false">IFERROR(INDEX(Orders!$B$5:$B$64,MATCH(32,$AB$5:$AB$64,0)),"")</f>
        <v/>
      </c>
      <c r="C60" s="38" t="str">
        <f aca="false">IFERROR(INDEX(Orders!$C$5:$C$64,MATCH(32,$AB$5:$AB$64,0)),"")</f>
        <v/>
      </c>
      <c r="D60" s="86" t="str">
        <f aca="false">IFERROR(INDEX(Orders!$E$5:$E$64,MATCH(32,$AB$5:$AB$64,0)),"")</f>
        <v/>
      </c>
      <c r="E60" s="45" t="str">
        <f aca="false">IFERROR(INDEX(Orders!$F$5:$F$64,MATCH(32,$AB$5:$AB$64,0)),"")</f>
        <v/>
      </c>
      <c r="F60" s="45" t="str">
        <f aca="false">IFERROR(INDEX(Orders!$S$5:$S$64,MATCH(32,$AB$5:$AB$64,0)),"")</f>
        <v/>
      </c>
      <c r="G60" s="45" t="str">
        <f aca="false">IFERROR(INDEX(Orders!$U$5:$U$64,MATCH(32,$AB$5:$AB$64,0)),"")</f>
        <v/>
      </c>
      <c r="H60" s="45" t="str">
        <f aca="false">IFERROR(INDEX(Orders!$X$5:$X$64,MATCH(32,$AB$5:$AB$64,0)),"")</f>
        <v/>
      </c>
      <c r="I60" s="38" t="str">
        <f aca="false">IFERROR(INDEX(Orders!$AB$5:$AB$64,MATCH(32,$AB$5:$AB$64,0)),"")</f>
        <v/>
      </c>
      <c r="AB60" s="1" t="str">
        <f aca="false">IF(Orders!$A60&lt;&gt;"",MAX($AB$3:$AB59)+1,"")</f>
        <v/>
      </c>
    </row>
    <row r="61" customFormat="false" ht="15" hidden="false" customHeight="true" outlineLevel="0" collapsed="false">
      <c r="A61" s="36" t="str">
        <f aca="false">IFERROR(INDEX(Orders!$A$5:$A$64,MATCH(33,$AB$5:$AB$64,0)),"")</f>
        <v/>
      </c>
      <c r="B61" s="36" t="str">
        <f aca="false">IFERROR(INDEX(Orders!$B$5:$B$64,MATCH(33,$AB$5:$AB$64,0)),"")</f>
        <v/>
      </c>
      <c r="C61" s="36" t="str">
        <f aca="false">IFERROR(INDEX(Orders!$C$5:$C$64,MATCH(33,$AB$5:$AB$64,0)),"")</f>
        <v/>
      </c>
      <c r="D61" s="85" t="str">
        <f aca="false">IFERROR(INDEX(Orders!$E$5:$E$64,MATCH(33,$AB$5:$AB$64,0)),"")</f>
        <v/>
      </c>
      <c r="E61" s="42" t="str">
        <f aca="false">IFERROR(INDEX(Orders!$F$5:$F$64,MATCH(33,$AB$5:$AB$64,0)),"")</f>
        <v/>
      </c>
      <c r="F61" s="42" t="str">
        <f aca="false">IFERROR(INDEX(Orders!$S$5:$S$64,MATCH(33,$AB$5:$AB$64,0)),"")</f>
        <v/>
      </c>
      <c r="G61" s="42" t="str">
        <f aca="false">IFERROR(INDEX(Orders!$U$5:$U$64,MATCH(33,$AB$5:$AB$64,0)),"")</f>
        <v/>
      </c>
      <c r="H61" s="42" t="str">
        <f aca="false">IFERROR(INDEX(Orders!$X$5:$X$64,MATCH(33,$AB$5:$AB$64,0)),"")</f>
        <v/>
      </c>
      <c r="I61" s="36" t="str">
        <f aca="false">IFERROR(INDEX(Orders!$AB$5:$AB$64,MATCH(33,$AB$5:$AB$64,0)),"")</f>
        <v/>
      </c>
      <c r="AB61" s="1" t="str">
        <f aca="false">IF(Orders!$A61&lt;&gt;"",MAX($AB$3:$AB60)+1,"")</f>
        <v/>
      </c>
    </row>
    <row r="62" customFormat="false" ht="15" hidden="false" customHeight="true" outlineLevel="0" collapsed="false">
      <c r="A62" s="38" t="str">
        <f aca="false">IFERROR(INDEX(Orders!$A$5:$A$64,MATCH(34,$AB$5:$AB$64,0)),"")</f>
        <v/>
      </c>
      <c r="B62" s="38" t="str">
        <f aca="false">IFERROR(INDEX(Orders!$B$5:$B$64,MATCH(34,$AB$5:$AB$64,0)),"")</f>
        <v/>
      </c>
      <c r="C62" s="38" t="str">
        <f aca="false">IFERROR(INDEX(Orders!$C$5:$C$64,MATCH(34,$AB$5:$AB$64,0)),"")</f>
        <v/>
      </c>
      <c r="D62" s="86" t="str">
        <f aca="false">IFERROR(INDEX(Orders!$E$5:$E$64,MATCH(34,$AB$5:$AB$64,0)),"")</f>
        <v/>
      </c>
      <c r="E62" s="45" t="str">
        <f aca="false">IFERROR(INDEX(Orders!$F$5:$F$64,MATCH(34,$AB$5:$AB$64,0)),"")</f>
        <v/>
      </c>
      <c r="F62" s="45" t="str">
        <f aca="false">IFERROR(INDEX(Orders!$S$5:$S$64,MATCH(34,$AB$5:$AB$64,0)),"")</f>
        <v/>
      </c>
      <c r="G62" s="45" t="str">
        <f aca="false">IFERROR(INDEX(Orders!$U$5:$U$64,MATCH(34,$AB$5:$AB$64,0)),"")</f>
        <v/>
      </c>
      <c r="H62" s="45" t="str">
        <f aca="false">IFERROR(INDEX(Orders!$X$5:$X$64,MATCH(34,$AB$5:$AB$64,0)),"")</f>
        <v/>
      </c>
      <c r="I62" s="38" t="str">
        <f aca="false">IFERROR(INDEX(Orders!$AB$5:$AB$64,MATCH(34,$AB$5:$AB$64,0)),"")</f>
        <v/>
      </c>
      <c r="AB62" s="1" t="str">
        <f aca="false">IF(Orders!$A62&lt;&gt;"",MAX($AB$3:$AB61)+1,"")</f>
        <v/>
      </c>
    </row>
    <row r="63" customFormat="false" ht="15" hidden="false" customHeight="true" outlineLevel="0" collapsed="false">
      <c r="A63" s="36" t="str">
        <f aca="false">IFERROR(INDEX(Orders!$A$5:$A$64,MATCH(35,$AB$5:$AB$64,0)),"")</f>
        <v/>
      </c>
      <c r="B63" s="36" t="str">
        <f aca="false">IFERROR(INDEX(Orders!$B$5:$B$64,MATCH(35,$AB$5:$AB$64,0)),"")</f>
        <v/>
      </c>
      <c r="C63" s="36" t="str">
        <f aca="false">IFERROR(INDEX(Orders!$C$5:$C$64,MATCH(35,$AB$5:$AB$64,0)),"")</f>
        <v/>
      </c>
      <c r="D63" s="85" t="str">
        <f aca="false">IFERROR(INDEX(Orders!$E$5:$E$64,MATCH(35,$AB$5:$AB$64,0)),"")</f>
        <v/>
      </c>
      <c r="E63" s="42" t="str">
        <f aca="false">IFERROR(INDEX(Orders!$F$5:$F$64,MATCH(35,$AB$5:$AB$64,0)),"")</f>
        <v/>
      </c>
      <c r="F63" s="42" t="str">
        <f aca="false">IFERROR(INDEX(Orders!$S$5:$S$64,MATCH(35,$AB$5:$AB$64,0)),"")</f>
        <v/>
      </c>
      <c r="G63" s="42" t="str">
        <f aca="false">IFERROR(INDEX(Orders!$U$5:$U$64,MATCH(35,$AB$5:$AB$64,0)),"")</f>
        <v/>
      </c>
      <c r="H63" s="42" t="str">
        <f aca="false">IFERROR(INDEX(Orders!$X$5:$X$64,MATCH(35,$AB$5:$AB$64,0)),"")</f>
        <v/>
      </c>
      <c r="I63" s="36" t="str">
        <f aca="false">IFERROR(INDEX(Orders!$AB$5:$AB$64,MATCH(35,$AB$5:$AB$64,0)),"")</f>
        <v/>
      </c>
      <c r="AB63" s="1" t="str">
        <f aca="false">IF(Orders!$A63&lt;&gt;"",MAX($AB$3:$AB62)+1,"")</f>
        <v/>
      </c>
    </row>
    <row r="64" customFormat="false" ht="15" hidden="false" customHeight="true" outlineLevel="0" collapsed="false">
      <c r="A64" s="38" t="str">
        <f aca="false">IFERROR(INDEX(Orders!$A$5:$A$64,MATCH(36,$AB$5:$AB$64,0)),"")</f>
        <v/>
      </c>
      <c r="B64" s="38" t="str">
        <f aca="false">IFERROR(INDEX(Orders!$B$5:$B$64,MATCH(36,$AB$5:$AB$64,0)),"")</f>
        <v/>
      </c>
      <c r="C64" s="38" t="str">
        <f aca="false">IFERROR(INDEX(Orders!$C$5:$C$64,MATCH(36,$AB$5:$AB$64,0)),"")</f>
        <v/>
      </c>
      <c r="D64" s="86" t="str">
        <f aca="false">IFERROR(INDEX(Orders!$E$5:$E$64,MATCH(36,$AB$5:$AB$64,0)),"")</f>
        <v/>
      </c>
      <c r="E64" s="45" t="str">
        <f aca="false">IFERROR(INDEX(Orders!$F$5:$F$64,MATCH(36,$AB$5:$AB$64,0)),"")</f>
        <v/>
      </c>
      <c r="F64" s="45" t="str">
        <f aca="false">IFERROR(INDEX(Orders!$S$5:$S$64,MATCH(36,$AB$5:$AB$64,0)),"")</f>
        <v/>
      </c>
      <c r="G64" s="45" t="str">
        <f aca="false">IFERROR(INDEX(Orders!$U$5:$U$64,MATCH(36,$AB$5:$AB$64,0)),"")</f>
        <v/>
      </c>
      <c r="H64" s="45" t="str">
        <f aca="false">IFERROR(INDEX(Orders!$X$5:$X$64,MATCH(36,$AB$5:$AB$64,0)),"")</f>
        <v/>
      </c>
      <c r="I64" s="38" t="str">
        <f aca="false">IFERROR(INDEX(Orders!$AB$5:$AB$64,MATCH(36,$AB$5:$AB$64,0)),"")</f>
        <v/>
      </c>
      <c r="AB64" s="1" t="str">
        <f aca="false">IF(Orders!$A64&lt;&gt;"",MAX($AB$3:$AB63)+1,"")</f>
        <v/>
      </c>
    </row>
    <row r="65" customFormat="false" ht="15" hidden="false" customHeight="true" outlineLevel="0" collapsed="false">
      <c r="A65" s="36" t="str">
        <f aca="false">IFERROR(INDEX(Orders!$A$5:$A$64,MATCH(37,$AB$5:$AB$64,0)),"")</f>
        <v/>
      </c>
      <c r="B65" s="36" t="str">
        <f aca="false">IFERROR(INDEX(Orders!$B$5:$B$64,MATCH(37,$AB$5:$AB$64,0)),"")</f>
        <v/>
      </c>
      <c r="C65" s="36" t="str">
        <f aca="false">IFERROR(INDEX(Orders!$C$5:$C$64,MATCH(37,$AB$5:$AB$64,0)),"")</f>
        <v/>
      </c>
      <c r="D65" s="85" t="str">
        <f aca="false">IFERROR(INDEX(Orders!$E$5:$E$64,MATCH(37,$AB$5:$AB$64,0)),"")</f>
        <v/>
      </c>
      <c r="E65" s="42" t="str">
        <f aca="false">IFERROR(INDEX(Orders!$F$5:$F$64,MATCH(37,$AB$5:$AB$64,0)),"")</f>
        <v/>
      </c>
      <c r="F65" s="42" t="str">
        <f aca="false">IFERROR(INDEX(Orders!$S$5:$S$64,MATCH(37,$AB$5:$AB$64,0)),"")</f>
        <v/>
      </c>
      <c r="G65" s="42" t="str">
        <f aca="false">IFERROR(INDEX(Orders!$U$5:$U$64,MATCH(37,$AB$5:$AB$64,0)),"")</f>
        <v/>
      </c>
      <c r="H65" s="42" t="str">
        <f aca="false">IFERROR(INDEX(Orders!$X$5:$X$64,MATCH(37,$AB$5:$AB$64,0)),"")</f>
        <v/>
      </c>
      <c r="I65" s="36" t="str">
        <f aca="false">IFERROR(INDEX(Orders!$AB$5:$AB$64,MATCH(37,$AB$5:$AB$64,0)),"")</f>
        <v/>
      </c>
    </row>
    <row r="66" customFormat="false" ht="15" hidden="false" customHeight="true" outlineLevel="0" collapsed="false">
      <c r="A66" s="38" t="str">
        <f aca="false">IFERROR(INDEX(Orders!$A$5:$A$64,MATCH(38,$AB$5:$AB$64,0)),"")</f>
        <v/>
      </c>
      <c r="B66" s="38" t="str">
        <f aca="false">IFERROR(INDEX(Orders!$B$5:$B$64,MATCH(38,$AB$5:$AB$64,0)),"")</f>
        <v/>
      </c>
      <c r="C66" s="38" t="str">
        <f aca="false">IFERROR(INDEX(Orders!$C$5:$C$64,MATCH(38,$AB$5:$AB$64,0)),"")</f>
        <v/>
      </c>
      <c r="D66" s="86" t="str">
        <f aca="false">IFERROR(INDEX(Orders!$E$5:$E$64,MATCH(38,$AB$5:$AB$64,0)),"")</f>
        <v/>
      </c>
      <c r="E66" s="45" t="str">
        <f aca="false">IFERROR(INDEX(Orders!$F$5:$F$64,MATCH(38,$AB$5:$AB$64,0)),"")</f>
        <v/>
      </c>
      <c r="F66" s="45" t="str">
        <f aca="false">IFERROR(INDEX(Orders!$S$5:$S$64,MATCH(38,$AB$5:$AB$64,0)),"")</f>
        <v/>
      </c>
      <c r="G66" s="45" t="str">
        <f aca="false">IFERROR(INDEX(Orders!$U$5:$U$64,MATCH(38,$AB$5:$AB$64,0)),"")</f>
        <v/>
      </c>
      <c r="H66" s="45" t="str">
        <f aca="false">IFERROR(INDEX(Orders!$X$5:$X$64,MATCH(38,$AB$5:$AB$64,0)),"")</f>
        <v/>
      </c>
      <c r="I66" s="38" t="str">
        <f aca="false">IFERROR(INDEX(Orders!$AB$5:$AB$64,MATCH(38,$AB$5:$AB$64,0)),"")</f>
        <v/>
      </c>
    </row>
    <row r="67" customFormat="false" ht="15" hidden="false" customHeight="true" outlineLevel="0" collapsed="false">
      <c r="A67" s="36" t="str">
        <f aca="false">IFERROR(INDEX(Orders!$A$5:$A$64,MATCH(39,$AB$5:$AB$64,0)),"")</f>
        <v/>
      </c>
      <c r="B67" s="36" t="str">
        <f aca="false">IFERROR(INDEX(Orders!$B$5:$B$64,MATCH(39,$AB$5:$AB$64,0)),"")</f>
        <v/>
      </c>
      <c r="C67" s="36" t="str">
        <f aca="false">IFERROR(INDEX(Orders!$C$5:$C$64,MATCH(39,$AB$5:$AB$64,0)),"")</f>
        <v/>
      </c>
      <c r="D67" s="85" t="str">
        <f aca="false">IFERROR(INDEX(Orders!$E$5:$E$64,MATCH(39,$AB$5:$AB$64,0)),"")</f>
        <v/>
      </c>
      <c r="E67" s="42" t="str">
        <f aca="false">IFERROR(INDEX(Orders!$F$5:$F$64,MATCH(39,$AB$5:$AB$64,0)),"")</f>
        <v/>
      </c>
      <c r="F67" s="42" t="str">
        <f aca="false">IFERROR(INDEX(Orders!$S$5:$S$64,MATCH(39,$AB$5:$AB$64,0)),"")</f>
        <v/>
      </c>
      <c r="G67" s="42" t="str">
        <f aca="false">IFERROR(INDEX(Orders!$U$5:$U$64,MATCH(39,$AB$5:$AB$64,0)),"")</f>
        <v/>
      </c>
      <c r="H67" s="42" t="str">
        <f aca="false">IFERROR(INDEX(Orders!$X$5:$X$64,MATCH(39,$AB$5:$AB$64,0)),"")</f>
        <v/>
      </c>
      <c r="I67" s="36" t="str">
        <f aca="false">IFERROR(INDEX(Orders!$AB$5:$AB$64,MATCH(39,$AB$5:$AB$64,0)),"")</f>
        <v/>
      </c>
    </row>
    <row r="68" customFormat="false" ht="15" hidden="false" customHeight="true" outlineLevel="0" collapsed="false">
      <c r="A68" s="38" t="str">
        <f aca="false">IFERROR(INDEX(Orders!$A$5:$A$64,MATCH(40,$AB$5:$AB$64,0)),"")</f>
        <v/>
      </c>
      <c r="B68" s="38" t="str">
        <f aca="false">IFERROR(INDEX(Orders!$B$5:$B$64,MATCH(40,$AB$5:$AB$64,0)),"")</f>
        <v/>
      </c>
      <c r="C68" s="38" t="str">
        <f aca="false">IFERROR(INDEX(Orders!$C$5:$C$64,MATCH(40,$AB$5:$AB$64,0)),"")</f>
        <v/>
      </c>
      <c r="D68" s="86" t="str">
        <f aca="false">IFERROR(INDEX(Orders!$E$5:$E$64,MATCH(40,$AB$5:$AB$64,0)),"")</f>
        <v/>
      </c>
      <c r="E68" s="45" t="str">
        <f aca="false">IFERROR(INDEX(Orders!$F$5:$F$64,MATCH(40,$AB$5:$AB$64,0)),"")</f>
        <v/>
      </c>
      <c r="F68" s="45" t="str">
        <f aca="false">IFERROR(INDEX(Orders!$S$5:$S$64,MATCH(40,$AB$5:$AB$64,0)),"")</f>
        <v/>
      </c>
      <c r="G68" s="45" t="str">
        <f aca="false">IFERROR(INDEX(Orders!$U$5:$U$64,MATCH(40,$AB$5:$AB$64,0)),"")</f>
        <v/>
      </c>
      <c r="H68" s="45" t="str">
        <f aca="false">IFERROR(INDEX(Orders!$X$5:$X$64,MATCH(40,$AB$5:$AB$64,0)),"")</f>
        <v/>
      </c>
      <c r="I68" s="38" t="str">
        <f aca="false">IFERROR(INDEX(Orders!$AB$5:$AB$64,MATCH(40,$AB$5:$AB$64,0)),"")</f>
        <v/>
      </c>
    </row>
    <row r="69" customFormat="false" ht="15" hidden="false" customHeight="true" outlineLevel="0" collapsed="false">
      <c r="A69" s="36" t="str">
        <f aca="false">IFERROR(INDEX(Orders!$A$5:$A$64,MATCH(41,$AB$5:$AB$64,0)),"")</f>
        <v/>
      </c>
      <c r="B69" s="36" t="str">
        <f aca="false">IFERROR(INDEX(Orders!$B$5:$B$64,MATCH(41,$AB$5:$AB$64,0)),"")</f>
        <v/>
      </c>
      <c r="C69" s="36" t="str">
        <f aca="false">IFERROR(INDEX(Orders!$C$5:$C$64,MATCH(41,$AB$5:$AB$64,0)),"")</f>
        <v/>
      </c>
      <c r="D69" s="85" t="str">
        <f aca="false">IFERROR(INDEX(Orders!$E$5:$E$64,MATCH(41,$AB$5:$AB$64,0)),"")</f>
        <v/>
      </c>
      <c r="E69" s="42" t="str">
        <f aca="false">IFERROR(INDEX(Orders!$F$5:$F$64,MATCH(41,$AB$5:$AB$64,0)),"")</f>
        <v/>
      </c>
      <c r="F69" s="42" t="str">
        <f aca="false">IFERROR(INDEX(Orders!$S$5:$S$64,MATCH(41,$AB$5:$AB$64,0)),"")</f>
        <v/>
      </c>
      <c r="G69" s="42" t="str">
        <f aca="false">IFERROR(INDEX(Orders!$U$5:$U$64,MATCH(41,$AB$5:$AB$64,0)),"")</f>
        <v/>
      </c>
      <c r="H69" s="42" t="str">
        <f aca="false">IFERROR(INDEX(Orders!$X$5:$X$64,MATCH(41,$AB$5:$AB$64,0)),"")</f>
        <v/>
      </c>
      <c r="I69" s="36" t="str">
        <f aca="false">IFERROR(INDEX(Orders!$AB$5:$AB$64,MATCH(41,$AB$5:$AB$64,0)),"")</f>
        <v/>
      </c>
    </row>
    <row r="70" customFormat="false" ht="15" hidden="false" customHeight="true" outlineLevel="0" collapsed="false">
      <c r="A70" s="38" t="str">
        <f aca="false">IFERROR(INDEX(Orders!$A$5:$A$64,MATCH(42,$AB$5:$AB$64,0)),"")</f>
        <v/>
      </c>
      <c r="B70" s="38" t="str">
        <f aca="false">IFERROR(INDEX(Orders!$B$5:$B$64,MATCH(42,$AB$5:$AB$64,0)),"")</f>
        <v/>
      </c>
      <c r="C70" s="38" t="str">
        <f aca="false">IFERROR(INDEX(Orders!$C$5:$C$64,MATCH(42,$AB$5:$AB$64,0)),"")</f>
        <v/>
      </c>
      <c r="D70" s="86" t="str">
        <f aca="false">IFERROR(INDEX(Orders!$E$5:$E$64,MATCH(42,$AB$5:$AB$64,0)),"")</f>
        <v/>
      </c>
      <c r="E70" s="45" t="str">
        <f aca="false">IFERROR(INDEX(Orders!$F$5:$F$64,MATCH(42,$AB$5:$AB$64,0)),"")</f>
        <v/>
      </c>
      <c r="F70" s="45" t="str">
        <f aca="false">IFERROR(INDEX(Orders!$S$5:$S$64,MATCH(42,$AB$5:$AB$64,0)),"")</f>
        <v/>
      </c>
      <c r="G70" s="45" t="str">
        <f aca="false">IFERROR(INDEX(Orders!$U$5:$U$64,MATCH(42,$AB$5:$AB$64,0)),"")</f>
        <v/>
      </c>
      <c r="H70" s="45" t="str">
        <f aca="false">IFERROR(INDEX(Orders!$X$5:$X$64,MATCH(42,$AB$5:$AB$64,0)),"")</f>
        <v/>
      </c>
      <c r="I70" s="38" t="str">
        <f aca="false">IFERROR(INDEX(Orders!$AB$5:$AB$64,MATCH(42,$AB$5:$AB$64,0)),"")</f>
        <v/>
      </c>
    </row>
    <row r="71" customFormat="false" ht="15" hidden="false" customHeight="true" outlineLevel="0" collapsed="false">
      <c r="A71" s="36" t="str">
        <f aca="false">IFERROR(INDEX(Orders!$A$5:$A$64,MATCH(43,$AB$5:$AB$64,0)),"")</f>
        <v/>
      </c>
      <c r="B71" s="36" t="str">
        <f aca="false">IFERROR(INDEX(Orders!$B$5:$B$64,MATCH(43,$AB$5:$AB$64,0)),"")</f>
        <v/>
      </c>
      <c r="C71" s="36" t="str">
        <f aca="false">IFERROR(INDEX(Orders!$C$5:$C$64,MATCH(43,$AB$5:$AB$64,0)),"")</f>
        <v/>
      </c>
      <c r="D71" s="85" t="str">
        <f aca="false">IFERROR(INDEX(Orders!$E$5:$E$64,MATCH(43,$AB$5:$AB$64,0)),"")</f>
        <v/>
      </c>
      <c r="E71" s="42" t="str">
        <f aca="false">IFERROR(INDEX(Orders!$F$5:$F$64,MATCH(43,$AB$5:$AB$64,0)),"")</f>
        <v/>
      </c>
      <c r="F71" s="42" t="str">
        <f aca="false">IFERROR(INDEX(Orders!$S$5:$S$64,MATCH(43,$AB$5:$AB$64,0)),"")</f>
        <v/>
      </c>
      <c r="G71" s="42" t="str">
        <f aca="false">IFERROR(INDEX(Orders!$U$5:$U$64,MATCH(43,$AB$5:$AB$64,0)),"")</f>
        <v/>
      </c>
      <c r="H71" s="42" t="str">
        <f aca="false">IFERROR(INDEX(Orders!$X$5:$X$64,MATCH(43,$AB$5:$AB$64,0)),"")</f>
        <v/>
      </c>
      <c r="I71" s="36" t="str">
        <f aca="false">IFERROR(INDEX(Orders!$AB$5:$AB$64,MATCH(43,$AB$5:$AB$64,0)),"")</f>
        <v/>
      </c>
    </row>
    <row r="72" customFormat="false" ht="15" hidden="false" customHeight="true" outlineLevel="0" collapsed="false">
      <c r="A72" s="38" t="str">
        <f aca="false">IFERROR(INDEX(Orders!$A$5:$A$64,MATCH(44,$AB$5:$AB$64,0)),"")</f>
        <v/>
      </c>
      <c r="B72" s="38" t="str">
        <f aca="false">IFERROR(INDEX(Orders!$B$5:$B$64,MATCH(44,$AB$5:$AB$64,0)),"")</f>
        <v/>
      </c>
      <c r="C72" s="38" t="str">
        <f aca="false">IFERROR(INDEX(Orders!$C$5:$C$64,MATCH(44,$AB$5:$AB$64,0)),"")</f>
        <v/>
      </c>
      <c r="D72" s="86" t="str">
        <f aca="false">IFERROR(INDEX(Orders!$E$5:$E$64,MATCH(44,$AB$5:$AB$64,0)),"")</f>
        <v/>
      </c>
      <c r="E72" s="45" t="str">
        <f aca="false">IFERROR(INDEX(Orders!$F$5:$F$64,MATCH(44,$AB$5:$AB$64,0)),"")</f>
        <v/>
      </c>
      <c r="F72" s="45" t="str">
        <f aca="false">IFERROR(INDEX(Orders!$S$5:$S$64,MATCH(44,$AB$5:$AB$64,0)),"")</f>
        <v/>
      </c>
      <c r="G72" s="45" t="str">
        <f aca="false">IFERROR(INDEX(Orders!$U$5:$U$64,MATCH(44,$AB$5:$AB$64,0)),"")</f>
        <v/>
      </c>
      <c r="H72" s="45" t="str">
        <f aca="false">IFERROR(INDEX(Orders!$X$5:$X$64,MATCH(44,$AB$5:$AB$64,0)),"")</f>
        <v/>
      </c>
      <c r="I72" s="38" t="str">
        <f aca="false">IFERROR(INDEX(Orders!$AB$5:$AB$64,MATCH(44,$AB$5:$AB$64,0)),"")</f>
        <v/>
      </c>
    </row>
    <row r="73" customFormat="false" ht="15" hidden="false" customHeight="true" outlineLevel="0" collapsed="false">
      <c r="A73" s="36" t="str">
        <f aca="false">IFERROR(INDEX(Orders!$A$5:$A$64,MATCH(45,$AB$5:$AB$64,0)),"")</f>
        <v/>
      </c>
      <c r="B73" s="36" t="str">
        <f aca="false">IFERROR(INDEX(Orders!$B$5:$B$64,MATCH(45,$AB$5:$AB$64,0)),"")</f>
        <v/>
      </c>
      <c r="C73" s="36" t="str">
        <f aca="false">IFERROR(INDEX(Orders!$C$5:$C$64,MATCH(45,$AB$5:$AB$64,0)),"")</f>
        <v/>
      </c>
      <c r="D73" s="85" t="str">
        <f aca="false">IFERROR(INDEX(Orders!$E$5:$E$64,MATCH(45,$AB$5:$AB$64,0)),"")</f>
        <v/>
      </c>
      <c r="E73" s="42" t="str">
        <f aca="false">IFERROR(INDEX(Orders!$F$5:$F$64,MATCH(45,$AB$5:$AB$64,0)),"")</f>
        <v/>
      </c>
      <c r="F73" s="42" t="str">
        <f aca="false">IFERROR(INDEX(Orders!$S$5:$S$64,MATCH(45,$AB$5:$AB$64,0)),"")</f>
        <v/>
      </c>
      <c r="G73" s="42" t="str">
        <f aca="false">IFERROR(INDEX(Orders!$U$5:$U$64,MATCH(45,$AB$5:$AB$64,0)),"")</f>
        <v/>
      </c>
      <c r="H73" s="42" t="str">
        <f aca="false">IFERROR(INDEX(Orders!$X$5:$X$64,MATCH(45,$AB$5:$AB$64,0)),"")</f>
        <v/>
      </c>
      <c r="I73" s="36" t="str">
        <f aca="false">IFERROR(INDEX(Orders!$AB$5:$AB$64,MATCH(45,$AB$5:$AB$64,0)),"")</f>
        <v/>
      </c>
    </row>
    <row r="74" customFormat="false" ht="15" hidden="false" customHeight="true" outlineLevel="0" collapsed="false">
      <c r="A74" s="38" t="str">
        <f aca="false">IFERROR(INDEX(Orders!$A$5:$A$64,MATCH(46,$AB$5:$AB$64,0)),"")</f>
        <v/>
      </c>
      <c r="B74" s="38" t="str">
        <f aca="false">IFERROR(INDEX(Orders!$B$5:$B$64,MATCH(46,$AB$5:$AB$64,0)),"")</f>
        <v/>
      </c>
      <c r="C74" s="38" t="str">
        <f aca="false">IFERROR(INDEX(Orders!$C$5:$C$64,MATCH(46,$AB$5:$AB$64,0)),"")</f>
        <v/>
      </c>
      <c r="D74" s="86" t="str">
        <f aca="false">IFERROR(INDEX(Orders!$E$5:$E$64,MATCH(46,$AB$5:$AB$64,0)),"")</f>
        <v/>
      </c>
      <c r="E74" s="45" t="str">
        <f aca="false">IFERROR(INDEX(Orders!$F$5:$F$64,MATCH(46,$AB$5:$AB$64,0)),"")</f>
        <v/>
      </c>
      <c r="F74" s="45" t="str">
        <f aca="false">IFERROR(INDEX(Orders!$S$5:$S$64,MATCH(46,$AB$5:$AB$64,0)),"")</f>
        <v/>
      </c>
      <c r="G74" s="45" t="str">
        <f aca="false">IFERROR(INDEX(Orders!$U$5:$U$64,MATCH(46,$AB$5:$AB$64,0)),"")</f>
        <v/>
      </c>
      <c r="H74" s="45" t="str">
        <f aca="false">IFERROR(INDEX(Orders!$X$5:$X$64,MATCH(46,$AB$5:$AB$64,0)),"")</f>
        <v/>
      </c>
      <c r="I74" s="38" t="str">
        <f aca="false">IFERROR(INDEX(Orders!$AB$5:$AB$64,MATCH(46,$AB$5:$AB$64,0)),"")</f>
        <v/>
      </c>
    </row>
    <row r="75" customFormat="false" ht="15" hidden="false" customHeight="true" outlineLevel="0" collapsed="false">
      <c r="A75" s="36" t="str">
        <f aca="false">IFERROR(INDEX(Orders!$A$5:$A$64,MATCH(47,$AB$5:$AB$64,0)),"")</f>
        <v/>
      </c>
      <c r="B75" s="36" t="str">
        <f aca="false">IFERROR(INDEX(Orders!$B$5:$B$64,MATCH(47,$AB$5:$AB$64,0)),"")</f>
        <v/>
      </c>
      <c r="C75" s="36" t="str">
        <f aca="false">IFERROR(INDEX(Orders!$C$5:$C$64,MATCH(47,$AB$5:$AB$64,0)),"")</f>
        <v/>
      </c>
      <c r="D75" s="85" t="str">
        <f aca="false">IFERROR(INDEX(Orders!$E$5:$E$64,MATCH(47,$AB$5:$AB$64,0)),"")</f>
        <v/>
      </c>
      <c r="E75" s="42" t="str">
        <f aca="false">IFERROR(INDEX(Orders!$F$5:$F$64,MATCH(47,$AB$5:$AB$64,0)),"")</f>
        <v/>
      </c>
      <c r="F75" s="42" t="str">
        <f aca="false">IFERROR(INDEX(Orders!$S$5:$S$64,MATCH(47,$AB$5:$AB$64,0)),"")</f>
        <v/>
      </c>
      <c r="G75" s="42" t="str">
        <f aca="false">IFERROR(INDEX(Orders!$U$5:$U$64,MATCH(47,$AB$5:$AB$64,0)),"")</f>
        <v/>
      </c>
      <c r="H75" s="42" t="str">
        <f aca="false">IFERROR(INDEX(Orders!$X$5:$X$64,MATCH(47,$AB$5:$AB$64,0)),"")</f>
        <v/>
      </c>
      <c r="I75" s="36" t="str">
        <f aca="false">IFERROR(INDEX(Orders!$AB$5:$AB$64,MATCH(47,$AB$5:$AB$64,0)),"")</f>
        <v/>
      </c>
    </row>
    <row r="76" customFormat="false" ht="15" hidden="false" customHeight="true" outlineLevel="0" collapsed="false">
      <c r="A76" s="38" t="str">
        <f aca="false">IFERROR(INDEX(Orders!$A$5:$A$64,MATCH(48,$AB$5:$AB$64,0)),"")</f>
        <v/>
      </c>
      <c r="B76" s="38" t="str">
        <f aca="false">IFERROR(INDEX(Orders!$B$5:$B$64,MATCH(48,$AB$5:$AB$64,0)),"")</f>
        <v/>
      </c>
      <c r="C76" s="38" t="str">
        <f aca="false">IFERROR(INDEX(Orders!$C$5:$C$64,MATCH(48,$AB$5:$AB$64,0)),"")</f>
        <v/>
      </c>
      <c r="D76" s="86" t="str">
        <f aca="false">IFERROR(INDEX(Orders!$E$5:$E$64,MATCH(48,$AB$5:$AB$64,0)),"")</f>
        <v/>
      </c>
      <c r="E76" s="45" t="str">
        <f aca="false">IFERROR(INDEX(Orders!$F$5:$F$64,MATCH(48,$AB$5:$AB$64,0)),"")</f>
        <v/>
      </c>
      <c r="F76" s="45" t="str">
        <f aca="false">IFERROR(INDEX(Orders!$S$5:$S$64,MATCH(48,$AB$5:$AB$64,0)),"")</f>
        <v/>
      </c>
      <c r="G76" s="45" t="str">
        <f aca="false">IFERROR(INDEX(Orders!$U$5:$U$64,MATCH(48,$AB$5:$AB$64,0)),"")</f>
        <v/>
      </c>
      <c r="H76" s="45" t="str">
        <f aca="false">IFERROR(INDEX(Orders!$X$5:$X$64,MATCH(48,$AB$5:$AB$64,0)),"")</f>
        <v/>
      </c>
      <c r="I76" s="38" t="str">
        <f aca="false">IFERROR(INDEX(Orders!$AB$5:$AB$64,MATCH(48,$AB$5:$AB$64,0)),"")</f>
        <v/>
      </c>
    </row>
    <row r="77" customFormat="false" ht="15" hidden="false" customHeight="true" outlineLevel="0" collapsed="false">
      <c r="A77" s="36" t="str">
        <f aca="false">IFERROR(INDEX(Orders!$A$5:$A$64,MATCH(49,$AB$5:$AB$64,0)),"")</f>
        <v/>
      </c>
      <c r="B77" s="36" t="str">
        <f aca="false">IFERROR(INDEX(Orders!$B$5:$B$64,MATCH(49,$AB$5:$AB$64,0)),"")</f>
        <v/>
      </c>
      <c r="C77" s="36" t="str">
        <f aca="false">IFERROR(INDEX(Orders!$C$5:$C$64,MATCH(49,$AB$5:$AB$64,0)),"")</f>
        <v/>
      </c>
      <c r="D77" s="85" t="str">
        <f aca="false">IFERROR(INDEX(Orders!$E$5:$E$64,MATCH(49,$AB$5:$AB$64,0)),"")</f>
        <v/>
      </c>
      <c r="E77" s="42" t="str">
        <f aca="false">IFERROR(INDEX(Orders!$F$5:$F$64,MATCH(49,$AB$5:$AB$64,0)),"")</f>
        <v/>
      </c>
      <c r="F77" s="42" t="str">
        <f aca="false">IFERROR(INDEX(Orders!$S$5:$S$64,MATCH(49,$AB$5:$AB$64,0)),"")</f>
        <v/>
      </c>
      <c r="G77" s="42" t="str">
        <f aca="false">IFERROR(INDEX(Orders!$U$5:$U$64,MATCH(49,$AB$5:$AB$64,0)),"")</f>
        <v/>
      </c>
      <c r="H77" s="42" t="str">
        <f aca="false">IFERROR(INDEX(Orders!$X$5:$X$64,MATCH(49,$AB$5:$AB$64,0)),"")</f>
        <v/>
      </c>
      <c r="I77" s="36" t="str">
        <f aca="false">IFERROR(INDEX(Orders!$AB$5:$AB$64,MATCH(49,$AB$5:$AB$64,0)),"")</f>
        <v/>
      </c>
    </row>
    <row r="78" customFormat="false" ht="15" hidden="false" customHeight="true" outlineLevel="0" collapsed="false">
      <c r="A78" s="38" t="str">
        <f aca="false">IFERROR(INDEX(Orders!$A$5:$A$64,MATCH(50,$AB$5:$AB$64,0)),"")</f>
        <v/>
      </c>
      <c r="B78" s="38" t="str">
        <f aca="false">IFERROR(INDEX(Orders!$B$5:$B$64,MATCH(50,$AB$5:$AB$64,0)),"")</f>
        <v/>
      </c>
      <c r="C78" s="38" t="str">
        <f aca="false">IFERROR(INDEX(Orders!$C$5:$C$64,MATCH(50,$AB$5:$AB$64,0)),"")</f>
        <v/>
      </c>
      <c r="D78" s="86" t="str">
        <f aca="false">IFERROR(INDEX(Orders!$E$5:$E$64,MATCH(50,$AB$5:$AB$64,0)),"")</f>
        <v/>
      </c>
      <c r="E78" s="45" t="str">
        <f aca="false">IFERROR(INDEX(Orders!$F$5:$F$64,MATCH(50,$AB$5:$AB$64,0)),"")</f>
        <v/>
      </c>
      <c r="F78" s="45" t="str">
        <f aca="false">IFERROR(INDEX(Orders!$S$5:$S$64,MATCH(50,$AB$5:$AB$64,0)),"")</f>
        <v/>
      </c>
      <c r="G78" s="45" t="str">
        <f aca="false">IFERROR(INDEX(Orders!$U$5:$U$64,MATCH(50,$AB$5:$AB$64,0)),"")</f>
        <v/>
      </c>
      <c r="H78" s="45" t="str">
        <f aca="false">IFERROR(INDEX(Orders!$X$5:$X$64,MATCH(50,$AB$5:$AB$64,0)),"")</f>
        <v/>
      </c>
      <c r="I78" s="38" t="str">
        <f aca="false">IFERROR(INDEX(Orders!$AB$5:$AB$64,MATCH(50,$AB$5:$AB$64,0)),"")</f>
        <v/>
      </c>
    </row>
    <row r="79" customFormat="false" ht="15" hidden="false" customHeight="true" outlineLevel="0" collapsed="false">
      <c r="A79" s="36" t="str">
        <f aca="false">IFERROR(INDEX(Orders!$A$5:$A$64,MATCH(51,$AB$5:$AB$64,0)),"")</f>
        <v/>
      </c>
      <c r="B79" s="36" t="str">
        <f aca="false">IFERROR(INDEX(Orders!$B$5:$B$64,MATCH(51,$AB$5:$AB$64,0)),"")</f>
        <v/>
      </c>
      <c r="C79" s="36" t="str">
        <f aca="false">IFERROR(INDEX(Orders!$C$5:$C$64,MATCH(51,$AB$5:$AB$64,0)),"")</f>
        <v/>
      </c>
      <c r="D79" s="85" t="str">
        <f aca="false">IFERROR(INDEX(Orders!$E$5:$E$64,MATCH(51,$AB$5:$AB$64,0)),"")</f>
        <v/>
      </c>
      <c r="E79" s="42" t="str">
        <f aca="false">IFERROR(INDEX(Orders!$F$5:$F$64,MATCH(51,$AB$5:$AB$64,0)),"")</f>
        <v/>
      </c>
      <c r="F79" s="42" t="str">
        <f aca="false">IFERROR(INDEX(Orders!$S$5:$S$64,MATCH(51,$AB$5:$AB$64,0)),"")</f>
        <v/>
      </c>
      <c r="G79" s="42" t="str">
        <f aca="false">IFERROR(INDEX(Orders!$U$5:$U$64,MATCH(51,$AB$5:$AB$64,0)),"")</f>
        <v/>
      </c>
      <c r="H79" s="42" t="str">
        <f aca="false">IFERROR(INDEX(Orders!$X$5:$X$64,MATCH(51,$AB$5:$AB$64,0)),"")</f>
        <v/>
      </c>
      <c r="I79" s="36" t="str">
        <f aca="false">IFERROR(INDEX(Orders!$AB$5:$AB$64,MATCH(51,$AB$5:$AB$64,0)),"")</f>
        <v/>
      </c>
    </row>
    <row r="80" customFormat="false" ht="15" hidden="false" customHeight="true" outlineLevel="0" collapsed="false">
      <c r="A80" s="38" t="str">
        <f aca="false">IFERROR(INDEX(Orders!$A$5:$A$64,MATCH(52,$AB$5:$AB$64,0)),"")</f>
        <v/>
      </c>
      <c r="B80" s="38" t="str">
        <f aca="false">IFERROR(INDEX(Orders!$B$5:$B$64,MATCH(52,$AB$5:$AB$64,0)),"")</f>
        <v/>
      </c>
      <c r="C80" s="38" t="str">
        <f aca="false">IFERROR(INDEX(Orders!$C$5:$C$64,MATCH(52,$AB$5:$AB$64,0)),"")</f>
        <v/>
      </c>
      <c r="D80" s="86" t="str">
        <f aca="false">IFERROR(INDEX(Orders!$E$5:$E$64,MATCH(52,$AB$5:$AB$64,0)),"")</f>
        <v/>
      </c>
      <c r="E80" s="45" t="str">
        <f aca="false">IFERROR(INDEX(Orders!$F$5:$F$64,MATCH(52,$AB$5:$AB$64,0)),"")</f>
        <v/>
      </c>
      <c r="F80" s="45" t="str">
        <f aca="false">IFERROR(INDEX(Orders!$S$5:$S$64,MATCH(52,$AB$5:$AB$64,0)),"")</f>
        <v/>
      </c>
      <c r="G80" s="45" t="str">
        <f aca="false">IFERROR(INDEX(Orders!$U$5:$U$64,MATCH(52,$AB$5:$AB$64,0)),"")</f>
        <v/>
      </c>
      <c r="H80" s="45" t="str">
        <f aca="false">IFERROR(INDEX(Orders!$X$5:$X$64,MATCH(52,$AB$5:$AB$64,0)),"")</f>
        <v/>
      </c>
      <c r="I80" s="38" t="str">
        <f aca="false">IFERROR(INDEX(Orders!$AB$5:$AB$64,MATCH(52,$AB$5:$AB$64,0)),"")</f>
        <v/>
      </c>
    </row>
    <row r="81" customFormat="false" ht="15" hidden="false" customHeight="true" outlineLevel="0" collapsed="false">
      <c r="A81" s="36" t="str">
        <f aca="false">IFERROR(INDEX(Orders!$A$5:$A$64,MATCH(53,$AB$5:$AB$64,0)),"")</f>
        <v/>
      </c>
      <c r="B81" s="36" t="str">
        <f aca="false">IFERROR(INDEX(Orders!$B$5:$B$64,MATCH(53,$AB$5:$AB$64,0)),"")</f>
        <v/>
      </c>
      <c r="C81" s="36" t="str">
        <f aca="false">IFERROR(INDEX(Orders!$C$5:$C$64,MATCH(53,$AB$5:$AB$64,0)),"")</f>
        <v/>
      </c>
      <c r="D81" s="85" t="str">
        <f aca="false">IFERROR(INDEX(Orders!$E$5:$E$64,MATCH(53,$AB$5:$AB$64,0)),"")</f>
        <v/>
      </c>
      <c r="E81" s="42" t="str">
        <f aca="false">IFERROR(INDEX(Orders!$F$5:$F$64,MATCH(53,$AB$5:$AB$64,0)),"")</f>
        <v/>
      </c>
      <c r="F81" s="42" t="str">
        <f aca="false">IFERROR(INDEX(Orders!$S$5:$S$64,MATCH(53,$AB$5:$AB$64,0)),"")</f>
        <v/>
      </c>
      <c r="G81" s="42" t="str">
        <f aca="false">IFERROR(INDEX(Orders!$U$5:$U$64,MATCH(53,$AB$5:$AB$64,0)),"")</f>
        <v/>
      </c>
      <c r="H81" s="42" t="str">
        <f aca="false">IFERROR(INDEX(Orders!$X$5:$X$64,MATCH(53,$AB$5:$AB$64,0)),"")</f>
        <v/>
      </c>
      <c r="I81" s="36" t="str">
        <f aca="false">IFERROR(INDEX(Orders!$AB$5:$AB$64,MATCH(53,$AB$5:$AB$64,0)),"")</f>
        <v/>
      </c>
    </row>
    <row r="82" customFormat="false" ht="15" hidden="false" customHeight="true" outlineLevel="0" collapsed="false">
      <c r="A82" s="38" t="str">
        <f aca="false">IFERROR(INDEX(Orders!$A$5:$A$64,MATCH(54,$AB$5:$AB$64,0)),"")</f>
        <v/>
      </c>
      <c r="B82" s="38" t="str">
        <f aca="false">IFERROR(INDEX(Orders!$B$5:$B$64,MATCH(54,$AB$5:$AB$64,0)),"")</f>
        <v/>
      </c>
      <c r="C82" s="38" t="str">
        <f aca="false">IFERROR(INDEX(Orders!$C$5:$C$64,MATCH(54,$AB$5:$AB$64,0)),"")</f>
        <v/>
      </c>
      <c r="D82" s="86" t="str">
        <f aca="false">IFERROR(INDEX(Orders!$E$5:$E$64,MATCH(54,$AB$5:$AB$64,0)),"")</f>
        <v/>
      </c>
      <c r="E82" s="45" t="str">
        <f aca="false">IFERROR(INDEX(Orders!$F$5:$F$64,MATCH(54,$AB$5:$AB$64,0)),"")</f>
        <v/>
      </c>
      <c r="F82" s="45" t="str">
        <f aca="false">IFERROR(INDEX(Orders!$S$5:$S$64,MATCH(54,$AB$5:$AB$64,0)),"")</f>
        <v/>
      </c>
      <c r="G82" s="45" t="str">
        <f aca="false">IFERROR(INDEX(Orders!$U$5:$U$64,MATCH(54,$AB$5:$AB$64,0)),"")</f>
        <v/>
      </c>
      <c r="H82" s="45" t="str">
        <f aca="false">IFERROR(INDEX(Orders!$X$5:$X$64,MATCH(54,$AB$5:$AB$64,0)),"")</f>
        <v/>
      </c>
      <c r="I82" s="38" t="str">
        <f aca="false">IFERROR(INDEX(Orders!$AB$5:$AB$64,MATCH(54,$AB$5:$AB$64,0)),"")</f>
        <v/>
      </c>
    </row>
    <row r="83" customFormat="false" ht="15" hidden="false" customHeight="true" outlineLevel="0" collapsed="false">
      <c r="A83" s="36" t="str">
        <f aca="false">IFERROR(INDEX(Orders!$A$5:$A$64,MATCH(55,$AB$5:$AB$64,0)),"")</f>
        <v/>
      </c>
      <c r="B83" s="36" t="str">
        <f aca="false">IFERROR(INDEX(Orders!$B$5:$B$64,MATCH(55,$AB$5:$AB$64,0)),"")</f>
        <v/>
      </c>
      <c r="C83" s="36" t="str">
        <f aca="false">IFERROR(INDEX(Orders!$C$5:$C$64,MATCH(55,$AB$5:$AB$64,0)),"")</f>
        <v/>
      </c>
      <c r="D83" s="85" t="str">
        <f aca="false">IFERROR(INDEX(Orders!$E$5:$E$64,MATCH(55,$AB$5:$AB$64,0)),"")</f>
        <v/>
      </c>
      <c r="E83" s="42" t="str">
        <f aca="false">IFERROR(INDEX(Orders!$F$5:$F$64,MATCH(55,$AB$5:$AB$64,0)),"")</f>
        <v/>
      </c>
      <c r="F83" s="42" t="str">
        <f aca="false">IFERROR(INDEX(Orders!$S$5:$S$64,MATCH(55,$AB$5:$AB$64,0)),"")</f>
        <v/>
      </c>
      <c r="G83" s="42" t="str">
        <f aca="false">IFERROR(INDEX(Orders!$U$5:$U$64,MATCH(55,$AB$5:$AB$64,0)),"")</f>
        <v/>
      </c>
      <c r="H83" s="42" t="str">
        <f aca="false">IFERROR(INDEX(Orders!$X$5:$X$64,MATCH(55,$AB$5:$AB$64,0)),"")</f>
        <v/>
      </c>
      <c r="I83" s="36" t="str">
        <f aca="false">IFERROR(INDEX(Orders!$AB$5:$AB$64,MATCH(55,$AB$5:$AB$64,0)),"")</f>
        <v/>
      </c>
    </row>
    <row r="84" customFormat="false" ht="15" hidden="false" customHeight="true" outlineLevel="0" collapsed="false">
      <c r="A84" s="38" t="str">
        <f aca="false">IFERROR(INDEX(Orders!$A$5:$A$64,MATCH(56,$AB$5:$AB$64,0)),"")</f>
        <v/>
      </c>
      <c r="B84" s="38" t="str">
        <f aca="false">IFERROR(INDEX(Orders!$B$5:$B$64,MATCH(56,$AB$5:$AB$64,0)),"")</f>
        <v/>
      </c>
      <c r="C84" s="38" t="str">
        <f aca="false">IFERROR(INDEX(Orders!$C$5:$C$64,MATCH(56,$AB$5:$AB$64,0)),"")</f>
        <v/>
      </c>
      <c r="D84" s="86" t="str">
        <f aca="false">IFERROR(INDEX(Orders!$E$5:$E$64,MATCH(56,$AB$5:$AB$64,0)),"")</f>
        <v/>
      </c>
      <c r="E84" s="45" t="str">
        <f aca="false">IFERROR(INDEX(Orders!$F$5:$F$64,MATCH(56,$AB$5:$AB$64,0)),"")</f>
        <v/>
      </c>
      <c r="F84" s="45" t="str">
        <f aca="false">IFERROR(INDEX(Orders!$S$5:$S$64,MATCH(56,$AB$5:$AB$64,0)),"")</f>
        <v/>
      </c>
      <c r="G84" s="45" t="str">
        <f aca="false">IFERROR(INDEX(Orders!$U$5:$U$64,MATCH(56,$AB$5:$AB$64,0)),"")</f>
        <v/>
      </c>
      <c r="H84" s="45" t="str">
        <f aca="false">IFERROR(INDEX(Orders!$X$5:$X$64,MATCH(56,$AB$5:$AB$64,0)),"")</f>
        <v/>
      </c>
      <c r="I84" s="38" t="str">
        <f aca="false">IFERROR(INDEX(Orders!$AB$5:$AB$64,MATCH(56,$AB$5:$AB$64,0)),"")</f>
        <v/>
      </c>
    </row>
    <row r="85" customFormat="false" ht="15" hidden="false" customHeight="true" outlineLevel="0" collapsed="false">
      <c r="A85" s="36" t="str">
        <f aca="false">IFERROR(INDEX(Orders!$A$5:$A$64,MATCH(57,$AB$5:$AB$64,0)),"")</f>
        <v/>
      </c>
      <c r="B85" s="36" t="str">
        <f aca="false">IFERROR(INDEX(Orders!$B$5:$B$64,MATCH(57,$AB$5:$AB$64,0)),"")</f>
        <v/>
      </c>
      <c r="C85" s="36" t="str">
        <f aca="false">IFERROR(INDEX(Orders!$C$5:$C$64,MATCH(57,$AB$5:$AB$64,0)),"")</f>
        <v/>
      </c>
      <c r="D85" s="85" t="str">
        <f aca="false">IFERROR(INDEX(Orders!$E$5:$E$64,MATCH(57,$AB$5:$AB$64,0)),"")</f>
        <v/>
      </c>
      <c r="E85" s="42" t="str">
        <f aca="false">IFERROR(INDEX(Orders!$F$5:$F$64,MATCH(57,$AB$5:$AB$64,0)),"")</f>
        <v/>
      </c>
      <c r="F85" s="42" t="str">
        <f aca="false">IFERROR(INDEX(Orders!$S$5:$S$64,MATCH(57,$AB$5:$AB$64,0)),"")</f>
        <v/>
      </c>
      <c r="G85" s="42" t="str">
        <f aca="false">IFERROR(INDEX(Orders!$U$5:$U$64,MATCH(57,$AB$5:$AB$64,0)),"")</f>
        <v/>
      </c>
      <c r="H85" s="42" t="str">
        <f aca="false">IFERROR(INDEX(Orders!$X$5:$X$64,MATCH(57,$AB$5:$AB$64,0)),"")</f>
        <v/>
      </c>
      <c r="I85" s="36" t="str">
        <f aca="false">IFERROR(INDEX(Orders!$AB$5:$AB$64,MATCH(57,$AB$5:$AB$64,0)),"")</f>
        <v/>
      </c>
    </row>
    <row r="86" customFormat="false" ht="15" hidden="false" customHeight="true" outlineLevel="0" collapsed="false">
      <c r="A86" s="38" t="str">
        <f aca="false">IFERROR(INDEX(Orders!$A$5:$A$64,MATCH(58,$AB$5:$AB$64,0)),"")</f>
        <v/>
      </c>
      <c r="B86" s="38" t="str">
        <f aca="false">IFERROR(INDEX(Orders!$B$5:$B$64,MATCH(58,$AB$5:$AB$64,0)),"")</f>
        <v/>
      </c>
      <c r="C86" s="38" t="str">
        <f aca="false">IFERROR(INDEX(Orders!$C$5:$C$64,MATCH(58,$AB$5:$AB$64,0)),"")</f>
        <v/>
      </c>
      <c r="D86" s="86" t="str">
        <f aca="false">IFERROR(INDEX(Orders!$E$5:$E$64,MATCH(58,$AB$5:$AB$64,0)),"")</f>
        <v/>
      </c>
      <c r="E86" s="45" t="str">
        <f aca="false">IFERROR(INDEX(Orders!$F$5:$F$64,MATCH(58,$AB$5:$AB$64,0)),"")</f>
        <v/>
      </c>
      <c r="F86" s="45" t="str">
        <f aca="false">IFERROR(INDEX(Orders!$S$5:$S$64,MATCH(58,$AB$5:$AB$64,0)),"")</f>
        <v/>
      </c>
      <c r="G86" s="45" t="str">
        <f aca="false">IFERROR(INDEX(Orders!$U$5:$U$64,MATCH(58,$AB$5:$AB$64,0)),"")</f>
        <v/>
      </c>
      <c r="H86" s="45" t="str">
        <f aca="false">IFERROR(INDEX(Orders!$X$5:$X$64,MATCH(58,$AB$5:$AB$64,0)),"")</f>
        <v/>
      </c>
      <c r="I86" s="38" t="str">
        <f aca="false">IFERROR(INDEX(Orders!$AB$5:$AB$64,MATCH(58,$AB$5:$AB$64,0)),"")</f>
        <v/>
      </c>
    </row>
    <row r="87" customFormat="false" ht="15" hidden="false" customHeight="true" outlineLevel="0" collapsed="false">
      <c r="A87" s="36" t="str">
        <f aca="false">IFERROR(INDEX(Orders!$A$5:$A$64,MATCH(59,$AB$5:$AB$64,0)),"")</f>
        <v/>
      </c>
      <c r="B87" s="36" t="str">
        <f aca="false">IFERROR(INDEX(Orders!$B$5:$B$64,MATCH(59,$AB$5:$AB$64,0)),"")</f>
        <v/>
      </c>
      <c r="C87" s="36" t="str">
        <f aca="false">IFERROR(INDEX(Orders!$C$5:$C$64,MATCH(59,$AB$5:$AB$64,0)),"")</f>
        <v/>
      </c>
      <c r="D87" s="85" t="str">
        <f aca="false">IFERROR(INDEX(Orders!$E$5:$E$64,MATCH(59,$AB$5:$AB$64,0)),"")</f>
        <v/>
      </c>
      <c r="E87" s="42" t="str">
        <f aca="false">IFERROR(INDEX(Orders!$F$5:$F$64,MATCH(59,$AB$5:$AB$64,0)),"")</f>
        <v/>
      </c>
      <c r="F87" s="42" t="str">
        <f aca="false">IFERROR(INDEX(Orders!$S$5:$S$64,MATCH(59,$AB$5:$AB$64,0)),"")</f>
        <v/>
      </c>
      <c r="G87" s="42" t="str">
        <f aca="false">IFERROR(INDEX(Orders!$U$5:$U$64,MATCH(59,$AB$5:$AB$64,0)),"")</f>
        <v/>
      </c>
      <c r="H87" s="42" t="str">
        <f aca="false">IFERROR(INDEX(Orders!$X$5:$X$64,MATCH(59,$AB$5:$AB$64,0)),"")</f>
        <v/>
      </c>
      <c r="I87" s="36" t="str">
        <f aca="false">IFERROR(INDEX(Orders!$AB$5:$AB$64,MATCH(59,$AB$5:$AB$64,0)),"")</f>
        <v/>
      </c>
    </row>
    <row r="88" customFormat="false" ht="15" hidden="false" customHeight="true" outlineLevel="0" collapsed="false">
      <c r="A88" s="38" t="str">
        <f aca="false">IFERROR(INDEX(Orders!$A$5:$A$64,MATCH(60,$AB$5:$AB$64,0)),"")</f>
        <v/>
      </c>
      <c r="B88" s="38" t="str">
        <f aca="false">IFERROR(INDEX(Orders!$B$5:$B$64,MATCH(60,$AB$5:$AB$64,0)),"")</f>
        <v/>
      </c>
      <c r="C88" s="38" t="str">
        <f aca="false">IFERROR(INDEX(Orders!$C$5:$C$64,MATCH(60,$AB$5:$AB$64,0)),"")</f>
        <v/>
      </c>
      <c r="D88" s="86" t="str">
        <f aca="false">IFERROR(INDEX(Orders!$E$5:$E$64,MATCH(60,$AB$5:$AB$64,0)),"")</f>
        <v/>
      </c>
      <c r="E88" s="45" t="str">
        <f aca="false">IFERROR(INDEX(Orders!$F$5:$F$64,MATCH(60,$AB$5:$AB$64,0)),"")</f>
        <v/>
      </c>
      <c r="F88" s="45" t="str">
        <f aca="false">IFERROR(INDEX(Orders!$S$5:$S$64,MATCH(60,$AB$5:$AB$64,0)),"")</f>
        <v/>
      </c>
      <c r="G88" s="45" t="str">
        <f aca="false">IFERROR(INDEX(Orders!$U$5:$U$64,MATCH(60,$AB$5:$AB$64,0)),"")</f>
        <v/>
      </c>
      <c r="H88" s="45" t="str">
        <f aca="false">IFERROR(INDEX(Orders!$X$5:$X$64,MATCH(60,$AB$5:$AB$64,0)),"")</f>
        <v/>
      </c>
      <c r="I88" s="38" t="str">
        <f aca="false">IFERROR(INDEX(Orders!$AB$5:$AB$64,MATCH(60,$AB$5:$AB$64,0)),"")</f>
        <v/>
      </c>
    </row>
  </sheetData>
  <mergeCells count="20">
    <mergeCell ref="A1:J1"/>
    <mergeCell ref="A2:J2"/>
    <mergeCell ref="B4:C4"/>
    <mergeCell ref="D4:E4"/>
    <mergeCell ref="F4:G4"/>
    <mergeCell ref="H4:I4"/>
    <mergeCell ref="B5:C5"/>
    <mergeCell ref="D5:E5"/>
    <mergeCell ref="F5:G5"/>
    <mergeCell ref="H5:I5"/>
    <mergeCell ref="A7:B7"/>
    <mergeCell ref="C7:D7"/>
    <mergeCell ref="E7:F7"/>
    <mergeCell ref="G7:H7"/>
    <mergeCell ref="I7:J7"/>
    <mergeCell ref="A8:B8"/>
    <mergeCell ref="C8:D8"/>
    <mergeCell ref="E8:F8"/>
    <mergeCell ref="G8:H8"/>
    <mergeCell ref="I8:J8"/>
  </mergeCells>
  <conditionalFormatting sqref="I29:I88">
    <cfRule type="expression" priority="2" aboveAverage="0" equalAverage="0" bottom="0" percent="0" rank="0" text="" dxfId="1">
      <formula>EXACT($I29,"Paid")</formula>
    </cfRule>
    <cfRule type="expression" priority="3" aboveAverage="0" equalAverage="0" bottom="0" percent="0" rank="0" text="" dxfId="2">
      <formula>EXACT($I29,"Advance Paid")</formula>
    </cfRule>
    <cfRule type="expression" priority="4" aboveAverage="0" equalAverage="0" bottom="0" percent="0" rank="0" text="" dxfId="3">
      <formula>EXACT($I29,"Awaiting Payment")</formula>
    </cfRule>
    <cfRule type="expression" priority="5" aboveAverage="0" equalAverage="0" bottom="0" percent="0" rank="0" text="" dxfId="0">
      <formula>EXACT($I29,"Overdue Payment")</formula>
    </cfRule>
    <cfRule type="expression" priority="6" aboveAverage="0" equalAverage="0" bottom="0" percent="0" rank="0" text="" dxfId="0">
      <formula>EXACT($I29,"Overdue Service")</formula>
    </cfRule>
    <cfRule type="expression" priority="7" aboveAverage="0" equalAverage="0" bottom="0" percent="0" rank="0" text="" dxfId="4">
      <formula>EXACT($I29,"Open")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14"/>
    <col collapsed="false" customWidth="true" hidden="false" outlineLevel="0" max="5" min="4" style="1" width="12"/>
    <col collapsed="false" customWidth="true" hidden="false" outlineLevel="0" max="7" min="6" style="1" width="13"/>
    <col collapsed="false" customWidth="true" hidden="false" outlineLevel="0" max="8" min="8" style="1" width="12"/>
    <col collapsed="false" customWidth="true" hidden="false" outlineLevel="0" max="9" min="9" style="1" width="16"/>
    <col collapsed="false" customWidth="true" hidden="true" outlineLevel="0" max="28" min="28" style="1" width="13"/>
  </cols>
  <sheetData>
    <row r="1" customFormat="false" ht="27.75" hidden="false" customHeight="true" outlineLevel="0" collapsed="false">
      <c r="A1" s="17" t="s">
        <v>359</v>
      </c>
      <c r="B1" s="17"/>
      <c r="C1" s="17"/>
      <c r="D1" s="17"/>
      <c r="E1" s="17"/>
      <c r="F1" s="17"/>
      <c r="G1" s="17"/>
      <c r="H1" s="17"/>
      <c r="I1" s="17"/>
    </row>
    <row r="2" customFormat="false" ht="15.75" hidden="false" customHeight="true" outlineLevel="0" collapsed="false">
      <c r="A2" s="18" t="s">
        <v>360</v>
      </c>
      <c r="B2" s="18"/>
      <c r="C2" s="18"/>
      <c r="D2" s="18"/>
      <c r="E2" s="18"/>
      <c r="F2" s="18"/>
      <c r="G2" s="18"/>
      <c r="H2" s="18"/>
      <c r="I2" s="18"/>
    </row>
    <row r="3" customFormat="false" ht="15" hidden="false" customHeight="true" outlineLevel="0" collapsed="false">
      <c r="AB3" s="1" t="n">
        <v>0</v>
      </c>
    </row>
    <row r="4" customFormat="false" ht="21.75" hidden="false" customHeight="true" outlineLevel="0" collapsed="false">
      <c r="A4" s="77" t="s">
        <v>361</v>
      </c>
      <c r="B4" s="77"/>
      <c r="C4" s="78" t="s">
        <v>362</v>
      </c>
      <c r="D4" s="78"/>
      <c r="E4" s="82" t="s">
        <v>363</v>
      </c>
      <c r="F4" s="82"/>
      <c r="G4" s="82" t="s">
        <v>364</v>
      </c>
      <c r="H4" s="82"/>
    </row>
    <row r="5" customFormat="false" ht="30" hidden="false" customHeight="true" outlineLevel="0" collapsed="false">
      <c r="A5" s="81" t="n">
        <f aca="false">COUNTIF(Orders!$AB$5:$AB$64,"Awaiting Payment")+COUNTIF(Orders!$AB$5:$AB$64,"Overdue Payment")</f>
        <v>5</v>
      </c>
      <c r="B5" s="81"/>
      <c r="C5" s="83" t="n">
        <f aca="false">SUMIF(Orders!$AB$5:$AB$64,"Awaiting Payment",Orders!$U$5:$U$64)+SUMIF(Orders!$AB$5:$AB$64,"Overdue Payment",Orders!$U$5:$U$64)</f>
        <v>62508.0849056604</v>
      </c>
      <c r="D5" s="83"/>
      <c r="E5" s="83" t="n">
        <f aca="false">SUMIF(Orders!$AB$5:$AB$64,"Overdue Payment",Orders!$U$5:$U$64)</f>
        <v>62508.0849056604</v>
      </c>
      <c r="F5" s="83"/>
      <c r="G5" s="81" t="n">
        <f aca="false">COUNTIF(Orders!$AB$5:$AB$64,"Overdue Payment")</f>
        <v>5</v>
      </c>
      <c r="H5" s="81"/>
      <c r="AB5" s="1" t="n">
        <f aca="false">IF(OR(Orders!$AB5="Awaiting Payment",Orders!$AB5="Overdue Payment"),MAX($AB$3:$AB4)+1,"")</f>
        <v>1</v>
      </c>
    </row>
    <row r="6" customFormat="false" ht="15" hidden="false" customHeight="true" outlineLevel="0" collapsed="false">
      <c r="AB6" s="1" t="n">
        <f aca="false">IF(OR(Orders!$AB6="Awaiting Payment",Orders!$AB6="Overdue Payment"),MAX($AB$3:$AB5)+1,"")</f>
        <v>2</v>
      </c>
    </row>
    <row r="7" customFormat="false" ht="15" hidden="false" customHeight="true" outlineLevel="0" collapsed="false">
      <c r="A7" s="19" t="s">
        <v>365</v>
      </c>
      <c r="AB7" s="1" t="str">
        <f aca="false">IF(OR(Orders!$AB7="Awaiting Payment",Orders!$AB7="Overdue Payment"),MAX($AB$3:$AB6)+1,"")</f>
        <v/>
      </c>
    </row>
    <row r="8" customFormat="false" ht="30" hidden="false" customHeight="true" outlineLevel="0" collapsed="false">
      <c r="A8" s="20" t="s">
        <v>157</v>
      </c>
      <c r="B8" s="20" t="s">
        <v>356</v>
      </c>
      <c r="C8" s="20" t="s">
        <v>135</v>
      </c>
      <c r="D8" s="20" t="s">
        <v>366</v>
      </c>
      <c r="E8" s="20" t="s">
        <v>357</v>
      </c>
      <c r="F8" s="20" t="s">
        <v>367</v>
      </c>
      <c r="G8" s="20" t="s">
        <v>353</v>
      </c>
      <c r="H8" s="20" t="s">
        <v>62</v>
      </c>
      <c r="I8" s="20" t="s">
        <v>183</v>
      </c>
      <c r="AB8" s="1" t="str">
        <f aca="false">IF(OR(Orders!$AB8="Awaiting Payment",Orders!$AB8="Overdue Payment"),MAX($AB$3:$AB7)+1,"")</f>
        <v/>
      </c>
    </row>
    <row r="9" customFormat="false" ht="15" hidden="false" customHeight="true" outlineLevel="0" collapsed="false">
      <c r="A9" s="36" t="str">
        <f aca="false">IFERROR(INDEX(Orders!$A$5:$A$64,MATCH(1,$AB$5:$AB$64,0)),"")</f>
        <v>AES-O-001</v>
      </c>
      <c r="B9" s="36" t="str">
        <f aca="false">IFERROR(INDEX(Orders!$B$5:$B$64,MATCH(1,$AB$5:$AB$64,0)),"")</f>
        <v>Underground ventilation doors (x10)</v>
      </c>
      <c r="C9" s="36" t="str">
        <f aca="false">IFERROR(INDEX(Orders!$C$5:$C$64,MATCH(1,$AB$5:$AB$64,0)),"")</f>
        <v>Zimplats</v>
      </c>
      <c r="D9" s="85" t="n">
        <f aca="false">IFERROR(INDEX(Orders!$K$5:$K$64,MATCH(1,$AB$5:$AB$64,0)),"")</f>
        <v>46174</v>
      </c>
      <c r="E9" s="85" t="n">
        <f aca="false">IFERROR(INDEX(Orders!$E$5:$E$64,MATCH(1,$AB$5:$AB$64,0)),"")</f>
        <v>46188</v>
      </c>
      <c r="F9" s="42" t="n">
        <f aca="false">IFERROR(INDEX(Orders!$H$5:$H$64,MATCH(1,$AB$5:$AB$64,0)),"")</f>
        <v>20790</v>
      </c>
      <c r="G9" s="42" t="n">
        <f aca="false">IFERROR(INDEX(Orders!$U$5:$U$64,MATCH(1,$AB$5:$AB$64,0)),"")</f>
        <v>6261.69811320755</v>
      </c>
      <c r="H9" s="42" t="n">
        <f aca="false">IFERROR(INDEX(Orders!$G$5:$G$64,MATCH(1,$AB$5:$AB$64,0)),"")</f>
        <v>2790</v>
      </c>
      <c r="I9" s="36" t="str">
        <f aca="false">IFERROR(INDEX(Orders!$AB$5:$AB$64,MATCH(1,$AB$5:$AB$64,0)),"")</f>
        <v>Overdue Payment</v>
      </c>
      <c r="AB9" s="1" t="str">
        <f aca="false">IF(OR(Orders!$AB9="Awaiting Payment",Orders!$AB9="Overdue Payment"),MAX($AB$3:$AB8)+1,"")</f>
        <v/>
      </c>
    </row>
    <row r="10" customFormat="false" ht="15" hidden="false" customHeight="true" outlineLevel="0" collapsed="false">
      <c r="A10" s="38" t="str">
        <f aca="false">IFERROR(INDEX(Orders!$A$5:$A$64,MATCH(2,$AB$5:$AB$64,0)),"")</f>
        <v>AES-O-002</v>
      </c>
      <c r="B10" s="38" t="str">
        <f aca="false">IFERROR(INDEX(Orders!$B$5:$B$64,MATCH(2,$AB$5:$AB$64,0)),"")</f>
        <v>Safety explosive storage boxes (x6)</v>
      </c>
      <c r="C10" s="38" t="str">
        <f aca="false">IFERROR(INDEX(Orders!$C$5:$C$64,MATCH(2,$AB$5:$AB$64,0)),"")</f>
        <v>Mimosa Mining</v>
      </c>
      <c r="D10" s="86" t="n">
        <f aca="false">IFERROR(INDEX(Orders!$K$5:$K$64,MATCH(2,$AB$5:$AB$64,0)),"")</f>
        <v>46183</v>
      </c>
      <c r="E10" s="86" t="n">
        <f aca="false">IFERROR(INDEX(Orders!$E$5:$E$64,MATCH(2,$AB$5:$AB$64,0)),"")</f>
        <v>46203</v>
      </c>
      <c r="F10" s="45" t="n">
        <f aca="false">IFERROR(INDEX(Orders!$H$5:$H$64,MATCH(2,$AB$5:$AB$64,0)),"")</f>
        <v>10972.5</v>
      </c>
      <c r="G10" s="45" t="n">
        <f aca="false">IFERROR(INDEX(Orders!$U$5:$U$64,MATCH(2,$AB$5:$AB$64,0)),"")</f>
        <v>10972.5</v>
      </c>
      <c r="H10" s="45" t="n">
        <f aca="false">IFERROR(INDEX(Orders!$G$5:$G$64,MATCH(2,$AB$5:$AB$64,0)),"")</f>
        <v>1472.5</v>
      </c>
      <c r="I10" s="38" t="str">
        <f aca="false">IFERROR(INDEX(Orders!$AB$5:$AB$64,MATCH(2,$AB$5:$AB$64,0)),"")</f>
        <v>Overdue Payment</v>
      </c>
      <c r="AB10" s="1" t="n">
        <f aca="false">IF(OR(Orders!$AB10="Awaiting Payment",Orders!$AB10="Overdue Payment"),MAX($AB$3:$AB9)+1,"")</f>
        <v>3</v>
      </c>
    </row>
    <row r="11" customFormat="false" ht="15" hidden="false" customHeight="true" outlineLevel="0" collapsed="false">
      <c r="A11" s="36" t="str">
        <f aca="false">IFERROR(INDEX(Orders!$A$5:$A$64,MATCH(3,$AB$5:$AB$64,0)),"")</f>
        <v>AES-O-006</v>
      </c>
      <c r="B11" s="36" t="str">
        <f aca="false">IFERROR(INDEX(Orders!$B$5:$B$64,MATCH(3,$AB$5:$AB$64,0)),"")</f>
        <v>Air sampling services Q2</v>
      </c>
      <c r="C11" s="36" t="str">
        <f aca="false">IFERROR(INDEX(Orders!$C$5:$C$64,MATCH(3,$AB$5:$AB$64,0)),"")</f>
        <v>Mimosa Mining</v>
      </c>
      <c r="D11" s="85" t="n">
        <f aca="false">IFERROR(INDEX(Orders!$K$5:$K$64,MATCH(3,$AB$5:$AB$64,0)),"")</f>
        <v>46175</v>
      </c>
      <c r="E11" s="85" t="n">
        <f aca="false">IFERROR(INDEX(Orders!$E$5:$E$64,MATCH(3,$AB$5:$AB$64,0)),"")</f>
        <v>46187</v>
      </c>
      <c r="F11" s="42" t="n">
        <f aca="false">IFERROR(INDEX(Orders!$H$5:$H$64,MATCH(3,$AB$5:$AB$64,0)),"")</f>
        <v>9009</v>
      </c>
      <c r="G11" s="42" t="n">
        <f aca="false">IFERROR(INDEX(Orders!$U$5:$U$64,MATCH(3,$AB$5:$AB$64,0)),"")</f>
        <v>5310.88679245283</v>
      </c>
      <c r="H11" s="42" t="n">
        <f aca="false">IFERROR(INDEX(Orders!$G$5:$G$64,MATCH(3,$AB$5:$AB$64,0)),"")</f>
        <v>1209</v>
      </c>
      <c r="I11" s="36" t="str">
        <f aca="false">IFERROR(INDEX(Orders!$AB$5:$AB$64,MATCH(3,$AB$5:$AB$64,0)),"")</f>
        <v>Overdue Payment</v>
      </c>
      <c r="AB11" s="1" t="n">
        <f aca="false">IF(OR(Orders!$AB11="Awaiting Payment",Orders!$AB11="Overdue Payment"),MAX($AB$3:$AB10)+1,"")</f>
        <v>4</v>
      </c>
    </row>
    <row r="12" customFormat="false" ht="15" hidden="false" customHeight="true" outlineLevel="0" collapsed="false">
      <c r="A12" s="38" t="str">
        <f aca="false">IFERROR(INDEX(Orders!$A$5:$A$64,MATCH(4,$AB$5:$AB$64,0)),"")</f>
        <v>AES-O-007</v>
      </c>
      <c r="B12" s="38" t="str">
        <f aca="false">IFERROR(INDEX(Orders!$B$5:$B$64,MATCH(4,$AB$5:$AB$64,0)),"")</f>
        <v>Underground ventilation doors x4</v>
      </c>
      <c r="C12" s="38" t="str">
        <f aca="false">IFERROR(INDEX(Orders!$C$5:$C$64,MATCH(4,$AB$5:$AB$64,0)),"")</f>
        <v>Unki Mine</v>
      </c>
      <c r="D12" s="86" t="n">
        <f aca="false">IFERROR(INDEX(Orders!$K$5:$K$64,MATCH(4,$AB$5:$AB$64,0)),"")</f>
        <v>46205</v>
      </c>
      <c r="E12" s="86" t="n">
        <f aca="false">IFERROR(INDEX(Orders!$E$5:$E$64,MATCH(4,$AB$5:$AB$64,0)),"")</f>
        <v>46213</v>
      </c>
      <c r="F12" s="45" t="n">
        <f aca="false">IFERROR(INDEX(Orders!$H$5:$H$64,MATCH(4,$AB$5:$AB$64,0)),"")</f>
        <v>35112</v>
      </c>
      <c r="G12" s="45" t="n">
        <f aca="false">IFERROR(INDEX(Orders!$U$5:$U$64,MATCH(4,$AB$5:$AB$64,0)),"")</f>
        <v>35112</v>
      </c>
      <c r="H12" s="45" t="n">
        <f aca="false">IFERROR(INDEX(Orders!$G$5:$G$64,MATCH(4,$AB$5:$AB$64,0)),"")</f>
        <v>4712</v>
      </c>
      <c r="I12" s="38" t="str">
        <f aca="false">IFERROR(INDEX(Orders!$AB$5:$AB$64,MATCH(4,$AB$5:$AB$64,0)),"")</f>
        <v>Overdue Payment</v>
      </c>
      <c r="AB12" s="1" t="str">
        <f aca="false">IF(OR(Orders!$AB12="Awaiting Payment",Orders!$AB12="Overdue Payment"),MAX($AB$3:$AB11)+1,"")</f>
        <v/>
      </c>
    </row>
    <row r="13" customFormat="false" ht="15" hidden="false" customHeight="true" outlineLevel="0" collapsed="false">
      <c r="A13" s="36" t="str">
        <f aca="false">IFERROR(INDEX(Orders!$A$5:$A$64,MATCH(5,$AB$5:$AB$64,0)),"")</f>
        <v>AES-O-010</v>
      </c>
      <c r="B13" s="36" t="str">
        <f aca="false">IFERROR(INDEX(Orders!$B$5:$B$64,MATCH(5,$AB$5:$AB$64,0)),"")</f>
        <v>Airflow measurement audit</v>
      </c>
      <c r="C13" s="36" t="str">
        <f aca="false">IFERROR(INDEX(Orders!$C$5:$C$64,MATCH(5,$AB$5:$AB$64,0)),"")</f>
        <v>Zvishavane Engineering Ltd</v>
      </c>
      <c r="D13" s="85" t="n">
        <f aca="false">IFERROR(INDEX(Orders!$K$5:$K$64,MATCH(5,$AB$5:$AB$64,0)),"")</f>
        <v>46201</v>
      </c>
      <c r="E13" s="85" t="n">
        <f aca="false">IFERROR(INDEX(Orders!$E$5:$E$64,MATCH(5,$AB$5:$AB$64,0)),"")</f>
        <v>46208</v>
      </c>
      <c r="F13" s="42" t="n">
        <f aca="false">IFERROR(INDEX(Orders!$H$5:$H$64,MATCH(5,$AB$5:$AB$64,0)),"")</f>
        <v>4851</v>
      </c>
      <c r="G13" s="42" t="n">
        <f aca="false">IFERROR(INDEX(Orders!$U$5:$U$64,MATCH(5,$AB$5:$AB$64,0)),"")</f>
        <v>4851</v>
      </c>
      <c r="H13" s="42" t="n">
        <f aca="false">IFERROR(INDEX(Orders!$G$5:$G$64,MATCH(5,$AB$5:$AB$64,0)),"")</f>
        <v>651</v>
      </c>
      <c r="I13" s="36" t="str">
        <f aca="false">IFERROR(INDEX(Orders!$AB$5:$AB$64,MATCH(5,$AB$5:$AB$64,0)),"")</f>
        <v>Overdue Payment</v>
      </c>
      <c r="AB13" s="1" t="str">
        <f aca="false">IF(OR(Orders!$AB13="Awaiting Payment",Orders!$AB13="Overdue Payment"),MAX($AB$3:$AB12)+1,"")</f>
        <v/>
      </c>
    </row>
    <row r="14" customFormat="false" ht="15" hidden="false" customHeight="true" outlineLevel="0" collapsed="false">
      <c r="A14" s="38" t="str">
        <f aca="false">IFERROR(INDEX(Orders!$A$5:$A$64,MATCH(6,$AB$5:$AB$64,0)),"")</f>
        <v/>
      </c>
      <c r="B14" s="38" t="str">
        <f aca="false">IFERROR(INDEX(Orders!$B$5:$B$64,MATCH(6,$AB$5:$AB$64,0)),"")</f>
        <v/>
      </c>
      <c r="C14" s="38" t="str">
        <f aca="false">IFERROR(INDEX(Orders!$C$5:$C$64,MATCH(6,$AB$5:$AB$64,0)),"")</f>
        <v/>
      </c>
      <c r="D14" s="86" t="str">
        <f aca="false">IFERROR(INDEX(Orders!$K$5:$K$64,MATCH(6,$AB$5:$AB$64,0)),"")</f>
        <v/>
      </c>
      <c r="E14" s="86" t="str">
        <f aca="false">IFERROR(INDEX(Orders!$E$5:$E$64,MATCH(6,$AB$5:$AB$64,0)),"")</f>
        <v/>
      </c>
      <c r="F14" s="45" t="str">
        <f aca="false">IFERROR(INDEX(Orders!$H$5:$H$64,MATCH(6,$AB$5:$AB$64,0)),"")</f>
        <v/>
      </c>
      <c r="G14" s="45" t="str">
        <f aca="false">IFERROR(INDEX(Orders!$U$5:$U$64,MATCH(6,$AB$5:$AB$64,0)),"")</f>
        <v/>
      </c>
      <c r="H14" s="45" t="str">
        <f aca="false">IFERROR(INDEX(Orders!$G$5:$G$64,MATCH(6,$AB$5:$AB$64,0)),"")</f>
        <v/>
      </c>
      <c r="I14" s="38" t="str">
        <f aca="false">IFERROR(INDEX(Orders!$AB$5:$AB$64,MATCH(6,$AB$5:$AB$64,0)),"")</f>
        <v/>
      </c>
      <c r="AB14" s="1" t="n">
        <f aca="false">IF(OR(Orders!$AB14="Awaiting Payment",Orders!$AB14="Overdue Payment"),MAX($AB$3:$AB13)+1,"")</f>
        <v>5</v>
      </c>
    </row>
    <row r="15" customFormat="false" ht="15" hidden="false" customHeight="true" outlineLevel="0" collapsed="false">
      <c r="A15" s="36" t="str">
        <f aca="false">IFERROR(INDEX(Orders!$A$5:$A$64,MATCH(7,$AB$5:$AB$64,0)),"")</f>
        <v/>
      </c>
      <c r="B15" s="36" t="str">
        <f aca="false">IFERROR(INDEX(Orders!$B$5:$B$64,MATCH(7,$AB$5:$AB$64,0)),"")</f>
        <v/>
      </c>
      <c r="C15" s="36" t="str">
        <f aca="false">IFERROR(INDEX(Orders!$C$5:$C$64,MATCH(7,$AB$5:$AB$64,0)),"")</f>
        <v/>
      </c>
      <c r="D15" s="85" t="str">
        <f aca="false">IFERROR(INDEX(Orders!$K$5:$K$64,MATCH(7,$AB$5:$AB$64,0)),"")</f>
        <v/>
      </c>
      <c r="E15" s="85" t="str">
        <f aca="false">IFERROR(INDEX(Orders!$E$5:$E$64,MATCH(7,$AB$5:$AB$64,0)),"")</f>
        <v/>
      </c>
      <c r="F15" s="42" t="str">
        <f aca="false">IFERROR(INDEX(Orders!$H$5:$H$64,MATCH(7,$AB$5:$AB$64,0)),"")</f>
        <v/>
      </c>
      <c r="G15" s="42" t="str">
        <f aca="false">IFERROR(INDEX(Orders!$U$5:$U$64,MATCH(7,$AB$5:$AB$64,0)),"")</f>
        <v/>
      </c>
      <c r="H15" s="42" t="str">
        <f aca="false">IFERROR(INDEX(Orders!$G$5:$G$64,MATCH(7,$AB$5:$AB$64,0)),"")</f>
        <v/>
      </c>
      <c r="I15" s="36" t="str">
        <f aca="false">IFERROR(INDEX(Orders!$AB$5:$AB$64,MATCH(7,$AB$5:$AB$64,0)),"")</f>
        <v/>
      </c>
      <c r="AB15" s="1" t="str">
        <f aca="false">IF(OR(Orders!$AB15="Awaiting Payment",Orders!$AB15="Overdue Payment"),MAX($AB$3:$AB14)+1,"")</f>
        <v/>
      </c>
    </row>
    <row r="16" customFormat="false" ht="15" hidden="false" customHeight="true" outlineLevel="0" collapsed="false">
      <c r="A16" s="38" t="str">
        <f aca="false">IFERROR(INDEX(Orders!$A$5:$A$64,MATCH(8,$AB$5:$AB$64,0)),"")</f>
        <v/>
      </c>
      <c r="B16" s="38" t="str">
        <f aca="false">IFERROR(INDEX(Orders!$B$5:$B$64,MATCH(8,$AB$5:$AB$64,0)),"")</f>
        <v/>
      </c>
      <c r="C16" s="38" t="str">
        <f aca="false">IFERROR(INDEX(Orders!$C$5:$C$64,MATCH(8,$AB$5:$AB$64,0)),"")</f>
        <v/>
      </c>
      <c r="D16" s="86" t="str">
        <f aca="false">IFERROR(INDEX(Orders!$K$5:$K$64,MATCH(8,$AB$5:$AB$64,0)),"")</f>
        <v/>
      </c>
      <c r="E16" s="86" t="str">
        <f aca="false">IFERROR(INDEX(Orders!$E$5:$E$64,MATCH(8,$AB$5:$AB$64,0)),"")</f>
        <v/>
      </c>
      <c r="F16" s="45" t="str">
        <f aca="false">IFERROR(INDEX(Orders!$H$5:$H$64,MATCH(8,$AB$5:$AB$64,0)),"")</f>
        <v/>
      </c>
      <c r="G16" s="45" t="str">
        <f aca="false">IFERROR(INDEX(Orders!$U$5:$U$64,MATCH(8,$AB$5:$AB$64,0)),"")</f>
        <v/>
      </c>
      <c r="H16" s="45" t="str">
        <f aca="false">IFERROR(INDEX(Orders!$G$5:$G$64,MATCH(8,$AB$5:$AB$64,0)),"")</f>
        <v/>
      </c>
      <c r="I16" s="38" t="str">
        <f aca="false">IFERROR(INDEX(Orders!$AB$5:$AB$64,MATCH(8,$AB$5:$AB$64,0)),"")</f>
        <v/>
      </c>
      <c r="AB16" s="1" t="str">
        <f aca="false">IF(OR(Orders!$AB16="Awaiting Payment",Orders!$AB16="Overdue Payment"),MAX($AB$3:$AB15)+1,"")</f>
        <v/>
      </c>
    </row>
    <row r="17" customFormat="false" ht="15" hidden="false" customHeight="true" outlineLevel="0" collapsed="false">
      <c r="A17" s="36" t="str">
        <f aca="false">IFERROR(INDEX(Orders!$A$5:$A$64,MATCH(9,$AB$5:$AB$64,0)),"")</f>
        <v/>
      </c>
      <c r="B17" s="36" t="str">
        <f aca="false">IFERROR(INDEX(Orders!$B$5:$B$64,MATCH(9,$AB$5:$AB$64,0)),"")</f>
        <v/>
      </c>
      <c r="C17" s="36" t="str">
        <f aca="false">IFERROR(INDEX(Orders!$C$5:$C$64,MATCH(9,$AB$5:$AB$64,0)),"")</f>
        <v/>
      </c>
      <c r="D17" s="85" t="str">
        <f aca="false">IFERROR(INDEX(Orders!$K$5:$K$64,MATCH(9,$AB$5:$AB$64,0)),"")</f>
        <v/>
      </c>
      <c r="E17" s="85" t="str">
        <f aca="false">IFERROR(INDEX(Orders!$E$5:$E$64,MATCH(9,$AB$5:$AB$64,0)),"")</f>
        <v/>
      </c>
      <c r="F17" s="42" t="str">
        <f aca="false">IFERROR(INDEX(Orders!$H$5:$H$64,MATCH(9,$AB$5:$AB$64,0)),"")</f>
        <v/>
      </c>
      <c r="G17" s="42" t="str">
        <f aca="false">IFERROR(INDEX(Orders!$U$5:$U$64,MATCH(9,$AB$5:$AB$64,0)),"")</f>
        <v/>
      </c>
      <c r="H17" s="42" t="str">
        <f aca="false">IFERROR(INDEX(Orders!$G$5:$G$64,MATCH(9,$AB$5:$AB$64,0)),"")</f>
        <v/>
      </c>
      <c r="I17" s="36" t="str">
        <f aca="false">IFERROR(INDEX(Orders!$AB$5:$AB$64,MATCH(9,$AB$5:$AB$64,0)),"")</f>
        <v/>
      </c>
      <c r="AB17" s="1" t="str">
        <f aca="false">IF(OR(Orders!$AB17="Awaiting Payment",Orders!$AB17="Overdue Payment"),MAX($AB$3:$AB16)+1,"")</f>
        <v/>
      </c>
    </row>
    <row r="18" customFormat="false" ht="15" hidden="false" customHeight="true" outlineLevel="0" collapsed="false">
      <c r="A18" s="38" t="str">
        <f aca="false">IFERROR(INDEX(Orders!$A$5:$A$64,MATCH(10,$AB$5:$AB$64,0)),"")</f>
        <v/>
      </c>
      <c r="B18" s="38" t="str">
        <f aca="false">IFERROR(INDEX(Orders!$B$5:$B$64,MATCH(10,$AB$5:$AB$64,0)),"")</f>
        <v/>
      </c>
      <c r="C18" s="38" t="str">
        <f aca="false">IFERROR(INDEX(Orders!$C$5:$C$64,MATCH(10,$AB$5:$AB$64,0)),"")</f>
        <v/>
      </c>
      <c r="D18" s="86" t="str">
        <f aca="false">IFERROR(INDEX(Orders!$K$5:$K$64,MATCH(10,$AB$5:$AB$64,0)),"")</f>
        <v/>
      </c>
      <c r="E18" s="86" t="str">
        <f aca="false">IFERROR(INDEX(Orders!$E$5:$E$64,MATCH(10,$AB$5:$AB$64,0)),"")</f>
        <v/>
      </c>
      <c r="F18" s="45" t="str">
        <f aca="false">IFERROR(INDEX(Orders!$H$5:$H$64,MATCH(10,$AB$5:$AB$64,0)),"")</f>
        <v/>
      </c>
      <c r="G18" s="45" t="str">
        <f aca="false">IFERROR(INDEX(Orders!$U$5:$U$64,MATCH(10,$AB$5:$AB$64,0)),"")</f>
        <v/>
      </c>
      <c r="H18" s="45" t="str">
        <f aca="false">IFERROR(INDEX(Orders!$G$5:$G$64,MATCH(10,$AB$5:$AB$64,0)),"")</f>
        <v/>
      </c>
      <c r="I18" s="38" t="str">
        <f aca="false">IFERROR(INDEX(Orders!$AB$5:$AB$64,MATCH(10,$AB$5:$AB$64,0)),"")</f>
        <v/>
      </c>
      <c r="AB18" s="1" t="str">
        <f aca="false">IF(OR(Orders!$AB18="Awaiting Payment",Orders!$AB18="Overdue Payment"),MAX($AB$3:$AB17)+1,"")</f>
        <v/>
      </c>
    </row>
    <row r="19" customFormat="false" ht="15" hidden="false" customHeight="true" outlineLevel="0" collapsed="false">
      <c r="A19" s="36" t="str">
        <f aca="false">IFERROR(INDEX(Orders!$A$5:$A$64,MATCH(11,$AB$5:$AB$64,0)),"")</f>
        <v/>
      </c>
      <c r="B19" s="36" t="str">
        <f aca="false">IFERROR(INDEX(Orders!$B$5:$B$64,MATCH(11,$AB$5:$AB$64,0)),"")</f>
        <v/>
      </c>
      <c r="C19" s="36" t="str">
        <f aca="false">IFERROR(INDEX(Orders!$C$5:$C$64,MATCH(11,$AB$5:$AB$64,0)),"")</f>
        <v/>
      </c>
      <c r="D19" s="85" t="str">
        <f aca="false">IFERROR(INDEX(Orders!$K$5:$K$64,MATCH(11,$AB$5:$AB$64,0)),"")</f>
        <v/>
      </c>
      <c r="E19" s="85" t="str">
        <f aca="false">IFERROR(INDEX(Orders!$E$5:$E$64,MATCH(11,$AB$5:$AB$64,0)),"")</f>
        <v/>
      </c>
      <c r="F19" s="42" t="str">
        <f aca="false">IFERROR(INDEX(Orders!$H$5:$H$64,MATCH(11,$AB$5:$AB$64,0)),"")</f>
        <v/>
      </c>
      <c r="G19" s="42" t="str">
        <f aca="false">IFERROR(INDEX(Orders!$U$5:$U$64,MATCH(11,$AB$5:$AB$64,0)),"")</f>
        <v/>
      </c>
      <c r="H19" s="42" t="str">
        <f aca="false">IFERROR(INDEX(Orders!$G$5:$G$64,MATCH(11,$AB$5:$AB$64,0)),"")</f>
        <v/>
      </c>
      <c r="I19" s="36" t="str">
        <f aca="false">IFERROR(INDEX(Orders!$AB$5:$AB$64,MATCH(11,$AB$5:$AB$64,0)),"")</f>
        <v/>
      </c>
      <c r="AB19" s="1" t="str">
        <f aca="false">IF(OR(Orders!$AB19="Awaiting Payment",Orders!$AB19="Overdue Payment"),MAX($AB$3:$AB18)+1,"")</f>
        <v/>
      </c>
    </row>
    <row r="20" customFormat="false" ht="15" hidden="false" customHeight="true" outlineLevel="0" collapsed="false">
      <c r="A20" s="38" t="str">
        <f aca="false">IFERROR(INDEX(Orders!$A$5:$A$64,MATCH(12,$AB$5:$AB$64,0)),"")</f>
        <v/>
      </c>
      <c r="B20" s="38" t="str">
        <f aca="false">IFERROR(INDEX(Orders!$B$5:$B$64,MATCH(12,$AB$5:$AB$64,0)),"")</f>
        <v/>
      </c>
      <c r="C20" s="38" t="str">
        <f aca="false">IFERROR(INDEX(Orders!$C$5:$C$64,MATCH(12,$AB$5:$AB$64,0)),"")</f>
        <v/>
      </c>
      <c r="D20" s="86" t="str">
        <f aca="false">IFERROR(INDEX(Orders!$K$5:$K$64,MATCH(12,$AB$5:$AB$64,0)),"")</f>
        <v/>
      </c>
      <c r="E20" s="86" t="str">
        <f aca="false">IFERROR(INDEX(Orders!$E$5:$E$64,MATCH(12,$AB$5:$AB$64,0)),"")</f>
        <v/>
      </c>
      <c r="F20" s="45" t="str">
        <f aca="false">IFERROR(INDEX(Orders!$H$5:$H$64,MATCH(12,$AB$5:$AB$64,0)),"")</f>
        <v/>
      </c>
      <c r="G20" s="45" t="str">
        <f aca="false">IFERROR(INDEX(Orders!$U$5:$U$64,MATCH(12,$AB$5:$AB$64,0)),"")</f>
        <v/>
      </c>
      <c r="H20" s="45" t="str">
        <f aca="false">IFERROR(INDEX(Orders!$G$5:$G$64,MATCH(12,$AB$5:$AB$64,0)),"")</f>
        <v/>
      </c>
      <c r="I20" s="38" t="str">
        <f aca="false">IFERROR(INDEX(Orders!$AB$5:$AB$64,MATCH(12,$AB$5:$AB$64,0)),"")</f>
        <v/>
      </c>
      <c r="AB20" s="1" t="str">
        <f aca="false">IF(OR(Orders!$AB20="Awaiting Payment",Orders!$AB20="Overdue Payment"),MAX($AB$3:$AB19)+1,"")</f>
        <v/>
      </c>
    </row>
    <row r="21" customFormat="false" ht="15" hidden="false" customHeight="true" outlineLevel="0" collapsed="false">
      <c r="A21" s="36" t="str">
        <f aca="false">IFERROR(INDEX(Orders!$A$5:$A$64,MATCH(13,$AB$5:$AB$64,0)),"")</f>
        <v/>
      </c>
      <c r="B21" s="36" t="str">
        <f aca="false">IFERROR(INDEX(Orders!$B$5:$B$64,MATCH(13,$AB$5:$AB$64,0)),"")</f>
        <v/>
      </c>
      <c r="C21" s="36" t="str">
        <f aca="false">IFERROR(INDEX(Orders!$C$5:$C$64,MATCH(13,$AB$5:$AB$64,0)),"")</f>
        <v/>
      </c>
      <c r="D21" s="85" t="str">
        <f aca="false">IFERROR(INDEX(Orders!$K$5:$K$64,MATCH(13,$AB$5:$AB$64,0)),"")</f>
        <v/>
      </c>
      <c r="E21" s="85" t="str">
        <f aca="false">IFERROR(INDEX(Orders!$E$5:$E$64,MATCH(13,$AB$5:$AB$64,0)),"")</f>
        <v/>
      </c>
      <c r="F21" s="42" t="str">
        <f aca="false">IFERROR(INDEX(Orders!$H$5:$H$64,MATCH(13,$AB$5:$AB$64,0)),"")</f>
        <v/>
      </c>
      <c r="G21" s="42" t="str">
        <f aca="false">IFERROR(INDEX(Orders!$U$5:$U$64,MATCH(13,$AB$5:$AB$64,0)),"")</f>
        <v/>
      </c>
      <c r="H21" s="42" t="str">
        <f aca="false">IFERROR(INDEX(Orders!$G$5:$G$64,MATCH(13,$AB$5:$AB$64,0)),"")</f>
        <v/>
      </c>
      <c r="I21" s="36" t="str">
        <f aca="false">IFERROR(INDEX(Orders!$AB$5:$AB$64,MATCH(13,$AB$5:$AB$64,0)),"")</f>
        <v/>
      </c>
      <c r="AB21" s="1" t="str">
        <f aca="false">IF(OR(Orders!$AB21="Awaiting Payment",Orders!$AB21="Overdue Payment"),MAX($AB$3:$AB20)+1,"")</f>
        <v/>
      </c>
    </row>
    <row r="22" customFormat="false" ht="15" hidden="false" customHeight="true" outlineLevel="0" collapsed="false">
      <c r="A22" s="38" t="str">
        <f aca="false">IFERROR(INDEX(Orders!$A$5:$A$64,MATCH(14,$AB$5:$AB$64,0)),"")</f>
        <v/>
      </c>
      <c r="B22" s="38" t="str">
        <f aca="false">IFERROR(INDEX(Orders!$B$5:$B$64,MATCH(14,$AB$5:$AB$64,0)),"")</f>
        <v/>
      </c>
      <c r="C22" s="38" t="str">
        <f aca="false">IFERROR(INDEX(Orders!$C$5:$C$64,MATCH(14,$AB$5:$AB$64,0)),"")</f>
        <v/>
      </c>
      <c r="D22" s="86" t="str">
        <f aca="false">IFERROR(INDEX(Orders!$K$5:$K$64,MATCH(14,$AB$5:$AB$64,0)),"")</f>
        <v/>
      </c>
      <c r="E22" s="86" t="str">
        <f aca="false">IFERROR(INDEX(Orders!$E$5:$E$64,MATCH(14,$AB$5:$AB$64,0)),"")</f>
        <v/>
      </c>
      <c r="F22" s="45" t="str">
        <f aca="false">IFERROR(INDEX(Orders!$H$5:$H$64,MATCH(14,$AB$5:$AB$64,0)),"")</f>
        <v/>
      </c>
      <c r="G22" s="45" t="str">
        <f aca="false">IFERROR(INDEX(Orders!$U$5:$U$64,MATCH(14,$AB$5:$AB$64,0)),"")</f>
        <v/>
      </c>
      <c r="H22" s="45" t="str">
        <f aca="false">IFERROR(INDEX(Orders!$G$5:$G$64,MATCH(14,$AB$5:$AB$64,0)),"")</f>
        <v/>
      </c>
      <c r="I22" s="38" t="str">
        <f aca="false">IFERROR(INDEX(Orders!$AB$5:$AB$64,MATCH(14,$AB$5:$AB$64,0)),"")</f>
        <v/>
      </c>
      <c r="AB22" s="1" t="str">
        <f aca="false">IF(OR(Orders!$AB22="Awaiting Payment",Orders!$AB22="Overdue Payment"),MAX($AB$3:$AB21)+1,"")</f>
        <v/>
      </c>
    </row>
    <row r="23" customFormat="false" ht="15" hidden="false" customHeight="true" outlineLevel="0" collapsed="false">
      <c r="A23" s="36" t="str">
        <f aca="false">IFERROR(INDEX(Orders!$A$5:$A$64,MATCH(15,$AB$5:$AB$64,0)),"")</f>
        <v/>
      </c>
      <c r="B23" s="36" t="str">
        <f aca="false">IFERROR(INDEX(Orders!$B$5:$B$64,MATCH(15,$AB$5:$AB$64,0)),"")</f>
        <v/>
      </c>
      <c r="C23" s="36" t="str">
        <f aca="false">IFERROR(INDEX(Orders!$C$5:$C$64,MATCH(15,$AB$5:$AB$64,0)),"")</f>
        <v/>
      </c>
      <c r="D23" s="85" t="str">
        <f aca="false">IFERROR(INDEX(Orders!$K$5:$K$64,MATCH(15,$AB$5:$AB$64,0)),"")</f>
        <v/>
      </c>
      <c r="E23" s="85" t="str">
        <f aca="false">IFERROR(INDEX(Orders!$E$5:$E$64,MATCH(15,$AB$5:$AB$64,0)),"")</f>
        <v/>
      </c>
      <c r="F23" s="42" t="str">
        <f aca="false">IFERROR(INDEX(Orders!$H$5:$H$64,MATCH(15,$AB$5:$AB$64,0)),"")</f>
        <v/>
      </c>
      <c r="G23" s="42" t="str">
        <f aca="false">IFERROR(INDEX(Orders!$U$5:$U$64,MATCH(15,$AB$5:$AB$64,0)),"")</f>
        <v/>
      </c>
      <c r="H23" s="42" t="str">
        <f aca="false">IFERROR(INDEX(Orders!$G$5:$G$64,MATCH(15,$AB$5:$AB$64,0)),"")</f>
        <v/>
      </c>
      <c r="I23" s="36" t="str">
        <f aca="false">IFERROR(INDEX(Orders!$AB$5:$AB$64,MATCH(15,$AB$5:$AB$64,0)),"")</f>
        <v/>
      </c>
      <c r="AB23" s="1" t="str">
        <f aca="false">IF(OR(Orders!$AB23="Awaiting Payment",Orders!$AB23="Overdue Payment"),MAX($AB$3:$AB22)+1,"")</f>
        <v/>
      </c>
    </row>
    <row r="24" customFormat="false" ht="15" hidden="false" customHeight="true" outlineLevel="0" collapsed="false">
      <c r="A24" s="38" t="str">
        <f aca="false">IFERROR(INDEX(Orders!$A$5:$A$64,MATCH(16,$AB$5:$AB$64,0)),"")</f>
        <v/>
      </c>
      <c r="B24" s="38" t="str">
        <f aca="false">IFERROR(INDEX(Orders!$B$5:$B$64,MATCH(16,$AB$5:$AB$64,0)),"")</f>
        <v/>
      </c>
      <c r="C24" s="38" t="str">
        <f aca="false">IFERROR(INDEX(Orders!$C$5:$C$64,MATCH(16,$AB$5:$AB$64,0)),"")</f>
        <v/>
      </c>
      <c r="D24" s="86" t="str">
        <f aca="false">IFERROR(INDEX(Orders!$K$5:$K$64,MATCH(16,$AB$5:$AB$64,0)),"")</f>
        <v/>
      </c>
      <c r="E24" s="86" t="str">
        <f aca="false">IFERROR(INDEX(Orders!$E$5:$E$64,MATCH(16,$AB$5:$AB$64,0)),"")</f>
        <v/>
      </c>
      <c r="F24" s="45" t="str">
        <f aca="false">IFERROR(INDEX(Orders!$H$5:$H$64,MATCH(16,$AB$5:$AB$64,0)),"")</f>
        <v/>
      </c>
      <c r="G24" s="45" t="str">
        <f aca="false">IFERROR(INDEX(Orders!$U$5:$U$64,MATCH(16,$AB$5:$AB$64,0)),"")</f>
        <v/>
      </c>
      <c r="H24" s="45" t="str">
        <f aca="false">IFERROR(INDEX(Orders!$G$5:$G$64,MATCH(16,$AB$5:$AB$64,0)),"")</f>
        <v/>
      </c>
      <c r="I24" s="38" t="str">
        <f aca="false">IFERROR(INDEX(Orders!$AB$5:$AB$64,MATCH(16,$AB$5:$AB$64,0)),"")</f>
        <v/>
      </c>
      <c r="AB24" s="1" t="str">
        <f aca="false">IF(OR(Orders!$AB24="Awaiting Payment",Orders!$AB24="Overdue Payment"),MAX($AB$3:$AB23)+1,"")</f>
        <v/>
      </c>
    </row>
    <row r="25" customFormat="false" ht="15" hidden="false" customHeight="true" outlineLevel="0" collapsed="false">
      <c r="A25" s="36" t="str">
        <f aca="false">IFERROR(INDEX(Orders!$A$5:$A$64,MATCH(17,$AB$5:$AB$64,0)),"")</f>
        <v/>
      </c>
      <c r="B25" s="36" t="str">
        <f aca="false">IFERROR(INDEX(Orders!$B$5:$B$64,MATCH(17,$AB$5:$AB$64,0)),"")</f>
        <v/>
      </c>
      <c r="C25" s="36" t="str">
        <f aca="false">IFERROR(INDEX(Orders!$C$5:$C$64,MATCH(17,$AB$5:$AB$64,0)),"")</f>
        <v/>
      </c>
      <c r="D25" s="85" t="str">
        <f aca="false">IFERROR(INDEX(Orders!$K$5:$K$64,MATCH(17,$AB$5:$AB$64,0)),"")</f>
        <v/>
      </c>
      <c r="E25" s="85" t="str">
        <f aca="false">IFERROR(INDEX(Orders!$E$5:$E$64,MATCH(17,$AB$5:$AB$64,0)),"")</f>
        <v/>
      </c>
      <c r="F25" s="42" t="str">
        <f aca="false">IFERROR(INDEX(Orders!$H$5:$H$64,MATCH(17,$AB$5:$AB$64,0)),"")</f>
        <v/>
      </c>
      <c r="G25" s="42" t="str">
        <f aca="false">IFERROR(INDEX(Orders!$U$5:$U$64,MATCH(17,$AB$5:$AB$64,0)),"")</f>
        <v/>
      </c>
      <c r="H25" s="42" t="str">
        <f aca="false">IFERROR(INDEX(Orders!$G$5:$G$64,MATCH(17,$AB$5:$AB$64,0)),"")</f>
        <v/>
      </c>
      <c r="I25" s="36" t="str">
        <f aca="false">IFERROR(INDEX(Orders!$AB$5:$AB$64,MATCH(17,$AB$5:$AB$64,0)),"")</f>
        <v/>
      </c>
      <c r="AB25" s="1" t="str">
        <f aca="false">IF(OR(Orders!$AB25="Awaiting Payment",Orders!$AB25="Overdue Payment"),MAX($AB$3:$AB24)+1,"")</f>
        <v/>
      </c>
    </row>
    <row r="26" customFormat="false" ht="15" hidden="false" customHeight="true" outlineLevel="0" collapsed="false">
      <c r="A26" s="38" t="str">
        <f aca="false">IFERROR(INDEX(Orders!$A$5:$A$64,MATCH(18,$AB$5:$AB$64,0)),"")</f>
        <v/>
      </c>
      <c r="B26" s="38" t="str">
        <f aca="false">IFERROR(INDEX(Orders!$B$5:$B$64,MATCH(18,$AB$5:$AB$64,0)),"")</f>
        <v/>
      </c>
      <c r="C26" s="38" t="str">
        <f aca="false">IFERROR(INDEX(Orders!$C$5:$C$64,MATCH(18,$AB$5:$AB$64,0)),"")</f>
        <v/>
      </c>
      <c r="D26" s="86" t="str">
        <f aca="false">IFERROR(INDEX(Orders!$K$5:$K$64,MATCH(18,$AB$5:$AB$64,0)),"")</f>
        <v/>
      </c>
      <c r="E26" s="86" t="str">
        <f aca="false">IFERROR(INDEX(Orders!$E$5:$E$64,MATCH(18,$AB$5:$AB$64,0)),"")</f>
        <v/>
      </c>
      <c r="F26" s="45" t="str">
        <f aca="false">IFERROR(INDEX(Orders!$H$5:$H$64,MATCH(18,$AB$5:$AB$64,0)),"")</f>
        <v/>
      </c>
      <c r="G26" s="45" t="str">
        <f aca="false">IFERROR(INDEX(Orders!$U$5:$U$64,MATCH(18,$AB$5:$AB$64,0)),"")</f>
        <v/>
      </c>
      <c r="H26" s="45" t="str">
        <f aca="false">IFERROR(INDEX(Orders!$G$5:$G$64,MATCH(18,$AB$5:$AB$64,0)),"")</f>
        <v/>
      </c>
      <c r="I26" s="38" t="str">
        <f aca="false">IFERROR(INDEX(Orders!$AB$5:$AB$64,MATCH(18,$AB$5:$AB$64,0)),"")</f>
        <v/>
      </c>
      <c r="AB26" s="1" t="str">
        <f aca="false">IF(OR(Orders!$AB26="Awaiting Payment",Orders!$AB26="Overdue Payment"),MAX($AB$3:$AB25)+1,"")</f>
        <v/>
      </c>
    </row>
    <row r="27" customFormat="false" ht="15" hidden="false" customHeight="true" outlineLevel="0" collapsed="false">
      <c r="A27" s="36" t="str">
        <f aca="false">IFERROR(INDEX(Orders!$A$5:$A$64,MATCH(19,$AB$5:$AB$64,0)),"")</f>
        <v/>
      </c>
      <c r="B27" s="36" t="str">
        <f aca="false">IFERROR(INDEX(Orders!$B$5:$B$64,MATCH(19,$AB$5:$AB$64,0)),"")</f>
        <v/>
      </c>
      <c r="C27" s="36" t="str">
        <f aca="false">IFERROR(INDEX(Orders!$C$5:$C$64,MATCH(19,$AB$5:$AB$64,0)),"")</f>
        <v/>
      </c>
      <c r="D27" s="85" t="str">
        <f aca="false">IFERROR(INDEX(Orders!$K$5:$K$64,MATCH(19,$AB$5:$AB$64,0)),"")</f>
        <v/>
      </c>
      <c r="E27" s="85" t="str">
        <f aca="false">IFERROR(INDEX(Orders!$E$5:$E$64,MATCH(19,$AB$5:$AB$64,0)),"")</f>
        <v/>
      </c>
      <c r="F27" s="42" t="str">
        <f aca="false">IFERROR(INDEX(Orders!$H$5:$H$64,MATCH(19,$AB$5:$AB$64,0)),"")</f>
        <v/>
      </c>
      <c r="G27" s="42" t="str">
        <f aca="false">IFERROR(INDEX(Orders!$U$5:$U$64,MATCH(19,$AB$5:$AB$64,0)),"")</f>
        <v/>
      </c>
      <c r="H27" s="42" t="str">
        <f aca="false">IFERROR(INDEX(Orders!$G$5:$G$64,MATCH(19,$AB$5:$AB$64,0)),"")</f>
        <v/>
      </c>
      <c r="I27" s="36" t="str">
        <f aca="false">IFERROR(INDEX(Orders!$AB$5:$AB$64,MATCH(19,$AB$5:$AB$64,0)),"")</f>
        <v/>
      </c>
      <c r="AB27" s="1" t="str">
        <f aca="false">IF(OR(Orders!$AB27="Awaiting Payment",Orders!$AB27="Overdue Payment"),MAX($AB$3:$AB26)+1,"")</f>
        <v/>
      </c>
    </row>
    <row r="28" customFormat="false" ht="15" hidden="false" customHeight="true" outlineLevel="0" collapsed="false">
      <c r="A28" s="38" t="str">
        <f aca="false">IFERROR(INDEX(Orders!$A$5:$A$64,MATCH(20,$AB$5:$AB$64,0)),"")</f>
        <v/>
      </c>
      <c r="B28" s="38" t="str">
        <f aca="false">IFERROR(INDEX(Orders!$B$5:$B$64,MATCH(20,$AB$5:$AB$64,0)),"")</f>
        <v/>
      </c>
      <c r="C28" s="38" t="str">
        <f aca="false">IFERROR(INDEX(Orders!$C$5:$C$64,MATCH(20,$AB$5:$AB$64,0)),"")</f>
        <v/>
      </c>
      <c r="D28" s="86" t="str">
        <f aca="false">IFERROR(INDEX(Orders!$K$5:$K$64,MATCH(20,$AB$5:$AB$64,0)),"")</f>
        <v/>
      </c>
      <c r="E28" s="86" t="str">
        <f aca="false">IFERROR(INDEX(Orders!$E$5:$E$64,MATCH(20,$AB$5:$AB$64,0)),"")</f>
        <v/>
      </c>
      <c r="F28" s="45" t="str">
        <f aca="false">IFERROR(INDEX(Orders!$H$5:$H$64,MATCH(20,$AB$5:$AB$64,0)),"")</f>
        <v/>
      </c>
      <c r="G28" s="45" t="str">
        <f aca="false">IFERROR(INDEX(Orders!$U$5:$U$64,MATCH(20,$AB$5:$AB$64,0)),"")</f>
        <v/>
      </c>
      <c r="H28" s="45" t="str">
        <f aca="false">IFERROR(INDEX(Orders!$G$5:$G$64,MATCH(20,$AB$5:$AB$64,0)),"")</f>
        <v/>
      </c>
      <c r="I28" s="38" t="str">
        <f aca="false">IFERROR(INDEX(Orders!$AB$5:$AB$64,MATCH(20,$AB$5:$AB$64,0)),"")</f>
        <v/>
      </c>
      <c r="AB28" s="1" t="str">
        <f aca="false">IF(OR(Orders!$AB28="Awaiting Payment",Orders!$AB28="Overdue Payment"),MAX($AB$3:$AB27)+1,"")</f>
        <v/>
      </c>
    </row>
    <row r="29" customFormat="false" ht="15" hidden="false" customHeight="true" outlineLevel="0" collapsed="false">
      <c r="A29" s="36" t="str">
        <f aca="false">IFERROR(INDEX(Orders!$A$5:$A$64,MATCH(21,$AB$5:$AB$64,0)),"")</f>
        <v/>
      </c>
      <c r="B29" s="36" t="str">
        <f aca="false">IFERROR(INDEX(Orders!$B$5:$B$64,MATCH(21,$AB$5:$AB$64,0)),"")</f>
        <v/>
      </c>
      <c r="C29" s="36" t="str">
        <f aca="false">IFERROR(INDEX(Orders!$C$5:$C$64,MATCH(21,$AB$5:$AB$64,0)),"")</f>
        <v/>
      </c>
      <c r="D29" s="85" t="str">
        <f aca="false">IFERROR(INDEX(Orders!$K$5:$K$64,MATCH(21,$AB$5:$AB$64,0)),"")</f>
        <v/>
      </c>
      <c r="E29" s="85" t="str">
        <f aca="false">IFERROR(INDEX(Orders!$E$5:$E$64,MATCH(21,$AB$5:$AB$64,0)),"")</f>
        <v/>
      </c>
      <c r="F29" s="42" t="str">
        <f aca="false">IFERROR(INDEX(Orders!$H$5:$H$64,MATCH(21,$AB$5:$AB$64,0)),"")</f>
        <v/>
      </c>
      <c r="G29" s="42" t="str">
        <f aca="false">IFERROR(INDEX(Orders!$U$5:$U$64,MATCH(21,$AB$5:$AB$64,0)),"")</f>
        <v/>
      </c>
      <c r="H29" s="42" t="str">
        <f aca="false">IFERROR(INDEX(Orders!$G$5:$G$64,MATCH(21,$AB$5:$AB$64,0)),"")</f>
        <v/>
      </c>
      <c r="I29" s="36" t="str">
        <f aca="false">IFERROR(INDEX(Orders!$AB$5:$AB$64,MATCH(21,$AB$5:$AB$64,0)),"")</f>
        <v/>
      </c>
      <c r="AB29" s="1" t="str">
        <f aca="false">IF(OR(Orders!$AB29="Awaiting Payment",Orders!$AB29="Overdue Payment"),MAX($AB$3:$AB28)+1,"")</f>
        <v/>
      </c>
    </row>
    <row r="30" customFormat="false" ht="15" hidden="false" customHeight="true" outlineLevel="0" collapsed="false">
      <c r="A30" s="38" t="str">
        <f aca="false">IFERROR(INDEX(Orders!$A$5:$A$64,MATCH(22,$AB$5:$AB$64,0)),"")</f>
        <v/>
      </c>
      <c r="B30" s="38" t="str">
        <f aca="false">IFERROR(INDEX(Orders!$B$5:$B$64,MATCH(22,$AB$5:$AB$64,0)),"")</f>
        <v/>
      </c>
      <c r="C30" s="38" t="str">
        <f aca="false">IFERROR(INDEX(Orders!$C$5:$C$64,MATCH(22,$AB$5:$AB$64,0)),"")</f>
        <v/>
      </c>
      <c r="D30" s="86" t="str">
        <f aca="false">IFERROR(INDEX(Orders!$K$5:$K$64,MATCH(22,$AB$5:$AB$64,0)),"")</f>
        <v/>
      </c>
      <c r="E30" s="86" t="str">
        <f aca="false">IFERROR(INDEX(Orders!$E$5:$E$64,MATCH(22,$AB$5:$AB$64,0)),"")</f>
        <v/>
      </c>
      <c r="F30" s="45" t="str">
        <f aca="false">IFERROR(INDEX(Orders!$H$5:$H$64,MATCH(22,$AB$5:$AB$64,0)),"")</f>
        <v/>
      </c>
      <c r="G30" s="45" t="str">
        <f aca="false">IFERROR(INDEX(Orders!$U$5:$U$64,MATCH(22,$AB$5:$AB$64,0)),"")</f>
        <v/>
      </c>
      <c r="H30" s="45" t="str">
        <f aca="false">IFERROR(INDEX(Orders!$G$5:$G$64,MATCH(22,$AB$5:$AB$64,0)),"")</f>
        <v/>
      </c>
      <c r="I30" s="38" t="str">
        <f aca="false">IFERROR(INDEX(Orders!$AB$5:$AB$64,MATCH(22,$AB$5:$AB$64,0)),"")</f>
        <v/>
      </c>
      <c r="AB30" s="1" t="str">
        <f aca="false">IF(OR(Orders!$AB30="Awaiting Payment",Orders!$AB30="Overdue Payment"),MAX($AB$3:$AB29)+1,"")</f>
        <v/>
      </c>
    </row>
    <row r="31" customFormat="false" ht="15" hidden="false" customHeight="true" outlineLevel="0" collapsed="false">
      <c r="A31" s="36" t="str">
        <f aca="false">IFERROR(INDEX(Orders!$A$5:$A$64,MATCH(23,$AB$5:$AB$64,0)),"")</f>
        <v/>
      </c>
      <c r="B31" s="36" t="str">
        <f aca="false">IFERROR(INDEX(Orders!$B$5:$B$64,MATCH(23,$AB$5:$AB$64,0)),"")</f>
        <v/>
      </c>
      <c r="C31" s="36" t="str">
        <f aca="false">IFERROR(INDEX(Orders!$C$5:$C$64,MATCH(23,$AB$5:$AB$64,0)),"")</f>
        <v/>
      </c>
      <c r="D31" s="85" t="str">
        <f aca="false">IFERROR(INDEX(Orders!$K$5:$K$64,MATCH(23,$AB$5:$AB$64,0)),"")</f>
        <v/>
      </c>
      <c r="E31" s="85" t="str">
        <f aca="false">IFERROR(INDEX(Orders!$E$5:$E$64,MATCH(23,$AB$5:$AB$64,0)),"")</f>
        <v/>
      </c>
      <c r="F31" s="42" t="str">
        <f aca="false">IFERROR(INDEX(Orders!$H$5:$H$64,MATCH(23,$AB$5:$AB$64,0)),"")</f>
        <v/>
      </c>
      <c r="G31" s="42" t="str">
        <f aca="false">IFERROR(INDEX(Orders!$U$5:$U$64,MATCH(23,$AB$5:$AB$64,0)),"")</f>
        <v/>
      </c>
      <c r="H31" s="42" t="str">
        <f aca="false">IFERROR(INDEX(Orders!$G$5:$G$64,MATCH(23,$AB$5:$AB$64,0)),"")</f>
        <v/>
      </c>
      <c r="I31" s="36" t="str">
        <f aca="false">IFERROR(INDEX(Orders!$AB$5:$AB$64,MATCH(23,$AB$5:$AB$64,0)),"")</f>
        <v/>
      </c>
      <c r="AB31" s="1" t="str">
        <f aca="false">IF(OR(Orders!$AB31="Awaiting Payment",Orders!$AB31="Overdue Payment"),MAX($AB$3:$AB30)+1,"")</f>
        <v/>
      </c>
    </row>
    <row r="32" customFormat="false" ht="15" hidden="false" customHeight="true" outlineLevel="0" collapsed="false">
      <c r="A32" s="38" t="str">
        <f aca="false">IFERROR(INDEX(Orders!$A$5:$A$64,MATCH(24,$AB$5:$AB$64,0)),"")</f>
        <v/>
      </c>
      <c r="B32" s="38" t="str">
        <f aca="false">IFERROR(INDEX(Orders!$B$5:$B$64,MATCH(24,$AB$5:$AB$64,0)),"")</f>
        <v/>
      </c>
      <c r="C32" s="38" t="str">
        <f aca="false">IFERROR(INDEX(Orders!$C$5:$C$64,MATCH(24,$AB$5:$AB$64,0)),"")</f>
        <v/>
      </c>
      <c r="D32" s="86" t="str">
        <f aca="false">IFERROR(INDEX(Orders!$K$5:$K$64,MATCH(24,$AB$5:$AB$64,0)),"")</f>
        <v/>
      </c>
      <c r="E32" s="86" t="str">
        <f aca="false">IFERROR(INDEX(Orders!$E$5:$E$64,MATCH(24,$AB$5:$AB$64,0)),"")</f>
        <v/>
      </c>
      <c r="F32" s="45" t="str">
        <f aca="false">IFERROR(INDEX(Orders!$H$5:$H$64,MATCH(24,$AB$5:$AB$64,0)),"")</f>
        <v/>
      </c>
      <c r="G32" s="45" t="str">
        <f aca="false">IFERROR(INDEX(Orders!$U$5:$U$64,MATCH(24,$AB$5:$AB$64,0)),"")</f>
        <v/>
      </c>
      <c r="H32" s="45" t="str">
        <f aca="false">IFERROR(INDEX(Orders!$G$5:$G$64,MATCH(24,$AB$5:$AB$64,0)),"")</f>
        <v/>
      </c>
      <c r="I32" s="38" t="str">
        <f aca="false">IFERROR(INDEX(Orders!$AB$5:$AB$64,MATCH(24,$AB$5:$AB$64,0)),"")</f>
        <v/>
      </c>
      <c r="AB32" s="1" t="str">
        <f aca="false">IF(OR(Orders!$AB32="Awaiting Payment",Orders!$AB32="Overdue Payment"),MAX($AB$3:$AB31)+1,"")</f>
        <v/>
      </c>
    </row>
    <row r="33" customFormat="false" ht="15" hidden="false" customHeight="true" outlineLevel="0" collapsed="false">
      <c r="A33" s="36" t="str">
        <f aca="false">IFERROR(INDEX(Orders!$A$5:$A$64,MATCH(25,$AB$5:$AB$64,0)),"")</f>
        <v/>
      </c>
      <c r="B33" s="36" t="str">
        <f aca="false">IFERROR(INDEX(Orders!$B$5:$B$64,MATCH(25,$AB$5:$AB$64,0)),"")</f>
        <v/>
      </c>
      <c r="C33" s="36" t="str">
        <f aca="false">IFERROR(INDEX(Orders!$C$5:$C$64,MATCH(25,$AB$5:$AB$64,0)),"")</f>
        <v/>
      </c>
      <c r="D33" s="85" t="str">
        <f aca="false">IFERROR(INDEX(Orders!$K$5:$K$64,MATCH(25,$AB$5:$AB$64,0)),"")</f>
        <v/>
      </c>
      <c r="E33" s="85" t="str">
        <f aca="false">IFERROR(INDEX(Orders!$E$5:$E$64,MATCH(25,$AB$5:$AB$64,0)),"")</f>
        <v/>
      </c>
      <c r="F33" s="42" t="str">
        <f aca="false">IFERROR(INDEX(Orders!$H$5:$H$64,MATCH(25,$AB$5:$AB$64,0)),"")</f>
        <v/>
      </c>
      <c r="G33" s="42" t="str">
        <f aca="false">IFERROR(INDEX(Orders!$U$5:$U$64,MATCH(25,$AB$5:$AB$64,0)),"")</f>
        <v/>
      </c>
      <c r="H33" s="42" t="str">
        <f aca="false">IFERROR(INDEX(Orders!$G$5:$G$64,MATCH(25,$AB$5:$AB$64,0)),"")</f>
        <v/>
      </c>
      <c r="I33" s="36" t="str">
        <f aca="false">IFERROR(INDEX(Orders!$AB$5:$AB$64,MATCH(25,$AB$5:$AB$64,0)),"")</f>
        <v/>
      </c>
      <c r="AB33" s="1" t="str">
        <f aca="false">IF(OR(Orders!$AB33="Awaiting Payment",Orders!$AB33="Overdue Payment"),MAX($AB$3:$AB32)+1,"")</f>
        <v/>
      </c>
    </row>
    <row r="34" customFormat="false" ht="15" hidden="false" customHeight="true" outlineLevel="0" collapsed="false">
      <c r="A34" s="38" t="str">
        <f aca="false">IFERROR(INDEX(Orders!$A$5:$A$64,MATCH(26,$AB$5:$AB$64,0)),"")</f>
        <v/>
      </c>
      <c r="B34" s="38" t="str">
        <f aca="false">IFERROR(INDEX(Orders!$B$5:$B$64,MATCH(26,$AB$5:$AB$64,0)),"")</f>
        <v/>
      </c>
      <c r="C34" s="38" t="str">
        <f aca="false">IFERROR(INDEX(Orders!$C$5:$C$64,MATCH(26,$AB$5:$AB$64,0)),"")</f>
        <v/>
      </c>
      <c r="D34" s="86" t="str">
        <f aca="false">IFERROR(INDEX(Orders!$K$5:$K$64,MATCH(26,$AB$5:$AB$64,0)),"")</f>
        <v/>
      </c>
      <c r="E34" s="86" t="str">
        <f aca="false">IFERROR(INDEX(Orders!$E$5:$E$64,MATCH(26,$AB$5:$AB$64,0)),"")</f>
        <v/>
      </c>
      <c r="F34" s="45" t="str">
        <f aca="false">IFERROR(INDEX(Orders!$H$5:$H$64,MATCH(26,$AB$5:$AB$64,0)),"")</f>
        <v/>
      </c>
      <c r="G34" s="45" t="str">
        <f aca="false">IFERROR(INDEX(Orders!$U$5:$U$64,MATCH(26,$AB$5:$AB$64,0)),"")</f>
        <v/>
      </c>
      <c r="H34" s="45" t="str">
        <f aca="false">IFERROR(INDEX(Orders!$G$5:$G$64,MATCH(26,$AB$5:$AB$64,0)),"")</f>
        <v/>
      </c>
      <c r="I34" s="38" t="str">
        <f aca="false">IFERROR(INDEX(Orders!$AB$5:$AB$64,MATCH(26,$AB$5:$AB$64,0)),"")</f>
        <v/>
      </c>
      <c r="AB34" s="1" t="str">
        <f aca="false">IF(OR(Orders!$AB34="Awaiting Payment",Orders!$AB34="Overdue Payment"),MAX($AB$3:$AB33)+1,"")</f>
        <v/>
      </c>
    </row>
    <row r="35" customFormat="false" ht="15" hidden="false" customHeight="true" outlineLevel="0" collapsed="false">
      <c r="A35" s="36" t="str">
        <f aca="false">IFERROR(INDEX(Orders!$A$5:$A$64,MATCH(27,$AB$5:$AB$64,0)),"")</f>
        <v/>
      </c>
      <c r="B35" s="36" t="str">
        <f aca="false">IFERROR(INDEX(Orders!$B$5:$B$64,MATCH(27,$AB$5:$AB$64,0)),"")</f>
        <v/>
      </c>
      <c r="C35" s="36" t="str">
        <f aca="false">IFERROR(INDEX(Orders!$C$5:$C$64,MATCH(27,$AB$5:$AB$64,0)),"")</f>
        <v/>
      </c>
      <c r="D35" s="85" t="str">
        <f aca="false">IFERROR(INDEX(Orders!$K$5:$K$64,MATCH(27,$AB$5:$AB$64,0)),"")</f>
        <v/>
      </c>
      <c r="E35" s="85" t="str">
        <f aca="false">IFERROR(INDEX(Orders!$E$5:$E$64,MATCH(27,$AB$5:$AB$64,0)),"")</f>
        <v/>
      </c>
      <c r="F35" s="42" t="str">
        <f aca="false">IFERROR(INDEX(Orders!$H$5:$H$64,MATCH(27,$AB$5:$AB$64,0)),"")</f>
        <v/>
      </c>
      <c r="G35" s="42" t="str">
        <f aca="false">IFERROR(INDEX(Orders!$U$5:$U$64,MATCH(27,$AB$5:$AB$64,0)),"")</f>
        <v/>
      </c>
      <c r="H35" s="42" t="str">
        <f aca="false">IFERROR(INDEX(Orders!$G$5:$G$64,MATCH(27,$AB$5:$AB$64,0)),"")</f>
        <v/>
      </c>
      <c r="I35" s="36" t="str">
        <f aca="false">IFERROR(INDEX(Orders!$AB$5:$AB$64,MATCH(27,$AB$5:$AB$64,0)),"")</f>
        <v/>
      </c>
      <c r="AB35" s="1" t="str">
        <f aca="false">IF(OR(Orders!$AB35="Awaiting Payment",Orders!$AB35="Overdue Payment"),MAX($AB$3:$AB34)+1,"")</f>
        <v/>
      </c>
    </row>
    <row r="36" customFormat="false" ht="15" hidden="false" customHeight="true" outlineLevel="0" collapsed="false">
      <c r="A36" s="38" t="str">
        <f aca="false">IFERROR(INDEX(Orders!$A$5:$A$64,MATCH(28,$AB$5:$AB$64,0)),"")</f>
        <v/>
      </c>
      <c r="B36" s="38" t="str">
        <f aca="false">IFERROR(INDEX(Orders!$B$5:$B$64,MATCH(28,$AB$5:$AB$64,0)),"")</f>
        <v/>
      </c>
      <c r="C36" s="38" t="str">
        <f aca="false">IFERROR(INDEX(Orders!$C$5:$C$64,MATCH(28,$AB$5:$AB$64,0)),"")</f>
        <v/>
      </c>
      <c r="D36" s="86" t="str">
        <f aca="false">IFERROR(INDEX(Orders!$K$5:$K$64,MATCH(28,$AB$5:$AB$64,0)),"")</f>
        <v/>
      </c>
      <c r="E36" s="86" t="str">
        <f aca="false">IFERROR(INDEX(Orders!$E$5:$E$64,MATCH(28,$AB$5:$AB$64,0)),"")</f>
        <v/>
      </c>
      <c r="F36" s="45" t="str">
        <f aca="false">IFERROR(INDEX(Orders!$H$5:$H$64,MATCH(28,$AB$5:$AB$64,0)),"")</f>
        <v/>
      </c>
      <c r="G36" s="45" t="str">
        <f aca="false">IFERROR(INDEX(Orders!$U$5:$U$64,MATCH(28,$AB$5:$AB$64,0)),"")</f>
        <v/>
      </c>
      <c r="H36" s="45" t="str">
        <f aca="false">IFERROR(INDEX(Orders!$G$5:$G$64,MATCH(28,$AB$5:$AB$64,0)),"")</f>
        <v/>
      </c>
      <c r="I36" s="38" t="str">
        <f aca="false">IFERROR(INDEX(Orders!$AB$5:$AB$64,MATCH(28,$AB$5:$AB$64,0)),"")</f>
        <v/>
      </c>
      <c r="AB36" s="1" t="str">
        <f aca="false">IF(OR(Orders!$AB36="Awaiting Payment",Orders!$AB36="Overdue Payment"),MAX($AB$3:$AB35)+1,"")</f>
        <v/>
      </c>
    </row>
    <row r="37" customFormat="false" ht="15" hidden="false" customHeight="true" outlineLevel="0" collapsed="false">
      <c r="A37" s="36" t="str">
        <f aca="false">IFERROR(INDEX(Orders!$A$5:$A$64,MATCH(29,$AB$5:$AB$64,0)),"")</f>
        <v/>
      </c>
      <c r="B37" s="36" t="str">
        <f aca="false">IFERROR(INDEX(Orders!$B$5:$B$64,MATCH(29,$AB$5:$AB$64,0)),"")</f>
        <v/>
      </c>
      <c r="C37" s="36" t="str">
        <f aca="false">IFERROR(INDEX(Orders!$C$5:$C$64,MATCH(29,$AB$5:$AB$64,0)),"")</f>
        <v/>
      </c>
      <c r="D37" s="85" t="str">
        <f aca="false">IFERROR(INDEX(Orders!$K$5:$K$64,MATCH(29,$AB$5:$AB$64,0)),"")</f>
        <v/>
      </c>
      <c r="E37" s="85" t="str">
        <f aca="false">IFERROR(INDEX(Orders!$E$5:$E$64,MATCH(29,$AB$5:$AB$64,0)),"")</f>
        <v/>
      </c>
      <c r="F37" s="42" t="str">
        <f aca="false">IFERROR(INDEX(Orders!$H$5:$H$64,MATCH(29,$AB$5:$AB$64,0)),"")</f>
        <v/>
      </c>
      <c r="G37" s="42" t="str">
        <f aca="false">IFERROR(INDEX(Orders!$U$5:$U$64,MATCH(29,$AB$5:$AB$64,0)),"")</f>
        <v/>
      </c>
      <c r="H37" s="42" t="str">
        <f aca="false">IFERROR(INDEX(Orders!$G$5:$G$64,MATCH(29,$AB$5:$AB$64,0)),"")</f>
        <v/>
      </c>
      <c r="I37" s="36" t="str">
        <f aca="false">IFERROR(INDEX(Orders!$AB$5:$AB$64,MATCH(29,$AB$5:$AB$64,0)),"")</f>
        <v/>
      </c>
      <c r="AB37" s="1" t="str">
        <f aca="false">IF(OR(Orders!$AB37="Awaiting Payment",Orders!$AB37="Overdue Payment"),MAX($AB$3:$AB36)+1,"")</f>
        <v/>
      </c>
    </row>
    <row r="38" customFormat="false" ht="15" hidden="false" customHeight="true" outlineLevel="0" collapsed="false">
      <c r="A38" s="38" t="str">
        <f aca="false">IFERROR(INDEX(Orders!$A$5:$A$64,MATCH(30,$AB$5:$AB$64,0)),"")</f>
        <v/>
      </c>
      <c r="B38" s="38" t="str">
        <f aca="false">IFERROR(INDEX(Orders!$B$5:$B$64,MATCH(30,$AB$5:$AB$64,0)),"")</f>
        <v/>
      </c>
      <c r="C38" s="38" t="str">
        <f aca="false">IFERROR(INDEX(Orders!$C$5:$C$64,MATCH(30,$AB$5:$AB$64,0)),"")</f>
        <v/>
      </c>
      <c r="D38" s="86" t="str">
        <f aca="false">IFERROR(INDEX(Orders!$K$5:$K$64,MATCH(30,$AB$5:$AB$64,0)),"")</f>
        <v/>
      </c>
      <c r="E38" s="86" t="str">
        <f aca="false">IFERROR(INDEX(Orders!$E$5:$E$64,MATCH(30,$AB$5:$AB$64,0)),"")</f>
        <v/>
      </c>
      <c r="F38" s="45" t="str">
        <f aca="false">IFERROR(INDEX(Orders!$H$5:$H$64,MATCH(30,$AB$5:$AB$64,0)),"")</f>
        <v/>
      </c>
      <c r="G38" s="45" t="str">
        <f aca="false">IFERROR(INDEX(Orders!$U$5:$U$64,MATCH(30,$AB$5:$AB$64,0)),"")</f>
        <v/>
      </c>
      <c r="H38" s="45" t="str">
        <f aca="false">IFERROR(INDEX(Orders!$G$5:$G$64,MATCH(30,$AB$5:$AB$64,0)),"")</f>
        <v/>
      </c>
      <c r="I38" s="38" t="str">
        <f aca="false">IFERROR(INDEX(Orders!$AB$5:$AB$64,MATCH(30,$AB$5:$AB$64,0)),"")</f>
        <v/>
      </c>
      <c r="AB38" s="1" t="str">
        <f aca="false">IF(OR(Orders!$AB38="Awaiting Payment",Orders!$AB38="Overdue Payment"),MAX($AB$3:$AB37)+1,"")</f>
        <v/>
      </c>
    </row>
    <row r="39" customFormat="false" ht="15" hidden="false" customHeight="true" outlineLevel="0" collapsed="false">
      <c r="A39" s="36" t="str">
        <f aca="false">IFERROR(INDEX(Orders!$A$5:$A$64,MATCH(31,$AB$5:$AB$64,0)),"")</f>
        <v/>
      </c>
      <c r="B39" s="36" t="str">
        <f aca="false">IFERROR(INDEX(Orders!$B$5:$B$64,MATCH(31,$AB$5:$AB$64,0)),"")</f>
        <v/>
      </c>
      <c r="C39" s="36" t="str">
        <f aca="false">IFERROR(INDEX(Orders!$C$5:$C$64,MATCH(31,$AB$5:$AB$64,0)),"")</f>
        <v/>
      </c>
      <c r="D39" s="85" t="str">
        <f aca="false">IFERROR(INDEX(Orders!$K$5:$K$64,MATCH(31,$AB$5:$AB$64,0)),"")</f>
        <v/>
      </c>
      <c r="E39" s="85" t="str">
        <f aca="false">IFERROR(INDEX(Orders!$E$5:$E$64,MATCH(31,$AB$5:$AB$64,0)),"")</f>
        <v/>
      </c>
      <c r="F39" s="42" t="str">
        <f aca="false">IFERROR(INDEX(Orders!$H$5:$H$64,MATCH(31,$AB$5:$AB$64,0)),"")</f>
        <v/>
      </c>
      <c r="G39" s="42" t="str">
        <f aca="false">IFERROR(INDEX(Orders!$U$5:$U$64,MATCH(31,$AB$5:$AB$64,0)),"")</f>
        <v/>
      </c>
      <c r="H39" s="42" t="str">
        <f aca="false">IFERROR(INDEX(Orders!$G$5:$G$64,MATCH(31,$AB$5:$AB$64,0)),"")</f>
        <v/>
      </c>
      <c r="I39" s="36" t="str">
        <f aca="false">IFERROR(INDEX(Orders!$AB$5:$AB$64,MATCH(31,$AB$5:$AB$64,0)),"")</f>
        <v/>
      </c>
      <c r="AB39" s="1" t="str">
        <f aca="false">IF(OR(Orders!$AB39="Awaiting Payment",Orders!$AB39="Overdue Payment"),MAX($AB$3:$AB38)+1,"")</f>
        <v/>
      </c>
    </row>
    <row r="40" customFormat="false" ht="15" hidden="false" customHeight="true" outlineLevel="0" collapsed="false">
      <c r="A40" s="38" t="str">
        <f aca="false">IFERROR(INDEX(Orders!$A$5:$A$64,MATCH(32,$AB$5:$AB$64,0)),"")</f>
        <v/>
      </c>
      <c r="B40" s="38" t="str">
        <f aca="false">IFERROR(INDEX(Orders!$B$5:$B$64,MATCH(32,$AB$5:$AB$64,0)),"")</f>
        <v/>
      </c>
      <c r="C40" s="38" t="str">
        <f aca="false">IFERROR(INDEX(Orders!$C$5:$C$64,MATCH(32,$AB$5:$AB$64,0)),"")</f>
        <v/>
      </c>
      <c r="D40" s="86" t="str">
        <f aca="false">IFERROR(INDEX(Orders!$K$5:$K$64,MATCH(32,$AB$5:$AB$64,0)),"")</f>
        <v/>
      </c>
      <c r="E40" s="86" t="str">
        <f aca="false">IFERROR(INDEX(Orders!$E$5:$E$64,MATCH(32,$AB$5:$AB$64,0)),"")</f>
        <v/>
      </c>
      <c r="F40" s="45" t="str">
        <f aca="false">IFERROR(INDEX(Orders!$H$5:$H$64,MATCH(32,$AB$5:$AB$64,0)),"")</f>
        <v/>
      </c>
      <c r="G40" s="45" t="str">
        <f aca="false">IFERROR(INDEX(Orders!$U$5:$U$64,MATCH(32,$AB$5:$AB$64,0)),"")</f>
        <v/>
      </c>
      <c r="H40" s="45" t="str">
        <f aca="false">IFERROR(INDEX(Orders!$G$5:$G$64,MATCH(32,$AB$5:$AB$64,0)),"")</f>
        <v/>
      </c>
      <c r="I40" s="38" t="str">
        <f aca="false">IFERROR(INDEX(Orders!$AB$5:$AB$64,MATCH(32,$AB$5:$AB$64,0)),"")</f>
        <v/>
      </c>
      <c r="AB40" s="1" t="str">
        <f aca="false">IF(OR(Orders!$AB40="Awaiting Payment",Orders!$AB40="Overdue Payment"),MAX($AB$3:$AB39)+1,"")</f>
        <v/>
      </c>
    </row>
    <row r="41" customFormat="false" ht="15" hidden="false" customHeight="true" outlineLevel="0" collapsed="false">
      <c r="A41" s="36" t="str">
        <f aca="false">IFERROR(INDEX(Orders!$A$5:$A$64,MATCH(33,$AB$5:$AB$64,0)),"")</f>
        <v/>
      </c>
      <c r="B41" s="36" t="str">
        <f aca="false">IFERROR(INDEX(Orders!$B$5:$B$64,MATCH(33,$AB$5:$AB$64,0)),"")</f>
        <v/>
      </c>
      <c r="C41" s="36" t="str">
        <f aca="false">IFERROR(INDEX(Orders!$C$5:$C$64,MATCH(33,$AB$5:$AB$64,0)),"")</f>
        <v/>
      </c>
      <c r="D41" s="85" t="str">
        <f aca="false">IFERROR(INDEX(Orders!$K$5:$K$64,MATCH(33,$AB$5:$AB$64,0)),"")</f>
        <v/>
      </c>
      <c r="E41" s="85" t="str">
        <f aca="false">IFERROR(INDEX(Orders!$E$5:$E$64,MATCH(33,$AB$5:$AB$64,0)),"")</f>
        <v/>
      </c>
      <c r="F41" s="42" t="str">
        <f aca="false">IFERROR(INDEX(Orders!$H$5:$H$64,MATCH(33,$AB$5:$AB$64,0)),"")</f>
        <v/>
      </c>
      <c r="G41" s="42" t="str">
        <f aca="false">IFERROR(INDEX(Orders!$U$5:$U$64,MATCH(33,$AB$5:$AB$64,0)),"")</f>
        <v/>
      </c>
      <c r="H41" s="42" t="str">
        <f aca="false">IFERROR(INDEX(Orders!$G$5:$G$64,MATCH(33,$AB$5:$AB$64,0)),"")</f>
        <v/>
      </c>
      <c r="I41" s="36" t="str">
        <f aca="false">IFERROR(INDEX(Orders!$AB$5:$AB$64,MATCH(33,$AB$5:$AB$64,0)),"")</f>
        <v/>
      </c>
      <c r="AB41" s="1" t="str">
        <f aca="false">IF(OR(Orders!$AB41="Awaiting Payment",Orders!$AB41="Overdue Payment"),MAX($AB$3:$AB40)+1,"")</f>
        <v/>
      </c>
    </row>
    <row r="42" customFormat="false" ht="15" hidden="false" customHeight="true" outlineLevel="0" collapsed="false">
      <c r="A42" s="38" t="str">
        <f aca="false">IFERROR(INDEX(Orders!$A$5:$A$64,MATCH(34,$AB$5:$AB$64,0)),"")</f>
        <v/>
      </c>
      <c r="B42" s="38" t="str">
        <f aca="false">IFERROR(INDEX(Orders!$B$5:$B$64,MATCH(34,$AB$5:$AB$64,0)),"")</f>
        <v/>
      </c>
      <c r="C42" s="38" t="str">
        <f aca="false">IFERROR(INDEX(Orders!$C$5:$C$64,MATCH(34,$AB$5:$AB$64,0)),"")</f>
        <v/>
      </c>
      <c r="D42" s="86" t="str">
        <f aca="false">IFERROR(INDEX(Orders!$K$5:$K$64,MATCH(34,$AB$5:$AB$64,0)),"")</f>
        <v/>
      </c>
      <c r="E42" s="86" t="str">
        <f aca="false">IFERROR(INDEX(Orders!$E$5:$E$64,MATCH(34,$AB$5:$AB$64,0)),"")</f>
        <v/>
      </c>
      <c r="F42" s="45" t="str">
        <f aca="false">IFERROR(INDEX(Orders!$H$5:$H$64,MATCH(34,$AB$5:$AB$64,0)),"")</f>
        <v/>
      </c>
      <c r="G42" s="45" t="str">
        <f aca="false">IFERROR(INDEX(Orders!$U$5:$U$64,MATCH(34,$AB$5:$AB$64,0)),"")</f>
        <v/>
      </c>
      <c r="H42" s="45" t="str">
        <f aca="false">IFERROR(INDEX(Orders!$G$5:$G$64,MATCH(34,$AB$5:$AB$64,0)),"")</f>
        <v/>
      </c>
      <c r="I42" s="38" t="str">
        <f aca="false">IFERROR(INDEX(Orders!$AB$5:$AB$64,MATCH(34,$AB$5:$AB$64,0)),"")</f>
        <v/>
      </c>
      <c r="AB42" s="1" t="str">
        <f aca="false">IF(OR(Orders!$AB42="Awaiting Payment",Orders!$AB42="Overdue Payment"),MAX($AB$3:$AB41)+1,"")</f>
        <v/>
      </c>
    </row>
    <row r="43" customFormat="false" ht="15" hidden="false" customHeight="true" outlineLevel="0" collapsed="false">
      <c r="A43" s="36" t="str">
        <f aca="false">IFERROR(INDEX(Orders!$A$5:$A$64,MATCH(35,$AB$5:$AB$64,0)),"")</f>
        <v/>
      </c>
      <c r="B43" s="36" t="str">
        <f aca="false">IFERROR(INDEX(Orders!$B$5:$B$64,MATCH(35,$AB$5:$AB$64,0)),"")</f>
        <v/>
      </c>
      <c r="C43" s="36" t="str">
        <f aca="false">IFERROR(INDEX(Orders!$C$5:$C$64,MATCH(35,$AB$5:$AB$64,0)),"")</f>
        <v/>
      </c>
      <c r="D43" s="85" t="str">
        <f aca="false">IFERROR(INDEX(Orders!$K$5:$K$64,MATCH(35,$AB$5:$AB$64,0)),"")</f>
        <v/>
      </c>
      <c r="E43" s="85" t="str">
        <f aca="false">IFERROR(INDEX(Orders!$E$5:$E$64,MATCH(35,$AB$5:$AB$64,0)),"")</f>
        <v/>
      </c>
      <c r="F43" s="42" t="str">
        <f aca="false">IFERROR(INDEX(Orders!$H$5:$H$64,MATCH(35,$AB$5:$AB$64,0)),"")</f>
        <v/>
      </c>
      <c r="G43" s="42" t="str">
        <f aca="false">IFERROR(INDEX(Orders!$U$5:$U$64,MATCH(35,$AB$5:$AB$64,0)),"")</f>
        <v/>
      </c>
      <c r="H43" s="42" t="str">
        <f aca="false">IFERROR(INDEX(Orders!$G$5:$G$64,MATCH(35,$AB$5:$AB$64,0)),"")</f>
        <v/>
      </c>
      <c r="I43" s="36" t="str">
        <f aca="false">IFERROR(INDEX(Orders!$AB$5:$AB$64,MATCH(35,$AB$5:$AB$64,0)),"")</f>
        <v/>
      </c>
      <c r="AB43" s="1" t="str">
        <f aca="false">IF(OR(Orders!$AB43="Awaiting Payment",Orders!$AB43="Overdue Payment"),MAX($AB$3:$AB42)+1,"")</f>
        <v/>
      </c>
    </row>
    <row r="44" customFormat="false" ht="15" hidden="false" customHeight="true" outlineLevel="0" collapsed="false">
      <c r="A44" s="38" t="str">
        <f aca="false">IFERROR(INDEX(Orders!$A$5:$A$64,MATCH(36,$AB$5:$AB$64,0)),"")</f>
        <v/>
      </c>
      <c r="B44" s="38" t="str">
        <f aca="false">IFERROR(INDEX(Orders!$B$5:$B$64,MATCH(36,$AB$5:$AB$64,0)),"")</f>
        <v/>
      </c>
      <c r="C44" s="38" t="str">
        <f aca="false">IFERROR(INDEX(Orders!$C$5:$C$64,MATCH(36,$AB$5:$AB$64,0)),"")</f>
        <v/>
      </c>
      <c r="D44" s="86" t="str">
        <f aca="false">IFERROR(INDEX(Orders!$K$5:$K$64,MATCH(36,$AB$5:$AB$64,0)),"")</f>
        <v/>
      </c>
      <c r="E44" s="86" t="str">
        <f aca="false">IFERROR(INDEX(Orders!$E$5:$E$64,MATCH(36,$AB$5:$AB$64,0)),"")</f>
        <v/>
      </c>
      <c r="F44" s="45" t="str">
        <f aca="false">IFERROR(INDEX(Orders!$H$5:$H$64,MATCH(36,$AB$5:$AB$64,0)),"")</f>
        <v/>
      </c>
      <c r="G44" s="45" t="str">
        <f aca="false">IFERROR(INDEX(Orders!$U$5:$U$64,MATCH(36,$AB$5:$AB$64,0)),"")</f>
        <v/>
      </c>
      <c r="H44" s="45" t="str">
        <f aca="false">IFERROR(INDEX(Orders!$G$5:$G$64,MATCH(36,$AB$5:$AB$64,0)),"")</f>
        <v/>
      </c>
      <c r="I44" s="38" t="str">
        <f aca="false">IFERROR(INDEX(Orders!$AB$5:$AB$64,MATCH(36,$AB$5:$AB$64,0)),"")</f>
        <v/>
      </c>
      <c r="AB44" s="1" t="str">
        <f aca="false">IF(OR(Orders!$AB44="Awaiting Payment",Orders!$AB44="Overdue Payment"),MAX($AB$3:$AB43)+1,"")</f>
        <v/>
      </c>
    </row>
    <row r="45" customFormat="false" ht="15" hidden="false" customHeight="true" outlineLevel="0" collapsed="false">
      <c r="A45" s="36" t="str">
        <f aca="false">IFERROR(INDEX(Orders!$A$5:$A$64,MATCH(37,$AB$5:$AB$64,0)),"")</f>
        <v/>
      </c>
      <c r="B45" s="36" t="str">
        <f aca="false">IFERROR(INDEX(Orders!$B$5:$B$64,MATCH(37,$AB$5:$AB$64,0)),"")</f>
        <v/>
      </c>
      <c r="C45" s="36" t="str">
        <f aca="false">IFERROR(INDEX(Orders!$C$5:$C$64,MATCH(37,$AB$5:$AB$64,0)),"")</f>
        <v/>
      </c>
      <c r="D45" s="85" t="str">
        <f aca="false">IFERROR(INDEX(Orders!$K$5:$K$64,MATCH(37,$AB$5:$AB$64,0)),"")</f>
        <v/>
      </c>
      <c r="E45" s="85" t="str">
        <f aca="false">IFERROR(INDEX(Orders!$E$5:$E$64,MATCH(37,$AB$5:$AB$64,0)),"")</f>
        <v/>
      </c>
      <c r="F45" s="42" t="str">
        <f aca="false">IFERROR(INDEX(Orders!$H$5:$H$64,MATCH(37,$AB$5:$AB$64,0)),"")</f>
        <v/>
      </c>
      <c r="G45" s="42" t="str">
        <f aca="false">IFERROR(INDEX(Orders!$U$5:$U$64,MATCH(37,$AB$5:$AB$64,0)),"")</f>
        <v/>
      </c>
      <c r="H45" s="42" t="str">
        <f aca="false">IFERROR(INDEX(Orders!$G$5:$G$64,MATCH(37,$AB$5:$AB$64,0)),"")</f>
        <v/>
      </c>
      <c r="I45" s="36" t="str">
        <f aca="false">IFERROR(INDEX(Orders!$AB$5:$AB$64,MATCH(37,$AB$5:$AB$64,0)),"")</f>
        <v/>
      </c>
      <c r="AB45" s="1" t="str">
        <f aca="false">IF(OR(Orders!$AB45="Awaiting Payment",Orders!$AB45="Overdue Payment"),MAX($AB$3:$AB44)+1,"")</f>
        <v/>
      </c>
    </row>
    <row r="46" customFormat="false" ht="15" hidden="false" customHeight="true" outlineLevel="0" collapsed="false">
      <c r="A46" s="38" t="str">
        <f aca="false">IFERROR(INDEX(Orders!$A$5:$A$64,MATCH(38,$AB$5:$AB$64,0)),"")</f>
        <v/>
      </c>
      <c r="B46" s="38" t="str">
        <f aca="false">IFERROR(INDEX(Orders!$B$5:$B$64,MATCH(38,$AB$5:$AB$64,0)),"")</f>
        <v/>
      </c>
      <c r="C46" s="38" t="str">
        <f aca="false">IFERROR(INDEX(Orders!$C$5:$C$64,MATCH(38,$AB$5:$AB$64,0)),"")</f>
        <v/>
      </c>
      <c r="D46" s="86" t="str">
        <f aca="false">IFERROR(INDEX(Orders!$K$5:$K$64,MATCH(38,$AB$5:$AB$64,0)),"")</f>
        <v/>
      </c>
      <c r="E46" s="86" t="str">
        <f aca="false">IFERROR(INDEX(Orders!$E$5:$E$64,MATCH(38,$AB$5:$AB$64,0)),"")</f>
        <v/>
      </c>
      <c r="F46" s="45" t="str">
        <f aca="false">IFERROR(INDEX(Orders!$H$5:$H$64,MATCH(38,$AB$5:$AB$64,0)),"")</f>
        <v/>
      </c>
      <c r="G46" s="45" t="str">
        <f aca="false">IFERROR(INDEX(Orders!$U$5:$U$64,MATCH(38,$AB$5:$AB$64,0)),"")</f>
        <v/>
      </c>
      <c r="H46" s="45" t="str">
        <f aca="false">IFERROR(INDEX(Orders!$G$5:$G$64,MATCH(38,$AB$5:$AB$64,0)),"")</f>
        <v/>
      </c>
      <c r="I46" s="38" t="str">
        <f aca="false">IFERROR(INDEX(Orders!$AB$5:$AB$64,MATCH(38,$AB$5:$AB$64,0)),"")</f>
        <v/>
      </c>
      <c r="AB46" s="1" t="str">
        <f aca="false">IF(OR(Orders!$AB46="Awaiting Payment",Orders!$AB46="Overdue Payment"),MAX($AB$3:$AB45)+1,"")</f>
        <v/>
      </c>
    </row>
    <row r="47" customFormat="false" ht="15" hidden="false" customHeight="true" outlineLevel="0" collapsed="false">
      <c r="A47" s="36" t="str">
        <f aca="false">IFERROR(INDEX(Orders!$A$5:$A$64,MATCH(39,$AB$5:$AB$64,0)),"")</f>
        <v/>
      </c>
      <c r="B47" s="36" t="str">
        <f aca="false">IFERROR(INDEX(Orders!$B$5:$B$64,MATCH(39,$AB$5:$AB$64,0)),"")</f>
        <v/>
      </c>
      <c r="C47" s="36" t="str">
        <f aca="false">IFERROR(INDEX(Orders!$C$5:$C$64,MATCH(39,$AB$5:$AB$64,0)),"")</f>
        <v/>
      </c>
      <c r="D47" s="85" t="str">
        <f aca="false">IFERROR(INDEX(Orders!$K$5:$K$64,MATCH(39,$AB$5:$AB$64,0)),"")</f>
        <v/>
      </c>
      <c r="E47" s="85" t="str">
        <f aca="false">IFERROR(INDEX(Orders!$E$5:$E$64,MATCH(39,$AB$5:$AB$64,0)),"")</f>
        <v/>
      </c>
      <c r="F47" s="42" t="str">
        <f aca="false">IFERROR(INDEX(Orders!$H$5:$H$64,MATCH(39,$AB$5:$AB$64,0)),"")</f>
        <v/>
      </c>
      <c r="G47" s="42" t="str">
        <f aca="false">IFERROR(INDEX(Orders!$U$5:$U$64,MATCH(39,$AB$5:$AB$64,0)),"")</f>
        <v/>
      </c>
      <c r="H47" s="42" t="str">
        <f aca="false">IFERROR(INDEX(Orders!$G$5:$G$64,MATCH(39,$AB$5:$AB$64,0)),"")</f>
        <v/>
      </c>
      <c r="I47" s="36" t="str">
        <f aca="false">IFERROR(INDEX(Orders!$AB$5:$AB$64,MATCH(39,$AB$5:$AB$64,0)),"")</f>
        <v/>
      </c>
      <c r="AB47" s="1" t="str">
        <f aca="false">IF(OR(Orders!$AB47="Awaiting Payment",Orders!$AB47="Overdue Payment"),MAX($AB$3:$AB46)+1,"")</f>
        <v/>
      </c>
    </row>
    <row r="48" customFormat="false" ht="15" hidden="false" customHeight="true" outlineLevel="0" collapsed="false">
      <c r="A48" s="38" t="str">
        <f aca="false">IFERROR(INDEX(Orders!$A$5:$A$64,MATCH(40,$AB$5:$AB$64,0)),"")</f>
        <v/>
      </c>
      <c r="B48" s="38" t="str">
        <f aca="false">IFERROR(INDEX(Orders!$B$5:$B$64,MATCH(40,$AB$5:$AB$64,0)),"")</f>
        <v/>
      </c>
      <c r="C48" s="38" t="str">
        <f aca="false">IFERROR(INDEX(Orders!$C$5:$C$64,MATCH(40,$AB$5:$AB$64,0)),"")</f>
        <v/>
      </c>
      <c r="D48" s="86" t="str">
        <f aca="false">IFERROR(INDEX(Orders!$K$5:$K$64,MATCH(40,$AB$5:$AB$64,0)),"")</f>
        <v/>
      </c>
      <c r="E48" s="86" t="str">
        <f aca="false">IFERROR(INDEX(Orders!$E$5:$E$64,MATCH(40,$AB$5:$AB$64,0)),"")</f>
        <v/>
      </c>
      <c r="F48" s="45" t="str">
        <f aca="false">IFERROR(INDEX(Orders!$H$5:$H$64,MATCH(40,$AB$5:$AB$64,0)),"")</f>
        <v/>
      </c>
      <c r="G48" s="45" t="str">
        <f aca="false">IFERROR(INDEX(Orders!$U$5:$U$64,MATCH(40,$AB$5:$AB$64,0)),"")</f>
        <v/>
      </c>
      <c r="H48" s="45" t="str">
        <f aca="false">IFERROR(INDEX(Orders!$G$5:$G$64,MATCH(40,$AB$5:$AB$64,0)),"")</f>
        <v/>
      </c>
      <c r="I48" s="38" t="str">
        <f aca="false">IFERROR(INDEX(Orders!$AB$5:$AB$64,MATCH(40,$AB$5:$AB$64,0)),"")</f>
        <v/>
      </c>
      <c r="AB48" s="1" t="str">
        <f aca="false">IF(OR(Orders!$AB48="Awaiting Payment",Orders!$AB48="Overdue Payment"),MAX($AB$3:$AB47)+1,"")</f>
        <v/>
      </c>
    </row>
    <row r="49" customFormat="false" ht="15" hidden="false" customHeight="true" outlineLevel="0" collapsed="false">
      <c r="A49" s="36" t="str">
        <f aca="false">IFERROR(INDEX(Orders!$A$5:$A$64,MATCH(41,$AB$5:$AB$64,0)),"")</f>
        <v/>
      </c>
      <c r="B49" s="36" t="str">
        <f aca="false">IFERROR(INDEX(Orders!$B$5:$B$64,MATCH(41,$AB$5:$AB$64,0)),"")</f>
        <v/>
      </c>
      <c r="C49" s="36" t="str">
        <f aca="false">IFERROR(INDEX(Orders!$C$5:$C$64,MATCH(41,$AB$5:$AB$64,0)),"")</f>
        <v/>
      </c>
      <c r="D49" s="85" t="str">
        <f aca="false">IFERROR(INDEX(Orders!$K$5:$K$64,MATCH(41,$AB$5:$AB$64,0)),"")</f>
        <v/>
      </c>
      <c r="E49" s="85" t="str">
        <f aca="false">IFERROR(INDEX(Orders!$E$5:$E$64,MATCH(41,$AB$5:$AB$64,0)),"")</f>
        <v/>
      </c>
      <c r="F49" s="42" t="str">
        <f aca="false">IFERROR(INDEX(Orders!$H$5:$H$64,MATCH(41,$AB$5:$AB$64,0)),"")</f>
        <v/>
      </c>
      <c r="G49" s="42" t="str">
        <f aca="false">IFERROR(INDEX(Orders!$U$5:$U$64,MATCH(41,$AB$5:$AB$64,0)),"")</f>
        <v/>
      </c>
      <c r="H49" s="42" t="str">
        <f aca="false">IFERROR(INDEX(Orders!$G$5:$G$64,MATCH(41,$AB$5:$AB$64,0)),"")</f>
        <v/>
      </c>
      <c r="I49" s="36" t="str">
        <f aca="false">IFERROR(INDEX(Orders!$AB$5:$AB$64,MATCH(41,$AB$5:$AB$64,0)),"")</f>
        <v/>
      </c>
      <c r="AB49" s="1" t="str">
        <f aca="false">IF(OR(Orders!$AB49="Awaiting Payment",Orders!$AB49="Overdue Payment"),MAX($AB$3:$AB48)+1,"")</f>
        <v/>
      </c>
    </row>
    <row r="50" customFormat="false" ht="15" hidden="false" customHeight="true" outlineLevel="0" collapsed="false">
      <c r="A50" s="38" t="str">
        <f aca="false">IFERROR(INDEX(Orders!$A$5:$A$64,MATCH(42,$AB$5:$AB$64,0)),"")</f>
        <v/>
      </c>
      <c r="B50" s="38" t="str">
        <f aca="false">IFERROR(INDEX(Orders!$B$5:$B$64,MATCH(42,$AB$5:$AB$64,0)),"")</f>
        <v/>
      </c>
      <c r="C50" s="38" t="str">
        <f aca="false">IFERROR(INDEX(Orders!$C$5:$C$64,MATCH(42,$AB$5:$AB$64,0)),"")</f>
        <v/>
      </c>
      <c r="D50" s="86" t="str">
        <f aca="false">IFERROR(INDEX(Orders!$K$5:$K$64,MATCH(42,$AB$5:$AB$64,0)),"")</f>
        <v/>
      </c>
      <c r="E50" s="86" t="str">
        <f aca="false">IFERROR(INDEX(Orders!$E$5:$E$64,MATCH(42,$AB$5:$AB$64,0)),"")</f>
        <v/>
      </c>
      <c r="F50" s="45" t="str">
        <f aca="false">IFERROR(INDEX(Orders!$H$5:$H$64,MATCH(42,$AB$5:$AB$64,0)),"")</f>
        <v/>
      </c>
      <c r="G50" s="45" t="str">
        <f aca="false">IFERROR(INDEX(Orders!$U$5:$U$64,MATCH(42,$AB$5:$AB$64,0)),"")</f>
        <v/>
      </c>
      <c r="H50" s="45" t="str">
        <f aca="false">IFERROR(INDEX(Orders!$G$5:$G$64,MATCH(42,$AB$5:$AB$64,0)),"")</f>
        <v/>
      </c>
      <c r="I50" s="38" t="str">
        <f aca="false">IFERROR(INDEX(Orders!$AB$5:$AB$64,MATCH(42,$AB$5:$AB$64,0)),"")</f>
        <v/>
      </c>
      <c r="AB50" s="1" t="str">
        <f aca="false">IF(OR(Orders!$AB50="Awaiting Payment",Orders!$AB50="Overdue Payment"),MAX($AB$3:$AB49)+1,"")</f>
        <v/>
      </c>
    </row>
    <row r="51" customFormat="false" ht="15" hidden="false" customHeight="true" outlineLevel="0" collapsed="false">
      <c r="A51" s="36" t="str">
        <f aca="false">IFERROR(INDEX(Orders!$A$5:$A$64,MATCH(43,$AB$5:$AB$64,0)),"")</f>
        <v/>
      </c>
      <c r="B51" s="36" t="str">
        <f aca="false">IFERROR(INDEX(Orders!$B$5:$B$64,MATCH(43,$AB$5:$AB$64,0)),"")</f>
        <v/>
      </c>
      <c r="C51" s="36" t="str">
        <f aca="false">IFERROR(INDEX(Orders!$C$5:$C$64,MATCH(43,$AB$5:$AB$64,0)),"")</f>
        <v/>
      </c>
      <c r="D51" s="85" t="str">
        <f aca="false">IFERROR(INDEX(Orders!$K$5:$K$64,MATCH(43,$AB$5:$AB$64,0)),"")</f>
        <v/>
      </c>
      <c r="E51" s="85" t="str">
        <f aca="false">IFERROR(INDEX(Orders!$E$5:$E$64,MATCH(43,$AB$5:$AB$64,0)),"")</f>
        <v/>
      </c>
      <c r="F51" s="42" t="str">
        <f aca="false">IFERROR(INDEX(Orders!$H$5:$H$64,MATCH(43,$AB$5:$AB$64,0)),"")</f>
        <v/>
      </c>
      <c r="G51" s="42" t="str">
        <f aca="false">IFERROR(INDEX(Orders!$U$5:$U$64,MATCH(43,$AB$5:$AB$64,0)),"")</f>
        <v/>
      </c>
      <c r="H51" s="42" t="str">
        <f aca="false">IFERROR(INDEX(Orders!$G$5:$G$64,MATCH(43,$AB$5:$AB$64,0)),"")</f>
        <v/>
      </c>
      <c r="I51" s="36" t="str">
        <f aca="false">IFERROR(INDEX(Orders!$AB$5:$AB$64,MATCH(43,$AB$5:$AB$64,0)),"")</f>
        <v/>
      </c>
      <c r="AB51" s="1" t="str">
        <f aca="false">IF(OR(Orders!$AB51="Awaiting Payment",Orders!$AB51="Overdue Payment"),MAX($AB$3:$AB50)+1,"")</f>
        <v/>
      </c>
    </row>
    <row r="52" customFormat="false" ht="15" hidden="false" customHeight="true" outlineLevel="0" collapsed="false">
      <c r="A52" s="38" t="str">
        <f aca="false">IFERROR(INDEX(Orders!$A$5:$A$64,MATCH(44,$AB$5:$AB$64,0)),"")</f>
        <v/>
      </c>
      <c r="B52" s="38" t="str">
        <f aca="false">IFERROR(INDEX(Orders!$B$5:$B$64,MATCH(44,$AB$5:$AB$64,0)),"")</f>
        <v/>
      </c>
      <c r="C52" s="38" t="str">
        <f aca="false">IFERROR(INDEX(Orders!$C$5:$C$64,MATCH(44,$AB$5:$AB$64,0)),"")</f>
        <v/>
      </c>
      <c r="D52" s="86" t="str">
        <f aca="false">IFERROR(INDEX(Orders!$K$5:$K$64,MATCH(44,$AB$5:$AB$64,0)),"")</f>
        <v/>
      </c>
      <c r="E52" s="86" t="str">
        <f aca="false">IFERROR(INDEX(Orders!$E$5:$E$64,MATCH(44,$AB$5:$AB$64,0)),"")</f>
        <v/>
      </c>
      <c r="F52" s="45" t="str">
        <f aca="false">IFERROR(INDEX(Orders!$H$5:$H$64,MATCH(44,$AB$5:$AB$64,0)),"")</f>
        <v/>
      </c>
      <c r="G52" s="45" t="str">
        <f aca="false">IFERROR(INDEX(Orders!$U$5:$U$64,MATCH(44,$AB$5:$AB$64,0)),"")</f>
        <v/>
      </c>
      <c r="H52" s="45" t="str">
        <f aca="false">IFERROR(INDEX(Orders!$G$5:$G$64,MATCH(44,$AB$5:$AB$64,0)),"")</f>
        <v/>
      </c>
      <c r="I52" s="38" t="str">
        <f aca="false">IFERROR(INDEX(Orders!$AB$5:$AB$64,MATCH(44,$AB$5:$AB$64,0)),"")</f>
        <v/>
      </c>
      <c r="AB52" s="1" t="str">
        <f aca="false">IF(OR(Orders!$AB52="Awaiting Payment",Orders!$AB52="Overdue Payment"),MAX($AB$3:$AB51)+1,"")</f>
        <v/>
      </c>
    </row>
    <row r="53" customFormat="false" ht="15" hidden="false" customHeight="true" outlineLevel="0" collapsed="false">
      <c r="A53" s="36" t="str">
        <f aca="false">IFERROR(INDEX(Orders!$A$5:$A$64,MATCH(45,$AB$5:$AB$64,0)),"")</f>
        <v/>
      </c>
      <c r="B53" s="36" t="str">
        <f aca="false">IFERROR(INDEX(Orders!$B$5:$B$64,MATCH(45,$AB$5:$AB$64,0)),"")</f>
        <v/>
      </c>
      <c r="C53" s="36" t="str">
        <f aca="false">IFERROR(INDEX(Orders!$C$5:$C$64,MATCH(45,$AB$5:$AB$64,0)),"")</f>
        <v/>
      </c>
      <c r="D53" s="85" t="str">
        <f aca="false">IFERROR(INDEX(Orders!$K$5:$K$64,MATCH(45,$AB$5:$AB$64,0)),"")</f>
        <v/>
      </c>
      <c r="E53" s="85" t="str">
        <f aca="false">IFERROR(INDEX(Orders!$E$5:$E$64,MATCH(45,$AB$5:$AB$64,0)),"")</f>
        <v/>
      </c>
      <c r="F53" s="42" t="str">
        <f aca="false">IFERROR(INDEX(Orders!$H$5:$H$64,MATCH(45,$AB$5:$AB$64,0)),"")</f>
        <v/>
      </c>
      <c r="G53" s="42" t="str">
        <f aca="false">IFERROR(INDEX(Orders!$U$5:$U$64,MATCH(45,$AB$5:$AB$64,0)),"")</f>
        <v/>
      </c>
      <c r="H53" s="42" t="str">
        <f aca="false">IFERROR(INDEX(Orders!$G$5:$G$64,MATCH(45,$AB$5:$AB$64,0)),"")</f>
        <v/>
      </c>
      <c r="I53" s="36" t="str">
        <f aca="false">IFERROR(INDEX(Orders!$AB$5:$AB$64,MATCH(45,$AB$5:$AB$64,0)),"")</f>
        <v/>
      </c>
      <c r="AB53" s="1" t="str">
        <f aca="false">IF(OR(Orders!$AB53="Awaiting Payment",Orders!$AB53="Overdue Payment"),MAX($AB$3:$AB52)+1,"")</f>
        <v/>
      </c>
    </row>
    <row r="54" customFormat="false" ht="15" hidden="false" customHeight="true" outlineLevel="0" collapsed="false">
      <c r="A54" s="38" t="str">
        <f aca="false">IFERROR(INDEX(Orders!$A$5:$A$64,MATCH(46,$AB$5:$AB$64,0)),"")</f>
        <v/>
      </c>
      <c r="B54" s="38" t="str">
        <f aca="false">IFERROR(INDEX(Orders!$B$5:$B$64,MATCH(46,$AB$5:$AB$64,0)),"")</f>
        <v/>
      </c>
      <c r="C54" s="38" t="str">
        <f aca="false">IFERROR(INDEX(Orders!$C$5:$C$64,MATCH(46,$AB$5:$AB$64,0)),"")</f>
        <v/>
      </c>
      <c r="D54" s="86" t="str">
        <f aca="false">IFERROR(INDEX(Orders!$K$5:$K$64,MATCH(46,$AB$5:$AB$64,0)),"")</f>
        <v/>
      </c>
      <c r="E54" s="86" t="str">
        <f aca="false">IFERROR(INDEX(Orders!$E$5:$E$64,MATCH(46,$AB$5:$AB$64,0)),"")</f>
        <v/>
      </c>
      <c r="F54" s="45" t="str">
        <f aca="false">IFERROR(INDEX(Orders!$H$5:$H$64,MATCH(46,$AB$5:$AB$64,0)),"")</f>
        <v/>
      </c>
      <c r="G54" s="45" t="str">
        <f aca="false">IFERROR(INDEX(Orders!$U$5:$U$64,MATCH(46,$AB$5:$AB$64,0)),"")</f>
        <v/>
      </c>
      <c r="H54" s="45" t="str">
        <f aca="false">IFERROR(INDEX(Orders!$G$5:$G$64,MATCH(46,$AB$5:$AB$64,0)),"")</f>
        <v/>
      </c>
      <c r="I54" s="38" t="str">
        <f aca="false">IFERROR(INDEX(Orders!$AB$5:$AB$64,MATCH(46,$AB$5:$AB$64,0)),"")</f>
        <v/>
      </c>
      <c r="AB54" s="1" t="str">
        <f aca="false">IF(OR(Orders!$AB54="Awaiting Payment",Orders!$AB54="Overdue Payment"),MAX($AB$3:$AB53)+1,"")</f>
        <v/>
      </c>
    </row>
    <row r="55" customFormat="false" ht="15" hidden="false" customHeight="true" outlineLevel="0" collapsed="false">
      <c r="A55" s="36" t="str">
        <f aca="false">IFERROR(INDEX(Orders!$A$5:$A$64,MATCH(47,$AB$5:$AB$64,0)),"")</f>
        <v/>
      </c>
      <c r="B55" s="36" t="str">
        <f aca="false">IFERROR(INDEX(Orders!$B$5:$B$64,MATCH(47,$AB$5:$AB$64,0)),"")</f>
        <v/>
      </c>
      <c r="C55" s="36" t="str">
        <f aca="false">IFERROR(INDEX(Orders!$C$5:$C$64,MATCH(47,$AB$5:$AB$64,0)),"")</f>
        <v/>
      </c>
      <c r="D55" s="85" t="str">
        <f aca="false">IFERROR(INDEX(Orders!$K$5:$K$64,MATCH(47,$AB$5:$AB$64,0)),"")</f>
        <v/>
      </c>
      <c r="E55" s="85" t="str">
        <f aca="false">IFERROR(INDEX(Orders!$E$5:$E$64,MATCH(47,$AB$5:$AB$64,0)),"")</f>
        <v/>
      </c>
      <c r="F55" s="42" t="str">
        <f aca="false">IFERROR(INDEX(Orders!$H$5:$H$64,MATCH(47,$AB$5:$AB$64,0)),"")</f>
        <v/>
      </c>
      <c r="G55" s="42" t="str">
        <f aca="false">IFERROR(INDEX(Orders!$U$5:$U$64,MATCH(47,$AB$5:$AB$64,0)),"")</f>
        <v/>
      </c>
      <c r="H55" s="42" t="str">
        <f aca="false">IFERROR(INDEX(Orders!$G$5:$G$64,MATCH(47,$AB$5:$AB$64,0)),"")</f>
        <v/>
      </c>
      <c r="I55" s="36" t="str">
        <f aca="false">IFERROR(INDEX(Orders!$AB$5:$AB$64,MATCH(47,$AB$5:$AB$64,0)),"")</f>
        <v/>
      </c>
      <c r="AB55" s="1" t="str">
        <f aca="false">IF(OR(Orders!$AB55="Awaiting Payment",Orders!$AB55="Overdue Payment"),MAX($AB$3:$AB54)+1,"")</f>
        <v/>
      </c>
    </row>
    <row r="56" customFormat="false" ht="15" hidden="false" customHeight="true" outlineLevel="0" collapsed="false">
      <c r="A56" s="38" t="str">
        <f aca="false">IFERROR(INDEX(Orders!$A$5:$A$64,MATCH(48,$AB$5:$AB$64,0)),"")</f>
        <v/>
      </c>
      <c r="B56" s="38" t="str">
        <f aca="false">IFERROR(INDEX(Orders!$B$5:$B$64,MATCH(48,$AB$5:$AB$64,0)),"")</f>
        <v/>
      </c>
      <c r="C56" s="38" t="str">
        <f aca="false">IFERROR(INDEX(Orders!$C$5:$C$64,MATCH(48,$AB$5:$AB$64,0)),"")</f>
        <v/>
      </c>
      <c r="D56" s="86" t="str">
        <f aca="false">IFERROR(INDEX(Orders!$K$5:$K$64,MATCH(48,$AB$5:$AB$64,0)),"")</f>
        <v/>
      </c>
      <c r="E56" s="86" t="str">
        <f aca="false">IFERROR(INDEX(Orders!$E$5:$E$64,MATCH(48,$AB$5:$AB$64,0)),"")</f>
        <v/>
      </c>
      <c r="F56" s="45" t="str">
        <f aca="false">IFERROR(INDEX(Orders!$H$5:$H$64,MATCH(48,$AB$5:$AB$64,0)),"")</f>
        <v/>
      </c>
      <c r="G56" s="45" t="str">
        <f aca="false">IFERROR(INDEX(Orders!$U$5:$U$64,MATCH(48,$AB$5:$AB$64,0)),"")</f>
        <v/>
      </c>
      <c r="H56" s="45" t="str">
        <f aca="false">IFERROR(INDEX(Orders!$G$5:$G$64,MATCH(48,$AB$5:$AB$64,0)),"")</f>
        <v/>
      </c>
      <c r="I56" s="38" t="str">
        <f aca="false">IFERROR(INDEX(Orders!$AB$5:$AB$64,MATCH(48,$AB$5:$AB$64,0)),"")</f>
        <v/>
      </c>
      <c r="AB56" s="1" t="str">
        <f aca="false">IF(OR(Orders!$AB56="Awaiting Payment",Orders!$AB56="Overdue Payment"),MAX($AB$3:$AB55)+1,"")</f>
        <v/>
      </c>
    </row>
    <row r="57" customFormat="false" ht="15" hidden="false" customHeight="true" outlineLevel="0" collapsed="false">
      <c r="A57" s="36" t="str">
        <f aca="false">IFERROR(INDEX(Orders!$A$5:$A$64,MATCH(49,$AB$5:$AB$64,0)),"")</f>
        <v/>
      </c>
      <c r="B57" s="36" t="str">
        <f aca="false">IFERROR(INDEX(Orders!$B$5:$B$64,MATCH(49,$AB$5:$AB$64,0)),"")</f>
        <v/>
      </c>
      <c r="C57" s="36" t="str">
        <f aca="false">IFERROR(INDEX(Orders!$C$5:$C$64,MATCH(49,$AB$5:$AB$64,0)),"")</f>
        <v/>
      </c>
      <c r="D57" s="85" t="str">
        <f aca="false">IFERROR(INDEX(Orders!$K$5:$K$64,MATCH(49,$AB$5:$AB$64,0)),"")</f>
        <v/>
      </c>
      <c r="E57" s="85" t="str">
        <f aca="false">IFERROR(INDEX(Orders!$E$5:$E$64,MATCH(49,$AB$5:$AB$64,0)),"")</f>
        <v/>
      </c>
      <c r="F57" s="42" t="str">
        <f aca="false">IFERROR(INDEX(Orders!$H$5:$H$64,MATCH(49,$AB$5:$AB$64,0)),"")</f>
        <v/>
      </c>
      <c r="G57" s="42" t="str">
        <f aca="false">IFERROR(INDEX(Orders!$U$5:$U$64,MATCH(49,$AB$5:$AB$64,0)),"")</f>
        <v/>
      </c>
      <c r="H57" s="42" t="str">
        <f aca="false">IFERROR(INDEX(Orders!$G$5:$G$64,MATCH(49,$AB$5:$AB$64,0)),"")</f>
        <v/>
      </c>
      <c r="I57" s="36" t="str">
        <f aca="false">IFERROR(INDEX(Orders!$AB$5:$AB$64,MATCH(49,$AB$5:$AB$64,0)),"")</f>
        <v/>
      </c>
      <c r="AB57" s="1" t="str">
        <f aca="false">IF(OR(Orders!$AB57="Awaiting Payment",Orders!$AB57="Overdue Payment"),MAX($AB$3:$AB56)+1,"")</f>
        <v/>
      </c>
    </row>
    <row r="58" customFormat="false" ht="15" hidden="false" customHeight="true" outlineLevel="0" collapsed="false">
      <c r="A58" s="38" t="str">
        <f aca="false">IFERROR(INDEX(Orders!$A$5:$A$64,MATCH(50,$AB$5:$AB$64,0)),"")</f>
        <v/>
      </c>
      <c r="B58" s="38" t="str">
        <f aca="false">IFERROR(INDEX(Orders!$B$5:$B$64,MATCH(50,$AB$5:$AB$64,0)),"")</f>
        <v/>
      </c>
      <c r="C58" s="38" t="str">
        <f aca="false">IFERROR(INDEX(Orders!$C$5:$C$64,MATCH(50,$AB$5:$AB$64,0)),"")</f>
        <v/>
      </c>
      <c r="D58" s="86" t="str">
        <f aca="false">IFERROR(INDEX(Orders!$K$5:$K$64,MATCH(50,$AB$5:$AB$64,0)),"")</f>
        <v/>
      </c>
      <c r="E58" s="86" t="str">
        <f aca="false">IFERROR(INDEX(Orders!$E$5:$E$64,MATCH(50,$AB$5:$AB$64,0)),"")</f>
        <v/>
      </c>
      <c r="F58" s="45" t="str">
        <f aca="false">IFERROR(INDEX(Orders!$H$5:$H$64,MATCH(50,$AB$5:$AB$64,0)),"")</f>
        <v/>
      </c>
      <c r="G58" s="45" t="str">
        <f aca="false">IFERROR(INDEX(Orders!$U$5:$U$64,MATCH(50,$AB$5:$AB$64,0)),"")</f>
        <v/>
      </c>
      <c r="H58" s="45" t="str">
        <f aca="false">IFERROR(INDEX(Orders!$G$5:$G$64,MATCH(50,$AB$5:$AB$64,0)),"")</f>
        <v/>
      </c>
      <c r="I58" s="38" t="str">
        <f aca="false">IFERROR(INDEX(Orders!$AB$5:$AB$64,MATCH(50,$AB$5:$AB$64,0)),"")</f>
        <v/>
      </c>
      <c r="AB58" s="1" t="str">
        <f aca="false">IF(OR(Orders!$AB58="Awaiting Payment",Orders!$AB58="Overdue Payment"),MAX($AB$3:$AB57)+1,"")</f>
        <v/>
      </c>
    </row>
    <row r="59" customFormat="false" ht="15" hidden="false" customHeight="true" outlineLevel="0" collapsed="false">
      <c r="A59" s="36" t="str">
        <f aca="false">IFERROR(INDEX(Orders!$A$5:$A$64,MATCH(51,$AB$5:$AB$64,0)),"")</f>
        <v/>
      </c>
      <c r="B59" s="36" t="str">
        <f aca="false">IFERROR(INDEX(Orders!$B$5:$B$64,MATCH(51,$AB$5:$AB$64,0)),"")</f>
        <v/>
      </c>
      <c r="C59" s="36" t="str">
        <f aca="false">IFERROR(INDEX(Orders!$C$5:$C$64,MATCH(51,$AB$5:$AB$64,0)),"")</f>
        <v/>
      </c>
      <c r="D59" s="85" t="str">
        <f aca="false">IFERROR(INDEX(Orders!$K$5:$K$64,MATCH(51,$AB$5:$AB$64,0)),"")</f>
        <v/>
      </c>
      <c r="E59" s="85" t="str">
        <f aca="false">IFERROR(INDEX(Orders!$E$5:$E$64,MATCH(51,$AB$5:$AB$64,0)),"")</f>
        <v/>
      </c>
      <c r="F59" s="42" t="str">
        <f aca="false">IFERROR(INDEX(Orders!$H$5:$H$64,MATCH(51,$AB$5:$AB$64,0)),"")</f>
        <v/>
      </c>
      <c r="G59" s="42" t="str">
        <f aca="false">IFERROR(INDEX(Orders!$U$5:$U$64,MATCH(51,$AB$5:$AB$64,0)),"")</f>
        <v/>
      </c>
      <c r="H59" s="42" t="str">
        <f aca="false">IFERROR(INDEX(Orders!$G$5:$G$64,MATCH(51,$AB$5:$AB$64,0)),"")</f>
        <v/>
      </c>
      <c r="I59" s="36" t="str">
        <f aca="false">IFERROR(INDEX(Orders!$AB$5:$AB$64,MATCH(51,$AB$5:$AB$64,0)),"")</f>
        <v/>
      </c>
      <c r="AB59" s="1" t="str">
        <f aca="false">IF(OR(Orders!$AB59="Awaiting Payment",Orders!$AB59="Overdue Payment"),MAX($AB$3:$AB58)+1,"")</f>
        <v/>
      </c>
    </row>
    <row r="60" customFormat="false" ht="15" hidden="false" customHeight="true" outlineLevel="0" collapsed="false">
      <c r="A60" s="38" t="str">
        <f aca="false">IFERROR(INDEX(Orders!$A$5:$A$64,MATCH(52,$AB$5:$AB$64,0)),"")</f>
        <v/>
      </c>
      <c r="B60" s="38" t="str">
        <f aca="false">IFERROR(INDEX(Orders!$B$5:$B$64,MATCH(52,$AB$5:$AB$64,0)),"")</f>
        <v/>
      </c>
      <c r="C60" s="38" t="str">
        <f aca="false">IFERROR(INDEX(Orders!$C$5:$C$64,MATCH(52,$AB$5:$AB$64,0)),"")</f>
        <v/>
      </c>
      <c r="D60" s="86" t="str">
        <f aca="false">IFERROR(INDEX(Orders!$K$5:$K$64,MATCH(52,$AB$5:$AB$64,0)),"")</f>
        <v/>
      </c>
      <c r="E60" s="86" t="str">
        <f aca="false">IFERROR(INDEX(Orders!$E$5:$E$64,MATCH(52,$AB$5:$AB$64,0)),"")</f>
        <v/>
      </c>
      <c r="F60" s="45" t="str">
        <f aca="false">IFERROR(INDEX(Orders!$H$5:$H$64,MATCH(52,$AB$5:$AB$64,0)),"")</f>
        <v/>
      </c>
      <c r="G60" s="45" t="str">
        <f aca="false">IFERROR(INDEX(Orders!$U$5:$U$64,MATCH(52,$AB$5:$AB$64,0)),"")</f>
        <v/>
      </c>
      <c r="H60" s="45" t="str">
        <f aca="false">IFERROR(INDEX(Orders!$G$5:$G$64,MATCH(52,$AB$5:$AB$64,0)),"")</f>
        <v/>
      </c>
      <c r="I60" s="38" t="str">
        <f aca="false">IFERROR(INDEX(Orders!$AB$5:$AB$64,MATCH(52,$AB$5:$AB$64,0)),"")</f>
        <v/>
      </c>
      <c r="AB60" s="1" t="str">
        <f aca="false">IF(OR(Orders!$AB60="Awaiting Payment",Orders!$AB60="Overdue Payment"),MAX($AB$3:$AB59)+1,"")</f>
        <v/>
      </c>
    </row>
    <row r="61" customFormat="false" ht="15" hidden="false" customHeight="true" outlineLevel="0" collapsed="false">
      <c r="A61" s="36" t="str">
        <f aca="false">IFERROR(INDEX(Orders!$A$5:$A$64,MATCH(53,$AB$5:$AB$64,0)),"")</f>
        <v/>
      </c>
      <c r="B61" s="36" t="str">
        <f aca="false">IFERROR(INDEX(Orders!$B$5:$B$64,MATCH(53,$AB$5:$AB$64,0)),"")</f>
        <v/>
      </c>
      <c r="C61" s="36" t="str">
        <f aca="false">IFERROR(INDEX(Orders!$C$5:$C$64,MATCH(53,$AB$5:$AB$64,0)),"")</f>
        <v/>
      </c>
      <c r="D61" s="85" t="str">
        <f aca="false">IFERROR(INDEX(Orders!$K$5:$K$64,MATCH(53,$AB$5:$AB$64,0)),"")</f>
        <v/>
      </c>
      <c r="E61" s="85" t="str">
        <f aca="false">IFERROR(INDEX(Orders!$E$5:$E$64,MATCH(53,$AB$5:$AB$64,0)),"")</f>
        <v/>
      </c>
      <c r="F61" s="42" t="str">
        <f aca="false">IFERROR(INDEX(Orders!$H$5:$H$64,MATCH(53,$AB$5:$AB$64,0)),"")</f>
        <v/>
      </c>
      <c r="G61" s="42" t="str">
        <f aca="false">IFERROR(INDEX(Orders!$U$5:$U$64,MATCH(53,$AB$5:$AB$64,0)),"")</f>
        <v/>
      </c>
      <c r="H61" s="42" t="str">
        <f aca="false">IFERROR(INDEX(Orders!$G$5:$G$64,MATCH(53,$AB$5:$AB$64,0)),"")</f>
        <v/>
      </c>
      <c r="I61" s="36" t="str">
        <f aca="false">IFERROR(INDEX(Orders!$AB$5:$AB$64,MATCH(53,$AB$5:$AB$64,0)),"")</f>
        <v/>
      </c>
      <c r="AB61" s="1" t="str">
        <f aca="false">IF(OR(Orders!$AB61="Awaiting Payment",Orders!$AB61="Overdue Payment"),MAX($AB$3:$AB60)+1,"")</f>
        <v/>
      </c>
    </row>
    <row r="62" customFormat="false" ht="15" hidden="false" customHeight="true" outlineLevel="0" collapsed="false">
      <c r="A62" s="38" t="str">
        <f aca="false">IFERROR(INDEX(Orders!$A$5:$A$64,MATCH(54,$AB$5:$AB$64,0)),"")</f>
        <v/>
      </c>
      <c r="B62" s="38" t="str">
        <f aca="false">IFERROR(INDEX(Orders!$B$5:$B$64,MATCH(54,$AB$5:$AB$64,0)),"")</f>
        <v/>
      </c>
      <c r="C62" s="38" t="str">
        <f aca="false">IFERROR(INDEX(Orders!$C$5:$C$64,MATCH(54,$AB$5:$AB$64,0)),"")</f>
        <v/>
      </c>
      <c r="D62" s="86" t="str">
        <f aca="false">IFERROR(INDEX(Orders!$K$5:$K$64,MATCH(54,$AB$5:$AB$64,0)),"")</f>
        <v/>
      </c>
      <c r="E62" s="86" t="str">
        <f aca="false">IFERROR(INDEX(Orders!$E$5:$E$64,MATCH(54,$AB$5:$AB$64,0)),"")</f>
        <v/>
      </c>
      <c r="F62" s="45" t="str">
        <f aca="false">IFERROR(INDEX(Orders!$H$5:$H$64,MATCH(54,$AB$5:$AB$64,0)),"")</f>
        <v/>
      </c>
      <c r="G62" s="45" t="str">
        <f aca="false">IFERROR(INDEX(Orders!$U$5:$U$64,MATCH(54,$AB$5:$AB$64,0)),"")</f>
        <v/>
      </c>
      <c r="H62" s="45" t="str">
        <f aca="false">IFERROR(INDEX(Orders!$G$5:$G$64,MATCH(54,$AB$5:$AB$64,0)),"")</f>
        <v/>
      </c>
      <c r="I62" s="38" t="str">
        <f aca="false">IFERROR(INDEX(Orders!$AB$5:$AB$64,MATCH(54,$AB$5:$AB$64,0)),"")</f>
        <v/>
      </c>
      <c r="AB62" s="1" t="str">
        <f aca="false">IF(OR(Orders!$AB62="Awaiting Payment",Orders!$AB62="Overdue Payment"),MAX($AB$3:$AB61)+1,"")</f>
        <v/>
      </c>
    </row>
    <row r="63" customFormat="false" ht="15" hidden="false" customHeight="true" outlineLevel="0" collapsed="false">
      <c r="A63" s="36" t="str">
        <f aca="false">IFERROR(INDEX(Orders!$A$5:$A$64,MATCH(55,$AB$5:$AB$64,0)),"")</f>
        <v/>
      </c>
      <c r="B63" s="36" t="str">
        <f aca="false">IFERROR(INDEX(Orders!$B$5:$B$64,MATCH(55,$AB$5:$AB$64,0)),"")</f>
        <v/>
      </c>
      <c r="C63" s="36" t="str">
        <f aca="false">IFERROR(INDEX(Orders!$C$5:$C$64,MATCH(55,$AB$5:$AB$64,0)),"")</f>
        <v/>
      </c>
      <c r="D63" s="85" t="str">
        <f aca="false">IFERROR(INDEX(Orders!$K$5:$K$64,MATCH(55,$AB$5:$AB$64,0)),"")</f>
        <v/>
      </c>
      <c r="E63" s="85" t="str">
        <f aca="false">IFERROR(INDEX(Orders!$E$5:$E$64,MATCH(55,$AB$5:$AB$64,0)),"")</f>
        <v/>
      </c>
      <c r="F63" s="42" t="str">
        <f aca="false">IFERROR(INDEX(Orders!$H$5:$H$64,MATCH(55,$AB$5:$AB$64,0)),"")</f>
        <v/>
      </c>
      <c r="G63" s="42" t="str">
        <f aca="false">IFERROR(INDEX(Orders!$U$5:$U$64,MATCH(55,$AB$5:$AB$64,0)),"")</f>
        <v/>
      </c>
      <c r="H63" s="42" t="str">
        <f aca="false">IFERROR(INDEX(Orders!$G$5:$G$64,MATCH(55,$AB$5:$AB$64,0)),"")</f>
        <v/>
      </c>
      <c r="I63" s="36" t="str">
        <f aca="false">IFERROR(INDEX(Orders!$AB$5:$AB$64,MATCH(55,$AB$5:$AB$64,0)),"")</f>
        <v/>
      </c>
      <c r="AB63" s="1" t="str">
        <f aca="false">IF(OR(Orders!$AB63="Awaiting Payment",Orders!$AB63="Overdue Payment"),MAX($AB$3:$AB62)+1,"")</f>
        <v/>
      </c>
    </row>
    <row r="64" customFormat="false" ht="15" hidden="false" customHeight="true" outlineLevel="0" collapsed="false">
      <c r="A64" s="38" t="str">
        <f aca="false">IFERROR(INDEX(Orders!$A$5:$A$64,MATCH(56,$AB$5:$AB$64,0)),"")</f>
        <v/>
      </c>
      <c r="B64" s="38" t="str">
        <f aca="false">IFERROR(INDEX(Orders!$B$5:$B$64,MATCH(56,$AB$5:$AB$64,0)),"")</f>
        <v/>
      </c>
      <c r="C64" s="38" t="str">
        <f aca="false">IFERROR(INDEX(Orders!$C$5:$C$64,MATCH(56,$AB$5:$AB$64,0)),"")</f>
        <v/>
      </c>
      <c r="D64" s="86" t="str">
        <f aca="false">IFERROR(INDEX(Orders!$K$5:$K$64,MATCH(56,$AB$5:$AB$64,0)),"")</f>
        <v/>
      </c>
      <c r="E64" s="86" t="str">
        <f aca="false">IFERROR(INDEX(Orders!$E$5:$E$64,MATCH(56,$AB$5:$AB$64,0)),"")</f>
        <v/>
      </c>
      <c r="F64" s="45" t="str">
        <f aca="false">IFERROR(INDEX(Orders!$H$5:$H$64,MATCH(56,$AB$5:$AB$64,0)),"")</f>
        <v/>
      </c>
      <c r="G64" s="45" t="str">
        <f aca="false">IFERROR(INDEX(Orders!$U$5:$U$64,MATCH(56,$AB$5:$AB$64,0)),"")</f>
        <v/>
      </c>
      <c r="H64" s="45" t="str">
        <f aca="false">IFERROR(INDEX(Orders!$G$5:$G$64,MATCH(56,$AB$5:$AB$64,0)),"")</f>
        <v/>
      </c>
      <c r="I64" s="38" t="str">
        <f aca="false">IFERROR(INDEX(Orders!$AB$5:$AB$64,MATCH(56,$AB$5:$AB$64,0)),"")</f>
        <v/>
      </c>
      <c r="AB64" s="1" t="str">
        <f aca="false">IF(OR(Orders!$AB64="Awaiting Payment",Orders!$AB64="Overdue Payment"),MAX($AB$3:$AB63)+1,"")</f>
        <v/>
      </c>
    </row>
    <row r="65" customFormat="false" ht="15" hidden="false" customHeight="true" outlineLevel="0" collapsed="false">
      <c r="A65" s="36" t="str">
        <f aca="false">IFERROR(INDEX(Orders!$A$5:$A$64,MATCH(57,$AB$5:$AB$64,0)),"")</f>
        <v/>
      </c>
      <c r="B65" s="36" t="str">
        <f aca="false">IFERROR(INDEX(Orders!$B$5:$B$64,MATCH(57,$AB$5:$AB$64,0)),"")</f>
        <v/>
      </c>
      <c r="C65" s="36" t="str">
        <f aca="false">IFERROR(INDEX(Orders!$C$5:$C$64,MATCH(57,$AB$5:$AB$64,0)),"")</f>
        <v/>
      </c>
      <c r="D65" s="85" t="str">
        <f aca="false">IFERROR(INDEX(Orders!$K$5:$K$64,MATCH(57,$AB$5:$AB$64,0)),"")</f>
        <v/>
      </c>
      <c r="E65" s="85" t="str">
        <f aca="false">IFERROR(INDEX(Orders!$E$5:$E$64,MATCH(57,$AB$5:$AB$64,0)),"")</f>
        <v/>
      </c>
      <c r="F65" s="42" t="str">
        <f aca="false">IFERROR(INDEX(Orders!$H$5:$H$64,MATCH(57,$AB$5:$AB$64,0)),"")</f>
        <v/>
      </c>
      <c r="G65" s="42" t="str">
        <f aca="false">IFERROR(INDEX(Orders!$U$5:$U$64,MATCH(57,$AB$5:$AB$64,0)),"")</f>
        <v/>
      </c>
      <c r="H65" s="42" t="str">
        <f aca="false">IFERROR(INDEX(Orders!$G$5:$G$64,MATCH(57,$AB$5:$AB$64,0)),"")</f>
        <v/>
      </c>
      <c r="I65" s="36" t="str">
        <f aca="false">IFERROR(INDEX(Orders!$AB$5:$AB$64,MATCH(57,$AB$5:$AB$64,0)),"")</f>
        <v/>
      </c>
    </row>
    <row r="66" customFormat="false" ht="15" hidden="false" customHeight="true" outlineLevel="0" collapsed="false">
      <c r="A66" s="38" t="str">
        <f aca="false">IFERROR(INDEX(Orders!$A$5:$A$64,MATCH(58,$AB$5:$AB$64,0)),"")</f>
        <v/>
      </c>
      <c r="B66" s="38" t="str">
        <f aca="false">IFERROR(INDEX(Orders!$B$5:$B$64,MATCH(58,$AB$5:$AB$64,0)),"")</f>
        <v/>
      </c>
      <c r="C66" s="38" t="str">
        <f aca="false">IFERROR(INDEX(Orders!$C$5:$C$64,MATCH(58,$AB$5:$AB$64,0)),"")</f>
        <v/>
      </c>
      <c r="D66" s="86" t="str">
        <f aca="false">IFERROR(INDEX(Orders!$K$5:$K$64,MATCH(58,$AB$5:$AB$64,0)),"")</f>
        <v/>
      </c>
      <c r="E66" s="86" t="str">
        <f aca="false">IFERROR(INDEX(Orders!$E$5:$E$64,MATCH(58,$AB$5:$AB$64,0)),"")</f>
        <v/>
      </c>
      <c r="F66" s="45" t="str">
        <f aca="false">IFERROR(INDEX(Orders!$H$5:$H$64,MATCH(58,$AB$5:$AB$64,0)),"")</f>
        <v/>
      </c>
      <c r="G66" s="45" t="str">
        <f aca="false">IFERROR(INDEX(Orders!$U$5:$U$64,MATCH(58,$AB$5:$AB$64,0)),"")</f>
        <v/>
      </c>
      <c r="H66" s="45" t="str">
        <f aca="false">IFERROR(INDEX(Orders!$G$5:$G$64,MATCH(58,$AB$5:$AB$64,0)),"")</f>
        <v/>
      </c>
      <c r="I66" s="38" t="str">
        <f aca="false">IFERROR(INDEX(Orders!$AB$5:$AB$64,MATCH(58,$AB$5:$AB$64,0)),"")</f>
        <v/>
      </c>
    </row>
    <row r="67" customFormat="false" ht="15" hidden="false" customHeight="true" outlineLevel="0" collapsed="false">
      <c r="A67" s="36" t="str">
        <f aca="false">IFERROR(INDEX(Orders!$A$5:$A$64,MATCH(59,$AB$5:$AB$64,0)),"")</f>
        <v/>
      </c>
      <c r="B67" s="36" t="str">
        <f aca="false">IFERROR(INDEX(Orders!$B$5:$B$64,MATCH(59,$AB$5:$AB$64,0)),"")</f>
        <v/>
      </c>
      <c r="C67" s="36" t="str">
        <f aca="false">IFERROR(INDEX(Orders!$C$5:$C$64,MATCH(59,$AB$5:$AB$64,0)),"")</f>
        <v/>
      </c>
      <c r="D67" s="85" t="str">
        <f aca="false">IFERROR(INDEX(Orders!$K$5:$K$64,MATCH(59,$AB$5:$AB$64,0)),"")</f>
        <v/>
      </c>
      <c r="E67" s="85" t="str">
        <f aca="false">IFERROR(INDEX(Orders!$E$5:$E$64,MATCH(59,$AB$5:$AB$64,0)),"")</f>
        <v/>
      </c>
      <c r="F67" s="42" t="str">
        <f aca="false">IFERROR(INDEX(Orders!$H$5:$H$64,MATCH(59,$AB$5:$AB$64,0)),"")</f>
        <v/>
      </c>
      <c r="G67" s="42" t="str">
        <f aca="false">IFERROR(INDEX(Orders!$U$5:$U$64,MATCH(59,$AB$5:$AB$64,0)),"")</f>
        <v/>
      </c>
      <c r="H67" s="42" t="str">
        <f aca="false">IFERROR(INDEX(Orders!$G$5:$G$64,MATCH(59,$AB$5:$AB$64,0)),"")</f>
        <v/>
      </c>
      <c r="I67" s="36" t="str">
        <f aca="false">IFERROR(INDEX(Orders!$AB$5:$AB$64,MATCH(59,$AB$5:$AB$64,0)),"")</f>
        <v/>
      </c>
    </row>
    <row r="68" customFormat="false" ht="15" hidden="false" customHeight="true" outlineLevel="0" collapsed="false">
      <c r="A68" s="38" t="str">
        <f aca="false">IFERROR(INDEX(Orders!$A$5:$A$64,MATCH(60,$AB$5:$AB$64,0)),"")</f>
        <v/>
      </c>
      <c r="B68" s="38" t="str">
        <f aca="false">IFERROR(INDEX(Orders!$B$5:$B$64,MATCH(60,$AB$5:$AB$64,0)),"")</f>
        <v/>
      </c>
      <c r="C68" s="38" t="str">
        <f aca="false">IFERROR(INDEX(Orders!$C$5:$C$64,MATCH(60,$AB$5:$AB$64,0)),"")</f>
        <v/>
      </c>
      <c r="D68" s="86" t="str">
        <f aca="false">IFERROR(INDEX(Orders!$K$5:$K$64,MATCH(60,$AB$5:$AB$64,0)),"")</f>
        <v/>
      </c>
      <c r="E68" s="86" t="str">
        <f aca="false">IFERROR(INDEX(Orders!$E$5:$E$64,MATCH(60,$AB$5:$AB$64,0)),"")</f>
        <v/>
      </c>
      <c r="F68" s="45" t="str">
        <f aca="false">IFERROR(INDEX(Orders!$H$5:$H$64,MATCH(60,$AB$5:$AB$64,0)),"")</f>
        <v/>
      </c>
      <c r="G68" s="45" t="str">
        <f aca="false">IFERROR(INDEX(Orders!$U$5:$U$64,MATCH(60,$AB$5:$AB$64,0)),"")</f>
        <v/>
      </c>
      <c r="H68" s="45" t="str">
        <f aca="false">IFERROR(INDEX(Orders!$G$5:$G$64,MATCH(60,$AB$5:$AB$64,0)),"")</f>
        <v/>
      </c>
      <c r="I68" s="38" t="str">
        <f aca="false">IFERROR(INDEX(Orders!$AB$5:$AB$64,MATCH(60,$AB$5:$AB$64,0)),"")</f>
        <v/>
      </c>
    </row>
  </sheetData>
  <mergeCells count="10">
    <mergeCell ref="A1:I1"/>
    <mergeCell ref="A2:I2"/>
    <mergeCell ref="A4:B4"/>
    <mergeCell ref="C4:D4"/>
    <mergeCell ref="E4:F4"/>
    <mergeCell ref="G4:H4"/>
    <mergeCell ref="A5:B5"/>
    <mergeCell ref="C5:D5"/>
    <mergeCell ref="E5:F5"/>
    <mergeCell ref="G5:H5"/>
  </mergeCells>
  <conditionalFormatting sqref="I9:I68">
    <cfRule type="expression" priority="2" aboveAverage="0" equalAverage="0" bottom="0" percent="0" rank="0" text="" dxfId="1">
      <formula>EXACT($I9,"Paid")</formula>
    </cfRule>
    <cfRule type="expression" priority="3" aboveAverage="0" equalAverage="0" bottom="0" percent="0" rank="0" text="" dxfId="2">
      <formula>EXACT($I9,"Advance Paid")</formula>
    </cfRule>
    <cfRule type="expression" priority="4" aboveAverage="0" equalAverage="0" bottom="0" percent="0" rank="0" text="" dxfId="3">
      <formula>EXACT($I9,"Awaiting Payment")</formula>
    </cfRule>
    <cfRule type="expression" priority="5" aboveAverage="0" equalAverage="0" bottom="0" percent="0" rank="0" text="" dxfId="0">
      <formula>EXACT($I9,"Overdue Payment")</formula>
    </cfRule>
    <cfRule type="expression" priority="6" aboveAverage="0" equalAverage="0" bottom="0" percent="0" rank="0" text="" dxfId="0">
      <formula>EXACT($I9,"Overdue Service")</formula>
    </cfRule>
    <cfRule type="expression" priority="7" aboveAverage="0" equalAverage="0" bottom="0" percent="0" rank="0" text="" dxfId="4">
      <formula>EXACT($I9,"Open")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14"/>
    <col collapsed="false" customWidth="true" hidden="false" outlineLevel="0" max="4" min="4" style="1" width="13"/>
    <col collapsed="false" customWidth="true" hidden="false" outlineLevel="0" max="6" min="5" style="1" width="12"/>
    <col collapsed="false" customWidth="true" hidden="false" outlineLevel="0" max="7" min="7" style="1" width="14"/>
    <col collapsed="false" customWidth="true" hidden="false" outlineLevel="0" max="8" min="8" style="1" width="10"/>
    <col collapsed="false" customWidth="true" hidden="false" outlineLevel="0" max="9" min="9" style="1" width="16"/>
    <col collapsed="false" customWidth="true" hidden="true" outlineLevel="0" max="28" min="28" style="1" width="13"/>
  </cols>
  <sheetData>
    <row r="1" customFormat="false" ht="27.75" hidden="false" customHeight="true" outlineLevel="0" collapsed="false">
      <c r="A1" s="17" t="s">
        <v>368</v>
      </c>
      <c r="B1" s="17"/>
      <c r="C1" s="17"/>
      <c r="D1" s="17"/>
      <c r="E1" s="17"/>
      <c r="F1" s="17"/>
      <c r="G1" s="17"/>
      <c r="H1" s="17"/>
      <c r="I1" s="17"/>
    </row>
    <row r="2" customFormat="false" ht="15.75" hidden="false" customHeight="true" outlineLevel="0" collapsed="false">
      <c r="A2" s="18" t="s">
        <v>369</v>
      </c>
      <c r="B2" s="18"/>
      <c r="C2" s="18"/>
      <c r="D2" s="18"/>
      <c r="E2" s="18"/>
      <c r="F2" s="18"/>
      <c r="G2" s="18"/>
      <c r="H2" s="18"/>
      <c r="I2" s="18"/>
    </row>
    <row r="3" customFormat="false" ht="15" hidden="false" customHeight="true" outlineLevel="0" collapsed="false">
      <c r="AB3" s="1" t="n">
        <v>0</v>
      </c>
    </row>
    <row r="4" customFormat="false" ht="21.75" hidden="false" customHeight="true" outlineLevel="0" collapsed="false">
      <c r="A4" s="77" t="s">
        <v>370</v>
      </c>
      <c r="B4" s="77"/>
      <c r="C4" s="78" t="s">
        <v>371</v>
      </c>
      <c r="D4" s="78"/>
      <c r="E4" s="80" t="s">
        <v>372</v>
      </c>
      <c r="F4" s="80"/>
      <c r="G4" s="82" t="s">
        <v>373</v>
      </c>
      <c r="H4" s="82"/>
    </row>
    <row r="5" customFormat="false" ht="30" hidden="false" customHeight="true" outlineLevel="0" collapsed="false">
      <c r="A5" s="83" t="n">
        <f aca="false">SUM(Orders!$G$5:$G$64)</f>
        <v>22335.5</v>
      </c>
      <c r="B5" s="83"/>
      <c r="C5" s="83" t="n">
        <f aca="false">SUMIF(Orders!$J$5:$J$64,"Yes",Orders!$G$5:$G$64)</f>
        <v>14182.5</v>
      </c>
      <c r="D5" s="83"/>
      <c r="E5" s="83" t="n">
        <f aca="false">SUM(Orders!$V$5:$V$64)</f>
        <v>1200</v>
      </c>
      <c r="F5" s="83"/>
      <c r="G5" s="83" t="n">
        <f aca="false">SUMIF(Orders!$J$5:$J$64,"Yes",Orders!$G$5:$G$64)-SUM(Orders!$V$5:$V$64)</f>
        <v>12982.5</v>
      </c>
      <c r="H5" s="83"/>
      <c r="AB5" s="1" t="n">
        <f aca="false">IF(AND(Orders!$A5&lt;&gt;"",OR(Orders!$W5="Paid",Orders!$W5="Partially Paid",Orders!$J5="Yes")),MAX($AB$3:$AB4)+1,"")</f>
        <v>1</v>
      </c>
    </row>
    <row r="6" customFormat="false" ht="15" hidden="false" customHeight="true" outlineLevel="0" collapsed="false">
      <c r="AB6" s="1" t="n">
        <f aca="false">IF(AND(Orders!$A6&lt;&gt;"",OR(Orders!$W6="Paid",Orders!$W6="Partially Paid",Orders!$J6="Yes")),MAX($AB$3:$AB5)+1,"")</f>
        <v>2</v>
      </c>
    </row>
    <row r="7" customFormat="false" ht="15" hidden="false" customHeight="true" outlineLevel="0" collapsed="false">
      <c r="A7" s="19" t="s">
        <v>374</v>
      </c>
      <c r="AB7" s="1" t="n">
        <f aca="false">IF(AND(Orders!$A7&lt;&gt;"",OR(Orders!$W7="Paid",Orders!$W7="Partially Paid",Orders!$J7="Yes")),MAX($AB$3:$AB6)+1,"")</f>
        <v>3</v>
      </c>
    </row>
    <row r="8" customFormat="false" ht="30" hidden="false" customHeight="true" outlineLevel="0" collapsed="false">
      <c r="A8" s="20" t="s">
        <v>157</v>
      </c>
      <c r="B8" s="20" t="s">
        <v>356</v>
      </c>
      <c r="C8" s="20" t="s">
        <v>135</v>
      </c>
      <c r="D8" s="20" t="s">
        <v>358</v>
      </c>
      <c r="E8" s="20" t="s">
        <v>375</v>
      </c>
      <c r="F8" s="20" t="s">
        <v>376</v>
      </c>
      <c r="G8" s="20" t="s">
        <v>377</v>
      </c>
      <c r="H8" s="20" t="s">
        <v>165</v>
      </c>
      <c r="I8" s="20" t="s">
        <v>183</v>
      </c>
      <c r="AB8" s="1" t="str">
        <f aca="false">IF(AND(Orders!$A8&lt;&gt;"",OR(Orders!$W8="Paid",Orders!$W8="Partially Paid",Orders!$J8="Yes")),MAX($AB$3:$AB7)+1,"")</f>
        <v/>
      </c>
    </row>
    <row r="9" customFormat="false" ht="15" hidden="false" customHeight="true" outlineLevel="0" collapsed="false">
      <c r="A9" s="36" t="str">
        <f aca="false">IFERROR(INDEX(Orders!$A$5:$A$64,MATCH(1,$AB$5:$AB$64,0)),"")</f>
        <v>AES-O-001</v>
      </c>
      <c r="B9" s="36" t="str">
        <f aca="false">IFERROR(INDEX(Orders!$B$5:$B$64,MATCH(1,$AB$5:$AB$64,0)),"")</f>
        <v>Underground ventilation doors (x10)</v>
      </c>
      <c r="C9" s="36" t="str">
        <f aca="false">IFERROR(INDEX(Orders!$C$5:$C$64,MATCH(1,$AB$5:$AB$64,0)),"")</f>
        <v>Zimplats</v>
      </c>
      <c r="D9" s="42" t="n">
        <f aca="false">IFERROR(INDEX(Orders!$F$5:$F$64,MATCH(1,$AB$5:$AB$64,0)),"")</f>
        <v>18000</v>
      </c>
      <c r="E9" s="42" t="n">
        <f aca="false">IFERROR(INDEX(Orders!$G$5:$G$64,MATCH(1,$AB$5:$AB$64,0)),"")</f>
        <v>2790</v>
      </c>
      <c r="F9" s="42" t="n">
        <f aca="false">IFERROR(INDEX(Orders!$V$5:$V$64,MATCH(1,$AB$5:$AB$64,0)),"")</f>
        <v>0</v>
      </c>
      <c r="G9" s="36" t="str">
        <f aca="false">IFERROR(INDEX(Orders!$W$5:$W$64,MATCH(1,$AB$5:$AB$64,0)),"")</f>
        <v>Partially Paid</v>
      </c>
      <c r="H9" s="36" t="str">
        <f aca="false">IFERROR(INDEX(Orders!$J$5:$J$64,MATCH(1,$AB$5:$AB$64,0)),"")</f>
        <v>Yes</v>
      </c>
      <c r="I9" s="36" t="str">
        <f aca="false">IFERROR(INDEX(Orders!$AB$5:$AB$64,MATCH(1,$AB$5:$AB$64,0)),"")</f>
        <v>Overdue Payment</v>
      </c>
      <c r="AB9" s="1" t="n">
        <f aca="false">IF(AND(Orders!$A9&lt;&gt;"",OR(Orders!$W9="Paid",Orders!$W9="Partially Paid",Orders!$J9="Yes")),MAX($AB$3:$AB8)+1,"")</f>
        <v>4</v>
      </c>
    </row>
    <row r="10" customFormat="false" ht="15" hidden="false" customHeight="true" outlineLevel="0" collapsed="false">
      <c r="A10" s="38" t="str">
        <f aca="false">IFERROR(INDEX(Orders!$A$5:$A$64,MATCH(2,$AB$5:$AB$64,0)),"")</f>
        <v>AES-O-002</v>
      </c>
      <c r="B10" s="38" t="str">
        <f aca="false">IFERROR(INDEX(Orders!$B$5:$B$64,MATCH(2,$AB$5:$AB$64,0)),"")</f>
        <v>Safety explosive storage boxes (x6)</v>
      </c>
      <c r="C10" s="38" t="str">
        <f aca="false">IFERROR(INDEX(Orders!$C$5:$C$64,MATCH(2,$AB$5:$AB$64,0)),"")</f>
        <v>Mimosa Mining</v>
      </c>
      <c r="D10" s="45" t="n">
        <f aca="false">IFERROR(INDEX(Orders!$F$5:$F$64,MATCH(2,$AB$5:$AB$64,0)),"")</f>
        <v>9500</v>
      </c>
      <c r="E10" s="45" t="n">
        <f aca="false">IFERROR(INDEX(Orders!$G$5:$G$64,MATCH(2,$AB$5:$AB$64,0)),"")</f>
        <v>1472.5</v>
      </c>
      <c r="F10" s="45" t="n">
        <f aca="false">IFERROR(INDEX(Orders!$V$5:$V$64,MATCH(2,$AB$5:$AB$64,0)),"")</f>
        <v>0</v>
      </c>
      <c r="G10" s="38" t="str">
        <f aca="false">IFERROR(INDEX(Orders!$W$5:$W$64,MATCH(2,$AB$5:$AB$64,0)),"")</f>
        <v>Unpaid</v>
      </c>
      <c r="H10" s="38" t="str">
        <f aca="false">IFERROR(INDEX(Orders!$J$5:$J$64,MATCH(2,$AB$5:$AB$64,0)),"")</f>
        <v>Yes</v>
      </c>
      <c r="I10" s="38" t="str">
        <f aca="false">IFERROR(INDEX(Orders!$AB$5:$AB$64,MATCH(2,$AB$5:$AB$64,0)),"")</f>
        <v>Overdue Payment</v>
      </c>
      <c r="AB10" s="1" t="n">
        <f aca="false">IF(AND(Orders!$A10&lt;&gt;"",OR(Orders!$W10="Paid",Orders!$W10="Partially Paid",Orders!$J10="Yes")),MAX($AB$3:$AB9)+1,"")</f>
        <v>5</v>
      </c>
    </row>
    <row r="11" customFormat="false" ht="15" hidden="false" customHeight="true" outlineLevel="0" collapsed="false">
      <c r="A11" s="36" t="str">
        <f aca="false">IFERROR(INDEX(Orders!$A$5:$A$64,MATCH(3,$AB$5:$AB$64,0)),"")</f>
        <v>AES-O-003</v>
      </c>
      <c r="B11" s="36" t="str">
        <f aca="false">IFERROR(INDEX(Orders!$B$5:$B$64,MATCH(3,$AB$5:$AB$64,0)),"")</f>
        <v>Air sampling services - Q2</v>
      </c>
      <c r="C11" s="36" t="str">
        <f aca="false">IFERROR(INDEX(Orders!$C$5:$C$64,MATCH(3,$AB$5:$AB$64,0)),"")</f>
        <v>Unki Mine</v>
      </c>
      <c r="D11" s="42" t="n">
        <f aca="false">IFERROR(INDEX(Orders!$F$5:$F$64,MATCH(3,$AB$5:$AB$64,0)),"")</f>
        <v>6200</v>
      </c>
      <c r="E11" s="42" t="n">
        <f aca="false">IFERROR(INDEX(Orders!$G$5:$G$64,MATCH(3,$AB$5:$AB$64,0)),"")</f>
        <v>961</v>
      </c>
      <c r="F11" s="42" t="n">
        <f aca="false">IFERROR(INDEX(Orders!$V$5:$V$64,MATCH(3,$AB$5:$AB$64,0)),"")</f>
        <v>0</v>
      </c>
      <c r="G11" s="36" t="str">
        <f aca="false">IFERROR(INDEX(Orders!$W$5:$W$64,MATCH(3,$AB$5:$AB$64,0)),"")</f>
        <v>Partially Paid</v>
      </c>
      <c r="H11" s="36" t="str">
        <f aca="false">IFERROR(INDEX(Orders!$J$5:$J$64,MATCH(3,$AB$5:$AB$64,0)),"")</f>
        <v>No</v>
      </c>
      <c r="I11" s="36" t="str">
        <f aca="false">IFERROR(INDEX(Orders!$AB$5:$AB$64,MATCH(3,$AB$5:$AB$64,0)),"")</f>
        <v>Advance Paid</v>
      </c>
      <c r="AB11" s="1" t="n">
        <f aca="false">IF(AND(Orders!$A11&lt;&gt;"",OR(Orders!$W11="Paid",Orders!$W11="Partially Paid",Orders!$J11="Yes")),MAX($AB$3:$AB10)+1,"")</f>
        <v>6</v>
      </c>
    </row>
    <row r="12" customFormat="false" ht="15" hidden="false" customHeight="true" outlineLevel="0" collapsed="false">
      <c r="A12" s="38" t="str">
        <f aca="false">IFERROR(INDEX(Orders!$A$5:$A$64,MATCH(4,$AB$5:$AB$64,0)),"")</f>
        <v>AES-O-005</v>
      </c>
      <c r="B12" s="38" t="str">
        <f aca="false">IFERROR(INDEX(Orders!$B$5:$B$64,MATCH(4,$AB$5:$AB$64,0)),"")</f>
        <v>Safety explosive storage boxes x6</v>
      </c>
      <c r="C12" s="38" t="str">
        <f aca="false">IFERROR(INDEX(Orders!$C$5:$C$64,MATCH(4,$AB$5:$AB$64,0)),"")</f>
        <v>Zimplats</v>
      </c>
      <c r="D12" s="45" t="n">
        <f aca="false">IFERROR(INDEX(Orders!$F$5:$F$64,MATCH(4,$AB$5:$AB$64,0)),"")</f>
        <v>21600</v>
      </c>
      <c r="E12" s="45" t="n">
        <f aca="false">IFERROR(INDEX(Orders!$G$5:$G$64,MATCH(4,$AB$5:$AB$64,0)),"")</f>
        <v>3348</v>
      </c>
      <c r="F12" s="45" t="n">
        <f aca="false">IFERROR(INDEX(Orders!$V$5:$V$64,MATCH(4,$AB$5:$AB$64,0)),"")</f>
        <v>1200</v>
      </c>
      <c r="G12" s="38" t="str">
        <f aca="false">IFERROR(INDEX(Orders!$W$5:$W$64,MATCH(4,$AB$5:$AB$64,0)),"")</f>
        <v>Paid</v>
      </c>
      <c r="H12" s="38" t="str">
        <f aca="false">IFERROR(INDEX(Orders!$J$5:$J$64,MATCH(4,$AB$5:$AB$64,0)),"")</f>
        <v>Yes</v>
      </c>
      <c r="I12" s="38" t="str">
        <f aca="false">IFERROR(INDEX(Orders!$AB$5:$AB$64,MATCH(4,$AB$5:$AB$64,0)),"")</f>
        <v>Paid</v>
      </c>
      <c r="AB12" s="1" t="n">
        <f aca="false">IF(AND(Orders!$A12&lt;&gt;"",OR(Orders!$W12="Paid",Orders!$W12="Partially Paid",Orders!$J12="Yes")),MAX($AB$3:$AB11)+1,"")</f>
        <v>7</v>
      </c>
    </row>
    <row r="13" customFormat="false" ht="15" hidden="false" customHeight="true" outlineLevel="0" collapsed="false">
      <c r="A13" s="36" t="str">
        <f aca="false">IFERROR(INDEX(Orders!$A$5:$A$64,MATCH(5,$AB$5:$AB$64,0)),"")</f>
        <v>AES-O-006</v>
      </c>
      <c r="B13" s="36" t="str">
        <f aca="false">IFERROR(INDEX(Orders!$B$5:$B$64,MATCH(5,$AB$5:$AB$64,0)),"")</f>
        <v>Air sampling services Q2</v>
      </c>
      <c r="C13" s="36" t="str">
        <f aca="false">IFERROR(INDEX(Orders!$C$5:$C$64,MATCH(5,$AB$5:$AB$64,0)),"")</f>
        <v>Mimosa Mining</v>
      </c>
      <c r="D13" s="42" t="n">
        <f aca="false">IFERROR(INDEX(Orders!$F$5:$F$64,MATCH(5,$AB$5:$AB$64,0)),"")</f>
        <v>7800</v>
      </c>
      <c r="E13" s="42" t="n">
        <f aca="false">IFERROR(INDEX(Orders!$G$5:$G$64,MATCH(5,$AB$5:$AB$64,0)),"")</f>
        <v>1209</v>
      </c>
      <c r="F13" s="42" t="n">
        <f aca="false">IFERROR(INDEX(Orders!$V$5:$V$64,MATCH(5,$AB$5:$AB$64,0)),"")</f>
        <v>0</v>
      </c>
      <c r="G13" s="36" t="str">
        <f aca="false">IFERROR(INDEX(Orders!$W$5:$W$64,MATCH(5,$AB$5:$AB$64,0)),"")</f>
        <v>Partially Paid</v>
      </c>
      <c r="H13" s="36" t="str">
        <f aca="false">IFERROR(INDEX(Orders!$J$5:$J$64,MATCH(5,$AB$5:$AB$64,0)),"")</f>
        <v>Yes</v>
      </c>
      <c r="I13" s="36" t="str">
        <f aca="false">IFERROR(INDEX(Orders!$AB$5:$AB$64,MATCH(5,$AB$5:$AB$64,0)),"")</f>
        <v>Overdue Payment</v>
      </c>
      <c r="AB13" s="1" t="str">
        <f aca="false">IF(AND(Orders!$A13&lt;&gt;"",OR(Orders!$W13="Paid",Orders!$W13="Partially Paid",Orders!$J13="Yes")),MAX($AB$3:$AB12)+1,"")</f>
        <v/>
      </c>
    </row>
    <row r="14" customFormat="false" ht="15" hidden="false" customHeight="true" outlineLevel="0" collapsed="false">
      <c r="A14" s="38" t="str">
        <f aca="false">IFERROR(INDEX(Orders!$A$5:$A$64,MATCH(6,$AB$5:$AB$64,0)),"")</f>
        <v>AES-O-007</v>
      </c>
      <c r="B14" s="38" t="str">
        <f aca="false">IFERROR(INDEX(Orders!$B$5:$B$64,MATCH(6,$AB$5:$AB$64,0)),"")</f>
        <v>Underground ventilation doors x4</v>
      </c>
      <c r="C14" s="38" t="str">
        <f aca="false">IFERROR(INDEX(Orders!$C$5:$C$64,MATCH(6,$AB$5:$AB$64,0)),"")</f>
        <v>Unki Mine</v>
      </c>
      <c r="D14" s="45" t="n">
        <f aca="false">IFERROR(INDEX(Orders!$F$5:$F$64,MATCH(6,$AB$5:$AB$64,0)),"")</f>
        <v>30400</v>
      </c>
      <c r="E14" s="45" t="n">
        <f aca="false">IFERROR(INDEX(Orders!$G$5:$G$64,MATCH(6,$AB$5:$AB$64,0)),"")</f>
        <v>4712</v>
      </c>
      <c r="F14" s="45" t="n">
        <f aca="false">IFERROR(INDEX(Orders!$V$5:$V$64,MATCH(6,$AB$5:$AB$64,0)),"")</f>
        <v>0</v>
      </c>
      <c r="G14" s="38" t="str">
        <f aca="false">IFERROR(INDEX(Orders!$W$5:$W$64,MATCH(6,$AB$5:$AB$64,0)),"")</f>
        <v>Unpaid</v>
      </c>
      <c r="H14" s="38" t="str">
        <f aca="false">IFERROR(INDEX(Orders!$J$5:$J$64,MATCH(6,$AB$5:$AB$64,0)),"")</f>
        <v>Yes</v>
      </c>
      <c r="I14" s="38" t="str">
        <f aca="false">IFERROR(INDEX(Orders!$AB$5:$AB$64,MATCH(6,$AB$5:$AB$64,0)),"")</f>
        <v>Overdue Payment</v>
      </c>
      <c r="AB14" s="1" t="n">
        <f aca="false">IF(AND(Orders!$A14&lt;&gt;"",OR(Orders!$W14="Paid",Orders!$W14="Partially Paid",Orders!$J14="Yes")),MAX($AB$3:$AB13)+1,"")</f>
        <v>8</v>
      </c>
    </row>
    <row r="15" customFormat="false" ht="15" hidden="false" customHeight="true" outlineLevel="0" collapsed="false">
      <c r="A15" s="36" t="str">
        <f aca="false">IFERROR(INDEX(Orders!$A$5:$A$64,MATCH(7,$AB$5:$AB$64,0)),"")</f>
        <v>AES-O-008</v>
      </c>
      <c r="B15" s="36" t="str">
        <f aca="false">IFERROR(INDEX(Orders!$B$5:$B$64,MATCH(7,$AB$5:$AB$64,0)),"")</f>
        <v>Refuge chamber service kit</v>
      </c>
      <c r="C15" s="36" t="str">
        <f aca="false">IFERROR(INDEX(Orders!$C$5:$C$64,MATCH(7,$AB$5:$AB$64,0)),"")</f>
        <v>Zimplats</v>
      </c>
      <c r="D15" s="42" t="n">
        <f aca="false">IFERROR(INDEX(Orders!$F$5:$F$64,MATCH(7,$AB$5:$AB$64,0)),"")</f>
        <v>5400</v>
      </c>
      <c r="E15" s="42" t="n">
        <f aca="false">IFERROR(INDEX(Orders!$G$5:$G$64,MATCH(7,$AB$5:$AB$64,0)),"")</f>
        <v>837</v>
      </c>
      <c r="F15" s="42" t="n">
        <f aca="false">IFERROR(INDEX(Orders!$V$5:$V$64,MATCH(7,$AB$5:$AB$64,0)),"")</f>
        <v>0</v>
      </c>
      <c r="G15" s="36" t="str">
        <f aca="false">IFERROR(INDEX(Orders!$W$5:$W$64,MATCH(7,$AB$5:$AB$64,0)),"")</f>
        <v>Paid</v>
      </c>
      <c r="H15" s="36" t="str">
        <f aca="false">IFERROR(INDEX(Orders!$J$5:$J$64,MATCH(7,$AB$5:$AB$64,0)),"")</f>
        <v>No</v>
      </c>
      <c r="I15" s="36" t="str">
        <f aca="false">IFERROR(INDEX(Orders!$AB$5:$AB$64,MATCH(7,$AB$5:$AB$64,0)),"")</f>
        <v>Paid</v>
      </c>
      <c r="AB15" s="1" t="str">
        <f aca="false">IF(AND(Orders!$A15&lt;&gt;"",OR(Orders!$W15="Paid",Orders!$W15="Partially Paid",Orders!$J15="Yes")),MAX($AB$3:$AB14)+1,"")</f>
        <v/>
      </c>
    </row>
    <row r="16" customFormat="false" ht="15" hidden="false" customHeight="true" outlineLevel="0" collapsed="false">
      <c r="A16" s="38" t="str">
        <f aca="false">IFERROR(INDEX(Orders!$A$5:$A$64,MATCH(8,$AB$5:$AB$64,0)),"")</f>
        <v>AES-O-010</v>
      </c>
      <c r="B16" s="38" t="str">
        <f aca="false">IFERROR(INDEX(Orders!$B$5:$B$64,MATCH(8,$AB$5:$AB$64,0)),"")</f>
        <v>Airflow measurement audit</v>
      </c>
      <c r="C16" s="38" t="str">
        <f aca="false">IFERROR(INDEX(Orders!$C$5:$C$64,MATCH(8,$AB$5:$AB$64,0)),"")</f>
        <v>Zvishavane Engineering Ltd</v>
      </c>
      <c r="D16" s="45" t="n">
        <f aca="false">IFERROR(INDEX(Orders!$F$5:$F$64,MATCH(8,$AB$5:$AB$64,0)),"")</f>
        <v>4200</v>
      </c>
      <c r="E16" s="45" t="n">
        <f aca="false">IFERROR(INDEX(Orders!$G$5:$G$64,MATCH(8,$AB$5:$AB$64,0)),"")</f>
        <v>651</v>
      </c>
      <c r="F16" s="45" t="n">
        <f aca="false">IFERROR(INDEX(Orders!$V$5:$V$64,MATCH(8,$AB$5:$AB$64,0)),"")</f>
        <v>0</v>
      </c>
      <c r="G16" s="38" t="str">
        <f aca="false">IFERROR(INDEX(Orders!$W$5:$W$64,MATCH(8,$AB$5:$AB$64,0)),"")</f>
        <v>Unpaid</v>
      </c>
      <c r="H16" s="38" t="str">
        <f aca="false">IFERROR(INDEX(Orders!$J$5:$J$64,MATCH(8,$AB$5:$AB$64,0)),"")</f>
        <v>Yes</v>
      </c>
      <c r="I16" s="38" t="str">
        <f aca="false">IFERROR(INDEX(Orders!$AB$5:$AB$64,MATCH(8,$AB$5:$AB$64,0)),"")</f>
        <v>Overdue Payment</v>
      </c>
      <c r="AB16" s="1" t="str">
        <f aca="false">IF(AND(Orders!$A16&lt;&gt;"",OR(Orders!$W16="Paid",Orders!$W16="Partially Paid",Orders!$J16="Yes")),MAX($AB$3:$AB15)+1,"")</f>
        <v/>
      </c>
    </row>
    <row r="17" customFormat="false" ht="15" hidden="false" customHeight="true" outlineLevel="0" collapsed="false">
      <c r="A17" s="36" t="str">
        <f aca="false">IFERROR(INDEX(Orders!$A$5:$A$64,MATCH(9,$AB$5:$AB$64,0)),"")</f>
        <v/>
      </c>
      <c r="B17" s="36" t="str">
        <f aca="false">IFERROR(INDEX(Orders!$B$5:$B$64,MATCH(9,$AB$5:$AB$64,0)),"")</f>
        <v/>
      </c>
      <c r="C17" s="36" t="str">
        <f aca="false">IFERROR(INDEX(Orders!$C$5:$C$64,MATCH(9,$AB$5:$AB$64,0)),"")</f>
        <v/>
      </c>
      <c r="D17" s="42" t="str">
        <f aca="false">IFERROR(INDEX(Orders!$F$5:$F$64,MATCH(9,$AB$5:$AB$64,0)),"")</f>
        <v/>
      </c>
      <c r="E17" s="42" t="str">
        <f aca="false">IFERROR(INDEX(Orders!$G$5:$G$64,MATCH(9,$AB$5:$AB$64,0)),"")</f>
        <v/>
      </c>
      <c r="F17" s="42" t="str">
        <f aca="false">IFERROR(INDEX(Orders!$V$5:$V$64,MATCH(9,$AB$5:$AB$64,0)),"")</f>
        <v/>
      </c>
      <c r="G17" s="36" t="str">
        <f aca="false">IFERROR(INDEX(Orders!$W$5:$W$64,MATCH(9,$AB$5:$AB$64,0)),"")</f>
        <v/>
      </c>
      <c r="H17" s="36" t="str">
        <f aca="false">IFERROR(INDEX(Orders!$J$5:$J$64,MATCH(9,$AB$5:$AB$64,0)),"")</f>
        <v/>
      </c>
      <c r="I17" s="36" t="str">
        <f aca="false">IFERROR(INDEX(Orders!$AB$5:$AB$64,MATCH(9,$AB$5:$AB$64,0)),"")</f>
        <v/>
      </c>
      <c r="AB17" s="1" t="str">
        <f aca="false">IF(AND(Orders!$A17&lt;&gt;"",OR(Orders!$W17="Paid",Orders!$W17="Partially Paid",Orders!$J17="Yes")),MAX($AB$3:$AB16)+1,"")</f>
        <v/>
      </c>
    </row>
    <row r="18" customFormat="false" ht="15" hidden="false" customHeight="true" outlineLevel="0" collapsed="false">
      <c r="A18" s="38" t="str">
        <f aca="false">IFERROR(INDEX(Orders!$A$5:$A$64,MATCH(10,$AB$5:$AB$64,0)),"")</f>
        <v/>
      </c>
      <c r="B18" s="38" t="str">
        <f aca="false">IFERROR(INDEX(Orders!$B$5:$B$64,MATCH(10,$AB$5:$AB$64,0)),"")</f>
        <v/>
      </c>
      <c r="C18" s="38" t="str">
        <f aca="false">IFERROR(INDEX(Orders!$C$5:$C$64,MATCH(10,$AB$5:$AB$64,0)),"")</f>
        <v/>
      </c>
      <c r="D18" s="45" t="str">
        <f aca="false">IFERROR(INDEX(Orders!$F$5:$F$64,MATCH(10,$AB$5:$AB$64,0)),"")</f>
        <v/>
      </c>
      <c r="E18" s="45" t="str">
        <f aca="false">IFERROR(INDEX(Orders!$G$5:$G$64,MATCH(10,$AB$5:$AB$64,0)),"")</f>
        <v/>
      </c>
      <c r="F18" s="45" t="str">
        <f aca="false">IFERROR(INDEX(Orders!$V$5:$V$64,MATCH(10,$AB$5:$AB$64,0)),"")</f>
        <v/>
      </c>
      <c r="G18" s="38" t="str">
        <f aca="false">IFERROR(INDEX(Orders!$W$5:$W$64,MATCH(10,$AB$5:$AB$64,0)),"")</f>
        <v/>
      </c>
      <c r="H18" s="38" t="str">
        <f aca="false">IFERROR(INDEX(Orders!$J$5:$J$64,MATCH(10,$AB$5:$AB$64,0)),"")</f>
        <v/>
      </c>
      <c r="I18" s="38" t="str">
        <f aca="false">IFERROR(INDEX(Orders!$AB$5:$AB$64,MATCH(10,$AB$5:$AB$64,0)),"")</f>
        <v/>
      </c>
      <c r="AB18" s="1" t="str">
        <f aca="false">IF(AND(Orders!$A18&lt;&gt;"",OR(Orders!$W18="Paid",Orders!$W18="Partially Paid",Orders!$J18="Yes")),MAX($AB$3:$AB17)+1,"")</f>
        <v/>
      </c>
    </row>
    <row r="19" customFormat="false" ht="15" hidden="false" customHeight="true" outlineLevel="0" collapsed="false">
      <c r="A19" s="36" t="str">
        <f aca="false">IFERROR(INDEX(Orders!$A$5:$A$64,MATCH(11,$AB$5:$AB$64,0)),"")</f>
        <v/>
      </c>
      <c r="B19" s="36" t="str">
        <f aca="false">IFERROR(INDEX(Orders!$B$5:$B$64,MATCH(11,$AB$5:$AB$64,0)),"")</f>
        <v/>
      </c>
      <c r="C19" s="36" t="str">
        <f aca="false">IFERROR(INDEX(Orders!$C$5:$C$64,MATCH(11,$AB$5:$AB$64,0)),"")</f>
        <v/>
      </c>
      <c r="D19" s="42" t="str">
        <f aca="false">IFERROR(INDEX(Orders!$F$5:$F$64,MATCH(11,$AB$5:$AB$64,0)),"")</f>
        <v/>
      </c>
      <c r="E19" s="42" t="str">
        <f aca="false">IFERROR(INDEX(Orders!$G$5:$G$64,MATCH(11,$AB$5:$AB$64,0)),"")</f>
        <v/>
      </c>
      <c r="F19" s="42" t="str">
        <f aca="false">IFERROR(INDEX(Orders!$V$5:$V$64,MATCH(11,$AB$5:$AB$64,0)),"")</f>
        <v/>
      </c>
      <c r="G19" s="36" t="str">
        <f aca="false">IFERROR(INDEX(Orders!$W$5:$W$64,MATCH(11,$AB$5:$AB$64,0)),"")</f>
        <v/>
      </c>
      <c r="H19" s="36" t="str">
        <f aca="false">IFERROR(INDEX(Orders!$J$5:$J$64,MATCH(11,$AB$5:$AB$64,0)),"")</f>
        <v/>
      </c>
      <c r="I19" s="36" t="str">
        <f aca="false">IFERROR(INDEX(Orders!$AB$5:$AB$64,MATCH(11,$AB$5:$AB$64,0)),"")</f>
        <v/>
      </c>
      <c r="AB19" s="1" t="str">
        <f aca="false">IF(AND(Orders!$A19&lt;&gt;"",OR(Orders!$W19="Paid",Orders!$W19="Partially Paid",Orders!$J19="Yes")),MAX($AB$3:$AB18)+1,"")</f>
        <v/>
      </c>
    </row>
    <row r="20" customFormat="false" ht="15" hidden="false" customHeight="true" outlineLevel="0" collapsed="false">
      <c r="A20" s="38" t="str">
        <f aca="false">IFERROR(INDEX(Orders!$A$5:$A$64,MATCH(12,$AB$5:$AB$64,0)),"")</f>
        <v/>
      </c>
      <c r="B20" s="38" t="str">
        <f aca="false">IFERROR(INDEX(Orders!$B$5:$B$64,MATCH(12,$AB$5:$AB$64,0)),"")</f>
        <v/>
      </c>
      <c r="C20" s="38" t="str">
        <f aca="false">IFERROR(INDEX(Orders!$C$5:$C$64,MATCH(12,$AB$5:$AB$64,0)),"")</f>
        <v/>
      </c>
      <c r="D20" s="45" t="str">
        <f aca="false">IFERROR(INDEX(Orders!$F$5:$F$64,MATCH(12,$AB$5:$AB$64,0)),"")</f>
        <v/>
      </c>
      <c r="E20" s="45" t="str">
        <f aca="false">IFERROR(INDEX(Orders!$G$5:$G$64,MATCH(12,$AB$5:$AB$64,0)),"")</f>
        <v/>
      </c>
      <c r="F20" s="45" t="str">
        <f aca="false">IFERROR(INDEX(Orders!$V$5:$V$64,MATCH(12,$AB$5:$AB$64,0)),"")</f>
        <v/>
      </c>
      <c r="G20" s="38" t="str">
        <f aca="false">IFERROR(INDEX(Orders!$W$5:$W$64,MATCH(12,$AB$5:$AB$64,0)),"")</f>
        <v/>
      </c>
      <c r="H20" s="38" t="str">
        <f aca="false">IFERROR(INDEX(Orders!$J$5:$J$64,MATCH(12,$AB$5:$AB$64,0)),"")</f>
        <v/>
      </c>
      <c r="I20" s="38" t="str">
        <f aca="false">IFERROR(INDEX(Orders!$AB$5:$AB$64,MATCH(12,$AB$5:$AB$64,0)),"")</f>
        <v/>
      </c>
      <c r="AB20" s="1" t="str">
        <f aca="false">IF(AND(Orders!$A20&lt;&gt;"",OR(Orders!$W20="Paid",Orders!$W20="Partially Paid",Orders!$J20="Yes")),MAX($AB$3:$AB19)+1,"")</f>
        <v/>
      </c>
    </row>
    <row r="21" customFormat="false" ht="15" hidden="false" customHeight="true" outlineLevel="0" collapsed="false">
      <c r="A21" s="36" t="str">
        <f aca="false">IFERROR(INDEX(Orders!$A$5:$A$64,MATCH(13,$AB$5:$AB$64,0)),"")</f>
        <v/>
      </c>
      <c r="B21" s="36" t="str">
        <f aca="false">IFERROR(INDEX(Orders!$B$5:$B$64,MATCH(13,$AB$5:$AB$64,0)),"")</f>
        <v/>
      </c>
      <c r="C21" s="36" t="str">
        <f aca="false">IFERROR(INDEX(Orders!$C$5:$C$64,MATCH(13,$AB$5:$AB$64,0)),"")</f>
        <v/>
      </c>
      <c r="D21" s="42" t="str">
        <f aca="false">IFERROR(INDEX(Orders!$F$5:$F$64,MATCH(13,$AB$5:$AB$64,0)),"")</f>
        <v/>
      </c>
      <c r="E21" s="42" t="str">
        <f aca="false">IFERROR(INDEX(Orders!$G$5:$G$64,MATCH(13,$AB$5:$AB$64,0)),"")</f>
        <v/>
      </c>
      <c r="F21" s="42" t="str">
        <f aca="false">IFERROR(INDEX(Orders!$V$5:$V$64,MATCH(13,$AB$5:$AB$64,0)),"")</f>
        <v/>
      </c>
      <c r="G21" s="36" t="str">
        <f aca="false">IFERROR(INDEX(Orders!$W$5:$W$64,MATCH(13,$AB$5:$AB$64,0)),"")</f>
        <v/>
      </c>
      <c r="H21" s="36" t="str">
        <f aca="false">IFERROR(INDEX(Orders!$J$5:$J$64,MATCH(13,$AB$5:$AB$64,0)),"")</f>
        <v/>
      </c>
      <c r="I21" s="36" t="str">
        <f aca="false">IFERROR(INDEX(Orders!$AB$5:$AB$64,MATCH(13,$AB$5:$AB$64,0)),"")</f>
        <v/>
      </c>
      <c r="AB21" s="1" t="str">
        <f aca="false">IF(AND(Orders!$A21&lt;&gt;"",OR(Orders!$W21="Paid",Orders!$W21="Partially Paid",Orders!$J21="Yes")),MAX($AB$3:$AB20)+1,"")</f>
        <v/>
      </c>
    </row>
    <row r="22" customFormat="false" ht="15" hidden="false" customHeight="true" outlineLevel="0" collapsed="false">
      <c r="A22" s="38" t="str">
        <f aca="false">IFERROR(INDEX(Orders!$A$5:$A$64,MATCH(14,$AB$5:$AB$64,0)),"")</f>
        <v/>
      </c>
      <c r="B22" s="38" t="str">
        <f aca="false">IFERROR(INDEX(Orders!$B$5:$B$64,MATCH(14,$AB$5:$AB$64,0)),"")</f>
        <v/>
      </c>
      <c r="C22" s="38" t="str">
        <f aca="false">IFERROR(INDEX(Orders!$C$5:$C$64,MATCH(14,$AB$5:$AB$64,0)),"")</f>
        <v/>
      </c>
      <c r="D22" s="45" t="str">
        <f aca="false">IFERROR(INDEX(Orders!$F$5:$F$64,MATCH(14,$AB$5:$AB$64,0)),"")</f>
        <v/>
      </c>
      <c r="E22" s="45" t="str">
        <f aca="false">IFERROR(INDEX(Orders!$G$5:$G$64,MATCH(14,$AB$5:$AB$64,0)),"")</f>
        <v/>
      </c>
      <c r="F22" s="45" t="str">
        <f aca="false">IFERROR(INDEX(Orders!$V$5:$V$64,MATCH(14,$AB$5:$AB$64,0)),"")</f>
        <v/>
      </c>
      <c r="G22" s="38" t="str">
        <f aca="false">IFERROR(INDEX(Orders!$W$5:$W$64,MATCH(14,$AB$5:$AB$64,0)),"")</f>
        <v/>
      </c>
      <c r="H22" s="38" t="str">
        <f aca="false">IFERROR(INDEX(Orders!$J$5:$J$64,MATCH(14,$AB$5:$AB$64,0)),"")</f>
        <v/>
      </c>
      <c r="I22" s="38" t="str">
        <f aca="false">IFERROR(INDEX(Orders!$AB$5:$AB$64,MATCH(14,$AB$5:$AB$64,0)),"")</f>
        <v/>
      </c>
      <c r="AB22" s="1" t="str">
        <f aca="false">IF(AND(Orders!$A22&lt;&gt;"",OR(Orders!$W22="Paid",Orders!$W22="Partially Paid",Orders!$J22="Yes")),MAX($AB$3:$AB21)+1,"")</f>
        <v/>
      </c>
    </row>
    <row r="23" customFormat="false" ht="15" hidden="false" customHeight="true" outlineLevel="0" collapsed="false">
      <c r="A23" s="36" t="str">
        <f aca="false">IFERROR(INDEX(Orders!$A$5:$A$64,MATCH(15,$AB$5:$AB$64,0)),"")</f>
        <v/>
      </c>
      <c r="B23" s="36" t="str">
        <f aca="false">IFERROR(INDEX(Orders!$B$5:$B$64,MATCH(15,$AB$5:$AB$64,0)),"")</f>
        <v/>
      </c>
      <c r="C23" s="36" t="str">
        <f aca="false">IFERROR(INDEX(Orders!$C$5:$C$64,MATCH(15,$AB$5:$AB$64,0)),"")</f>
        <v/>
      </c>
      <c r="D23" s="42" t="str">
        <f aca="false">IFERROR(INDEX(Orders!$F$5:$F$64,MATCH(15,$AB$5:$AB$64,0)),"")</f>
        <v/>
      </c>
      <c r="E23" s="42" t="str">
        <f aca="false">IFERROR(INDEX(Orders!$G$5:$G$64,MATCH(15,$AB$5:$AB$64,0)),"")</f>
        <v/>
      </c>
      <c r="F23" s="42" t="str">
        <f aca="false">IFERROR(INDEX(Orders!$V$5:$V$64,MATCH(15,$AB$5:$AB$64,0)),"")</f>
        <v/>
      </c>
      <c r="G23" s="36" t="str">
        <f aca="false">IFERROR(INDEX(Orders!$W$5:$W$64,MATCH(15,$AB$5:$AB$64,0)),"")</f>
        <v/>
      </c>
      <c r="H23" s="36" t="str">
        <f aca="false">IFERROR(INDEX(Orders!$J$5:$J$64,MATCH(15,$AB$5:$AB$64,0)),"")</f>
        <v/>
      </c>
      <c r="I23" s="36" t="str">
        <f aca="false">IFERROR(INDEX(Orders!$AB$5:$AB$64,MATCH(15,$AB$5:$AB$64,0)),"")</f>
        <v/>
      </c>
      <c r="AB23" s="1" t="str">
        <f aca="false">IF(AND(Orders!$A23&lt;&gt;"",OR(Orders!$W23="Paid",Orders!$W23="Partially Paid",Orders!$J23="Yes")),MAX($AB$3:$AB22)+1,"")</f>
        <v/>
      </c>
    </row>
    <row r="24" customFormat="false" ht="15" hidden="false" customHeight="true" outlineLevel="0" collapsed="false">
      <c r="A24" s="38" t="str">
        <f aca="false">IFERROR(INDEX(Orders!$A$5:$A$64,MATCH(16,$AB$5:$AB$64,0)),"")</f>
        <v/>
      </c>
      <c r="B24" s="38" t="str">
        <f aca="false">IFERROR(INDEX(Orders!$B$5:$B$64,MATCH(16,$AB$5:$AB$64,0)),"")</f>
        <v/>
      </c>
      <c r="C24" s="38" t="str">
        <f aca="false">IFERROR(INDEX(Orders!$C$5:$C$64,MATCH(16,$AB$5:$AB$64,0)),"")</f>
        <v/>
      </c>
      <c r="D24" s="45" t="str">
        <f aca="false">IFERROR(INDEX(Orders!$F$5:$F$64,MATCH(16,$AB$5:$AB$64,0)),"")</f>
        <v/>
      </c>
      <c r="E24" s="45" t="str">
        <f aca="false">IFERROR(INDEX(Orders!$G$5:$G$64,MATCH(16,$AB$5:$AB$64,0)),"")</f>
        <v/>
      </c>
      <c r="F24" s="45" t="str">
        <f aca="false">IFERROR(INDEX(Orders!$V$5:$V$64,MATCH(16,$AB$5:$AB$64,0)),"")</f>
        <v/>
      </c>
      <c r="G24" s="38" t="str">
        <f aca="false">IFERROR(INDEX(Orders!$W$5:$W$64,MATCH(16,$AB$5:$AB$64,0)),"")</f>
        <v/>
      </c>
      <c r="H24" s="38" t="str">
        <f aca="false">IFERROR(INDEX(Orders!$J$5:$J$64,MATCH(16,$AB$5:$AB$64,0)),"")</f>
        <v/>
      </c>
      <c r="I24" s="38" t="str">
        <f aca="false">IFERROR(INDEX(Orders!$AB$5:$AB$64,MATCH(16,$AB$5:$AB$64,0)),"")</f>
        <v/>
      </c>
      <c r="AB24" s="1" t="str">
        <f aca="false">IF(AND(Orders!$A24&lt;&gt;"",OR(Orders!$W24="Paid",Orders!$W24="Partially Paid",Orders!$J24="Yes")),MAX($AB$3:$AB23)+1,"")</f>
        <v/>
      </c>
    </row>
    <row r="25" customFormat="false" ht="15" hidden="false" customHeight="true" outlineLevel="0" collapsed="false">
      <c r="A25" s="36" t="str">
        <f aca="false">IFERROR(INDEX(Orders!$A$5:$A$64,MATCH(17,$AB$5:$AB$64,0)),"")</f>
        <v/>
      </c>
      <c r="B25" s="36" t="str">
        <f aca="false">IFERROR(INDEX(Orders!$B$5:$B$64,MATCH(17,$AB$5:$AB$64,0)),"")</f>
        <v/>
      </c>
      <c r="C25" s="36" t="str">
        <f aca="false">IFERROR(INDEX(Orders!$C$5:$C$64,MATCH(17,$AB$5:$AB$64,0)),"")</f>
        <v/>
      </c>
      <c r="D25" s="42" t="str">
        <f aca="false">IFERROR(INDEX(Orders!$F$5:$F$64,MATCH(17,$AB$5:$AB$64,0)),"")</f>
        <v/>
      </c>
      <c r="E25" s="42" t="str">
        <f aca="false">IFERROR(INDEX(Orders!$G$5:$G$64,MATCH(17,$AB$5:$AB$64,0)),"")</f>
        <v/>
      </c>
      <c r="F25" s="42" t="str">
        <f aca="false">IFERROR(INDEX(Orders!$V$5:$V$64,MATCH(17,$AB$5:$AB$64,0)),"")</f>
        <v/>
      </c>
      <c r="G25" s="36" t="str">
        <f aca="false">IFERROR(INDEX(Orders!$W$5:$W$64,MATCH(17,$AB$5:$AB$64,0)),"")</f>
        <v/>
      </c>
      <c r="H25" s="36" t="str">
        <f aca="false">IFERROR(INDEX(Orders!$J$5:$J$64,MATCH(17,$AB$5:$AB$64,0)),"")</f>
        <v/>
      </c>
      <c r="I25" s="36" t="str">
        <f aca="false">IFERROR(INDEX(Orders!$AB$5:$AB$64,MATCH(17,$AB$5:$AB$64,0)),"")</f>
        <v/>
      </c>
      <c r="AB25" s="1" t="str">
        <f aca="false">IF(AND(Orders!$A25&lt;&gt;"",OR(Orders!$W25="Paid",Orders!$W25="Partially Paid",Orders!$J25="Yes")),MAX($AB$3:$AB24)+1,"")</f>
        <v/>
      </c>
    </row>
    <row r="26" customFormat="false" ht="15" hidden="false" customHeight="true" outlineLevel="0" collapsed="false">
      <c r="A26" s="38" t="str">
        <f aca="false">IFERROR(INDEX(Orders!$A$5:$A$64,MATCH(18,$AB$5:$AB$64,0)),"")</f>
        <v/>
      </c>
      <c r="B26" s="38" t="str">
        <f aca="false">IFERROR(INDEX(Orders!$B$5:$B$64,MATCH(18,$AB$5:$AB$64,0)),"")</f>
        <v/>
      </c>
      <c r="C26" s="38" t="str">
        <f aca="false">IFERROR(INDEX(Orders!$C$5:$C$64,MATCH(18,$AB$5:$AB$64,0)),"")</f>
        <v/>
      </c>
      <c r="D26" s="45" t="str">
        <f aca="false">IFERROR(INDEX(Orders!$F$5:$F$64,MATCH(18,$AB$5:$AB$64,0)),"")</f>
        <v/>
      </c>
      <c r="E26" s="45" t="str">
        <f aca="false">IFERROR(INDEX(Orders!$G$5:$G$64,MATCH(18,$AB$5:$AB$64,0)),"")</f>
        <v/>
      </c>
      <c r="F26" s="45" t="str">
        <f aca="false">IFERROR(INDEX(Orders!$V$5:$V$64,MATCH(18,$AB$5:$AB$64,0)),"")</f>
        <v/>
      </c>
      <c r="G26" s="38" t="str">
        <f aca="false">IFERROR(INDEX(Orders!$W$5:$W$64,MATCH(18,$AB$5:$AB$64,0)),"")</f>
        <v/>
      </c>
      <c r="H26" s="38" t="str">
        <f aca="false">IFERROR(INDEX(Orders!$J$5:$J$64,MATCH(18,$AB$5:$AB$64,0)),"")</f>
        <v/>
      </c>
      <c r="I26" s="38" t="str">
        <f aca="false">IFERROR(INDEX(Orders!$AB$5:$AB$64,MATCH(18,$AB$5:$AB$64,0)),"")</f>
        <v/>
      </c>
      <c r="AB26" s="1" t="str">
        <f aca="false">IF(AND(Orders!$A26&lt;&gt;"",OR(Orders!$W26="Paid",Orders!$W26="Partially Paid",Orders!$J26="Yes")),MAX($AB$3:$AB25)+1,"")</f>
        <v/>
      </c>
    </row>
    <row r="27" customFormat="false" ht="15" hidden="false" customHeight="true" outlineLevel="0" collapsed="false">
      <c r="A27" s="36" t="str">
        <f aca="false">IFERROR(INDEX(Orders!$A$5:$A$64,MATCH(19,$AB$5:$AB$64,0)),"")</f>
        <v/>
      </c>
      <c r="B27" s="36" t="str">
        <f aca="false">IFERROR(INDEX(Orders!$B$5:$B$64,MATCH(19,$AB$5:$AB$64,0)),"")</f>
        <v/>
      </c>
      <c r="C27" s="36" t="str">
        <f aca="false">IFERROR(INDEX(Orders!$C$5:$C$64,MATCH(19,$AB$5:$AB$64,0)),"")</f>
        <v/>
      </c>
      <c r="D27" s="42" t="str">
        <f aca="false">IFERROR(INDEX(Orders!$F$5:$F$64,MATCH(19,$AB$5:$AB$64,0)),"")</f>
        <v/>
      </c>
      <c r="E27" s="42" t="str">
        <f aca="false">IFERROR(INDEX(Orders!$G$5:$G$64,MATCH(19,$AB$5:$AB$64,0)),"")</f>
        <v/>
      </c>
      <c r="F27" s="42" t="str">
        <f aca="false">IFERROR(INDEX(Orders!$V$5:$V$64,MATCH(19,$AB$5:$AB$64,0)),"")</f>
        <v/>
      </c>
      <c r="G27" s="36" t="str">
        <f aca="false">IFERROR(INDEX(Orders!$W$5:$W$64,MATCH(19,$AB$5:$AB$64,0)),"")</f>
        <v/>
      </c>
      <c r="H27" s="36" t="str">
        <f aca="false">IFERROR(INDEX(Orders!$J$5:$J$64,MATCH(19,$AB$5:$AB$64,0)),"")</f>
        <v/>
      </c>
      <c r="I27" s="36" t="str">
        <f aca="false">IFERROR(INDEX(Orders!$AB$5:$AB$64,MATCH(19,$AB$5:$AB$64,0)),"")</f>
        <v/>
      </c>
      <c r="AB27" s="1" t="str">
        <f aca="false">IF(AND(Orders!$A27&lt;&gt;"",OR(Orders!$W27="Paid",Orders!$W27="Partially Paid",Orders!$J27="Yes")),MAX($AB$3:$AB26)+1,"")</f>
        <v/>
      </c>
    </row>
    <row r="28" customFormat="false" ht="15" hidden="false" customHeight="true" outlineLevel="0" collapsed="false">
      <c r="A28" s="38" t="str">
        <f aca="false">IFERROR(INDEX(Orders!$A$5:$A$64,MATCH(20,$AB$5:$AB$64,0)),"")</f>
        <v/>
      </c>
      <c r="B28" s="38" t="str">
        <f aca="false">IFERROR(INDEX(Orders!$B$5:$B$64,MATCH(20,$AB$5:$AB$64,0)),"")</f>
        <v/>
      </c>
      <c r="C28" s="38" t="str">
        <f aca="false">IFERROR(INDEX(Orders!$C$5:$C$64,MATCH(20,$AB$5:$AB$64,0)),"")</f>
        <v/>
      </c>
      <c r="D28" s="45" t="str">
        <f aca="false">IFERROR(INDEX(Orders!$F$5:$F$64,MATCH(20,$AB$5:$AB$64,0)),"")</f>
        <v/>
      </c>
      <c r="E28" s="45" t="str">
        <f aca="false">IFERROR(INDEX(Orders!$G$5:$G$64,MATCH(20,$AB$5:$AB$64,0)),"")</f>
        <v/>
      </c>
      <c r="F28" s="45" t="str">
        <f aca="false">IFERROR(INDEX(Orders!$V$5:$V$64,MATCH(20,$AB$5:$AB$64,0)),"")</f>
        <v/>
      </c>
      <c r="G28" s="38" t="str">
        <f aca="false">IFERROR(INDEX(Orders!$W$5:$W$64,MATCH(20,$AB$5:$AB$64,0)),"")</f>
        <v/>
      </c>
      <c r="H28" s="38" t="str">
        <f aca="false">IFERROR(INDEX(Orders!$J$5:$J$64,MATCH(20,$AB$5:$AB$64,0)),"")</f>
        <v/>
      </c>
      <c r="I28" s="38" t="str">
        <f aca="false">IFERROR(INDEX(Orders!$AB$5:$AB$64,MATCH(20,$AB$5:$AB$64,0)),"")</f>
        <v/>
      </c>
      <c r="AB28" s="1" t="str">
        <f aca="false">IF(AND(Orders!$A28&lt;&gt;"",OR(Orders!$W28="Paid",Orders!$W28="Partially Paid",Orders!$J28="Yes")),MAX($AB$3:$AB27)+1,"")</f>
        <v/>
      </c>
    </row>
    <row r="29" customFormat="false" ht="15" hidden="false" customHeight="true" outlineLevel="0" collapsed="false">
      <c r="A29" s="36" t="str">
        <f aca="false">IFERROR(INDEX(Orders!$A$5:$A$64,MATCH(21,$AB$5:$AB$64,0)),"")</f>
        <v/>
      </c>
      <c r="B29" s="36" t="str">
        <f aca="false">IFERROR(INDEX(Orders!$B$5:$B$64,MATCH(21,$AB$5:$AB$64,0)),"")</f>
        <v/>
      </c>
      <c r="C29" s="36" t="str">
        <f aca="false">IFERROR(INDEX(Orders!$C$5:$C$64,MATCH(21,$AB$5:$AB$64,0)),"")</f>
        <v/>
      </c>
      <c r="D29" s="42" t="str">
        <f aca="false">IFERROR(INDEX(Orders!$F$5:$F$64,MATCH(21,$AB$5:$AB$64,0)),"")</f>
        <v/>
      </c>
      <c r="E29" s="42" t="str">
        <f aca="false">IFERROR(INDEX(Orders!$G$5:$G$64,MATCH(21,$AB$5:$AB$64,0)),"")</f>
        <v/>
      </c>
      <c r="F29" s="42" t="str">
        <f aca="false">IFERROR(INDEX(Orders!$V$5:$V$64,MATCH(21,$AB$5:$AB$64,0)),"")</f>
        <v/>
      </c>
      <c r="G29" s="36" t="str">
        <f aca="false">IFERROR(INDEX(Orders!$W$5:$W$64,MATCH(21,$AB$5:$AB$64,0)),"")</f>
        <v/>
      </c>
      <c r="H29" s="36" t="str">
        <f aca="false">IFERROR(INDEX(Orders!$J$5:$J$64,MATCH(21,$AB$5:$AB$64,0)),"")</f>
        <v/>
      </c>
      <c r="I29" s="36" t="str">
        <f aca="false">IFERROR(INDEX(Orders!$AB$5:$AB$64,MATCH(21,$AB$5:$AB$64,0)),"")</f>
        <v/>
      </c>
      <c r="AB29" s="1" t="str">
        <f aca="false">IF(AND(Orders!$A29&lt;&gt;"",OR(Orders!$W29="Paid",Orders!$W29="Partially Paid",Orders!$J29="Yes")),MAX($AB$3:$AB28)+1,"")</f>
        <v/>
      </c>
    </row>
    <row r="30" customFormat="false" ht="15" hidden="false" customHeight="true" outlineLevel="0" collapsed="false">
      <c r="A30" s="38" t="str">
        <f aca="false">IFERROR(INDEX(Orders!$A$5:$A$64,MATCH(22,$AB$5:$AB$64,0)),"")</f>
        <v/>
      </c>
      <c r="B30" s="38" t="str">
        <f aca="false">IFERROR(INDEX(Orders!$B$5:$B$64,MATCH(22,$AB$5:$AB$64,0)),"")</f>
        <v/>
      </c>
      <c r="C30" s="38" t="str">
        <f aca="false">IFERROR(INDEX(Orders!$C$5:$C$64,MATCH(22,$AB$5:$AB$64,0)),"")</f>
        <v/>
      </c>
      <c r="D30" s="45" t="str">
        <f aca="false">IFERROR(INDEX(Orders!$F$5:$F$64,MATCH(22,$AB$5:$AB$64,0)),"")</f>
        <v/>
      </c>
      <c r="E30" s="45" t="str">
        <f aca="false">IFERROR(INDEX(Orders!$G$5:$G$64,MATCH(22,$AB$5:$AB$64,0)),"")</f>
        <v/>
      </c>
      <c r="F30" s="45" t="str">
        <f aca="false">IFERROR(INDEX(Orders!$V$5:$V$64,MATCH(22,$AB$5:$AB$64,0)),"")</f>
        <v/>
      </c>
      <c r="G30" s="38" t="str">
        <f aca="false">IFERROR(INDEX(Orders!$W$5:$W$64,MATCH(22,$AB$5:$AB$64,0)),"")</f>
        <v/>
      </c>
      <c r="H30" s="38" t="str">
        <f aca="false">IFERROR(INDEX(Orders!$J$5:$J$64,MATCH(22,$AB$5:$AB$64,0)),"")</f>
        <v/>
      </c>
      <c r="I30" s="38" t="str">
        <f aca="false">IFERROR(INDEX(Orders!$AB$5:$AB$64,MATCH(22,$AB$5:$AB$64,0)),"")</f>
        <v/>
      </c>
      <c r="AB30" s="1" t="str">
        <f aca="false">IF(AND(Orders!$A30&lt;&gt;"",OR(Orders!$W30="Paid",Orders!$W30="Partially Paid",Orders!$J30="Yes")),MAX($AB$3:$AB29)+1,"")</f>
        <v/>
      </c>
    </row>
    <row r="31" customFormat="false" ht="15" hidden="false" customHeight="true" outlineLevel="0" collapsed="false">
      <c r="A31" s="36" t="str">
        <f aca="false">IFERROR(INDEX(Orders!$A$5:$A$64,MATCH(23,$AB$5:$AB$64,0)),"")</f>
        <v/>
      </c>
      <c r="B31" s="36" t="str">
        <f aca="false">IFERROR(INDEX(Orders!$B$5:$B$64,MATCH(23,$AB$5:$AB$64,0)),"")</f>
        <v/>
      </c>
      <c r="C31" s="36" t="str">
        <f aca="false">IFERROR(INDEX(Orders!$C$5:$C$64,MATCH(23,$AB$5:$AB$64,0)),"")</f>
        <v/>
      </c>
      <c r="D31" s="42" t="str">
        <f aca="false">IFERROR(INDEX(Orders!$F$5:$F$64,MATCH(23,$AB$5:$AB$64,0)),"")</f>
        <v/>
      </c>
      <c r="E31" s="42" t="str">
        <f aca="false">IFERROR(INDEX(Orders!$G$5:$G$64,MATCH(23,$AB$5:$AB$64,0)),"")</f>
        <v/>
      </c>
      <c r="F31" s="42" t="str">
        <f aca="false">IFERROR(INDEX(Orders!$V$5:$V$64,MATCH(23,$AB$5:$AB$64,0)),"")</f>
        <v/>
      </c>
      <c r="G31" s="36" t="str">
        <f aca="false">IFERROR(INDEX(Orders!$W$5:$W$64,MATCH(23,$AB$5:$AB$64,0)),"")</f>
        <v/>
      </c>
      <c r="H31" s="36" t="str">
        <f aca="false">IFERROR(INDEX(Orders!$J$5:$J$64,MATCH(23,$AB$5:$AB$64,0)),"")</f>
        <v/>
      </c>
      <c r="I31" s="36" t="str">
        <f aca="false">IFERROR(INDEX(Orders!$AB$5:$AB$64,MATCH(23,$AB$5:$AB$64,0)),"")</f>
        <v/>
      </c>
      <c r="AB31" s="1" t="str">
        <f aca="false">IF(AND(Orders!$A31&lt;&gt;"",OR(Orders!$W31="Paid",Orders!$W31="Partially Paid",Orders!$J31="Yes")),MAX($AB$3:$AB30)+1,"")</f>
        <v/>
      </c>
    </row>
    <row r="32" customFormat="false" ht="15" hidden="false" customHeight="true" outlineLevel="0" collapsed="false">
      <c r="A32" s="38" t="str">
        <f aca="false">IFERROR(INDEX(Orders!$A$5:$A$64,MATCH(24,$AB$5:$AB$64,0)),"")</f>
        <v/>
      </c>
      <c r="B32" s="38" t="str">
        <f aca="false">IFERROR(INDEX(Orders!$B$5:$B$64,MATCH(24,$AB$5:$AB$64,0)),"")</f>
        <v/>
      </c>
      <c r="C32" s="38" t="str">
        <f aca="false">IFERROR(INDEX(Orders!$C$5:$C$64,MATCH(24,$AB$5:$AB$64,0)),"")</f>
        <v/>
      </c>
      <c r="D32" s="45" t="str">
        <f aca="false">IFERROR(INDEX(Orders!$F$5:$F$64,MATCH(24,$AB$5:$AB$64,0)),"")</f>
        <v/>
      </c>
      <c r="E32" s="45" t="str">
        <f aca="false">IFERROR(INDEX(Orders!$G$5:$G$64,MATCH(24,$AB$5:$AB$64,0)),"")</f>
        <v/>
      </c>
      <c r="F32" s="45" t="str">
        <f aca="false">IFERROR(INDEX(Orders!$V$5:$V$64,MATCH(24,$AB$5:$AB$64,0)),"")</f>
        <v/>
      </c>
      <c r="G32" s="38" t="str">
        <f aca="false">IFERROR(INDEX(Orders!$W$5:$W$64,MATCH(24,$AB$5:$AB$64,0)),"")</f>
        <v/>
      </c>
      <c r="H32" s="38" t="str">
        <f aca="false">IFERROR(INDEX(Orders!$J$5:$J$64,MATCH(24,$AB$5:$AB$64,0)),"")</f>
        <v/>
      </c>
      <c r="I32" s="38" t="str">
        <f aca="false">IFERROR(INDEX(Orders!$AB$5:$AB$64,MATCH(24,$AB$5:$AB$64,0)),"")</f>
        <v/>
      </c>
      <c r="AB32" s="1" t="str">
        <f aca="false">IF(AND(Orders!$A32&lt;&gt;"",OR(Orders!$W32="Paid",Orders!$W32="Partially Paid",Orders!$J32="Yes")),MAX($AB$3:$AB31)+1,"")</f>
        <v/>
      </c>
    </row>
    <row r="33" customFormat="false" ht="15" hidden="false" customHeight="true" outlineLevel="0" collapsed="false">
      <c r="A33" s="36" t="str">
        <f aca="false">IFERROR(INDEX(Orders!$A$5:$A$64,MATCH(25,$AB$5:$AB$64,0)),"")</f>
        <v/>
      </c>
      <c r="B33" s="36" t="str">
        <f aca="false">IFERROR(INDEX(Orders!$B$5:$B$64,MATCH(25,$AB$5:$AB$64,0)),"")</f>
        <v/>
      </c>
      <c r="C33" s="36" t="str">
        <f aca="false">IFERROR(INDEX(Orders!$C$5:$C$64,MATCH(25,$AB$5:$AB$64,0)),"")</f>
        <v/>
      </c>
      <c r="D33" s="42" t="str">
        <f aca="false">IFERROR(INDEX(Orders!$F$5:$F$64,MATCH(25,$AB$5:$AB$64,0)),"")</f>
        <v/>
      </c>
      <c r="E33" s="42" t="str">
        <f aca="false">IFERROR(INDEX(Orders!$G$5:$G$64,MATCH(25,$AB$5:$AB$64,0)),"")</f>
        <v/>
      </c>
      <c r="F33" s="42" t="str">
        <f aca="false">IFERROR(INDEX(Orders!$V$5:$V$64,MATCH(25,$AB$5:$AB$64,0)),"")</f>
        <v/>
      </c>
      <c r="G33" s="36" t="str">
        <f aca="false">IFERROR(INDEX(Orders!$W$5:$W$64,MATCH(25,$AB$5:$AB$64,0)),"")</f>
        <v/>
      </c>
      <c r="H33" s="36" t="str">
        <f aca="false">IFERROR(INDEX(Orders!$J$5:$J$64,MATCH(25,$AB$5:$AB$64,0)),"")</f>
        <v/>
      </c>
      <c r="I33" s="36" t="str">
        <f aca="false">IFERROR(INDEX(Orders!$AB$5:$AB$64,MATCH(25,$AB$5:$AB$64,0)),"")</f>
        <v/>
      </c>
      <c r="AB33" s="1" t="str">
        <f aca="false">IF(AND(Orders!$A33&lt;&gt;"",OR(Orders!$W33="Paid",Orders!$W33="Partially Paid",Orders!$J33="Yes")),MAX($AB$3:$AB32)+1,"")</f>
        <v/>
      </c>
    </row>
    <row r="34" customFormat="false" ht="15" hidden="false" customHeight="true" outlineLevel="0" collapsed="false">
      <c r="A34" s="38" t="str">
        <f aca="false">IFERROR(INDEX(Orders!$A$5:$A$64,MATCH(26,$AB$5:$AB$64,0)),"")</f>
        <v/>
      </c>
      <c r="B34" s="38" t="str">
        <f aca="false">IFERROR(INDEX(Orders!$B$5:$B$64,MATCH(26,$AB$5:$AB$64,0)),"")</f>
        <v/>
      </c>
      <c r="C34" s="38" t="str">
        <f aca="false">IFERROR(INDEX(Orders!$C$5:$C$64,MATCH(26,$AB$5:$AB$64,0)),"")</f>
        <v/>
      </c>
      <c r="D34" s="45" t="str">
        <f aca="false">IFERROR(INDEX(Orders!$F$5:$F$64,MATCH(26,$AB$5:$AB$64,0)),"")</f>
        <v/>
      </c>
      <c r="E34" s="45" t="str">
        <f aca="false">IFERROR(INDEX(Orders!$G$5:$G$64,MATCH(26,$AB$5:$AB$64,0)),"")</f>
        <v/>
      </c>
      <c r="F34" s="45" t="str">
        <f aca="false">IFERROR(INDEX(Orders!$V$5:$V$64,MATCH(26,$AB$5:$AB$64,0)),"")</f>
        <v/>
      </c>
      <c r="G34" s="38" t="str">
        <f aca="false">IFERROR(INDEX(Orders!$W$5:$W$64,MATCH(26,$AB$5:$AB$64,0)),"")</f>
        <v/>
      </c>
      <c r="H34" s="38" t="str">
        <f aca="false">IFERROR(INDEX(Orders!$J$5:$J$64,MATCH(26,$AB$5:$AB$64,0)),"")</f>
        <v/>
      </c>
      <c r="I34" s="38" t="str">
        <f aca="false">IFERROR(INDEX(Orders!$AB$5:$AB$64,MATCH(26,$AB$5:$AB$64,0)),"")</f>
        <v/>
      </c>
      <c r="AB34" s="1" t="str">
        <f aca="false">IF(AND(Orders!$A34&lt;&gt;"",OR(Orders!$W34="Paid",Orders!$W34="Partially Paid",Orders!$J34="Yes")),MAX($AB$3:$AB33)+1,"")</f>
        <v/>
      </c>
    </row>
    <row r="35" customFormat="false" ht="15" hidden="false" customHeight="true" outlineLevel="0" collapsed="false">
      <c r="A35" s="36" t="str">
        <f aca="false">IFERROR(INDEX(Orders!$A$5:$A$64,MATCH(27,$AB$5:$AB$64,0)),"")</f>
        <v/>
      </c>
      <c r="B35" s="36" t="str">
        <f aca="false">IFERROR(INDEX(Orders!$B$5:$B$64,MATCH(27,$AB$5:$AB$64,0)),"")</f>
        <v/>
      </c>
      <c r="C35" s="36" t="str">
        <f aca="false">IFERROR(INDEX(Orders!$C$5:$C$64,MATCH(27,$AB$5:$AB$64,0)),"")</f>
        <v/>
      </c>
      <c r="D35" s="42" t="str">
        <f aca="false">IFERROR(INDEX(Orders!$F$5:$F$64,MATCH(27,$AB$5:$AB$64,0)),"")</f>
        <v/>
      </c>
      <c r="E35" s="42" t="str">
        <f aca="false">IFERROR(INDEX(Orders!$G$5:$G$64,MATCH(27,$AB$5:$AB$64,0)),"")</f>
        <v/>
      </c>
      <c r="F35" s="42" t="str">
        <f aca="false">IFERROR(INDEX(Orders!$V$5:$V$64,MATCH(27,$AB$5:$AB$64,0)),"")</f>
        <v/>
      </c>
      <c r="G35" s="36" t="str">
        <f aca="false">IFERROR(INDEX(Orders!$W$5:$W$64,MATCH(27,$AB$5:$AB$64,0)),"")</f>
        <v/>
      </c>
      <c r="H35" s="36" t="str">
        <f aca="false">IFERROR(INDEX(Orders!$J$5:$J$64,MATCH(27,$AB$5:$AB$64,0)),"")</f>
        <v/>
      </c>
      <c r="I35" s="36" t="str">
        <f aca="false">IFERROR(INDEX(Orders!$AB$5:$AB$64,MATCH(27,$AB$5:$AB$64,0)),"")</f>
        <v/>
      </c>
      <c r="AB35" s="1" t="str">
        <f aca="false">IF(AND(Orders!$A35&lt;&gt;"",OR(Orders!$W35="Paid",Orders!$W35="Partially Paid",Orders!$J35="Yes")),MAX($AB$3:$AB34)+1,"")</f>
        <v/>
      </c>
    </row>
    <row r="36" customFormat="false" ht="15" hidden="false" customHeight="true" outlineLevel="0" collapsed="false">
      <c r="A36" s="38" t="str">
        <f aca="false">IFERROR(INDEX(Orders!$A$5:$A$64,MATCH(28,$AB$5:$AB$64,0)),"")</f>
        <v/>
      </c>
      <c r="B36" s="38" t="str">
        <f aca="false">IFERROR(INDEX(Orders!$B$5:$B$64,MATCH(28,$AB$5:$AB$64,0)),"")</f>
        <v/>
      </c>
      <c r="C36" s="38" t="str">
        <f aca="false">IFERROR(INDEX(Orders!$C$5:$C$64,MATCH(28,$AB$5:$AB$64,0)),"")</f>
        <v/>
      </c>
      <c r="D36" s="45" t="str">
        <f aca="false">IFERROR(INDEX(Orders!$F$5:$F$64,MATCH(28,$AB$5:$AB$64,0)),"")</f>
        <v/>
      </c>
      <c r="E36" s="45" t="str">
        <f aca="false">IFERROR(INDEX(Orders!$G$5:$G$64,MATCH(28,$AB$5:$AB$64,0)),"")</f>
        <v/>
      </c>
      <c r="F36" s="45" t="str">
        <f aca="false">IFERROR(INDEX(Orders!$V$5:$V$64,MATCH(28,$AB$5:$AB$64,0)),"")</f>
        <v/>
      </c>
      <c r="G36" s="38" t="str">
        <f aca="false">IFERROR(INDEX(Orders!$W$5:$W$64,MATCH(28,$AB$5:$AB$64,0)),"")</f>
        <v/>
      </c>
      <c r="H36" s="38" t="str">
        <f aca="false">IFERROR(INDEX(Orders!$J$5:$J$64,MATCH(28,$AB$5:$AB$64,0)),"")</f>
        <v/>
      </c>
      <c r="I36" s="38" t="str">
        <f aca="false">IFERROR(INDEX(Orders!$AB$5:$AB$64,MATCH(28,$AB$5:$AB$64,0)),"")</f>
        <v/>
      </c>
      <c r="AB36" s="1" t="str">
        <f aca="false">IF(AND(Orders!$A36&lt;&gt;"",OR(Orders!$W36="Paid",Orders!$W36="Partially Paid",Orders!$J36="Yes")),MAX($AB$3:$AB35)+1,"")</f>
        <v/>
      </c>
    </row>
    <row r="37" customFormat="false" ht="15" hidden="false" customHeight="true" outlineLevel="0" collapsed="false">
      <c r="A37" s="36" t="str">
        <f aca="false">IFERROR(INDEX(Orders!$A$5:$A$64,MATCH(29,$AB$5:$AB$64,0)),"")</f>
        <v/>
      </c>
      <c r="B37" s="36" t="str">
        <f aca="false">IFERROR(INDEX(Orders!$B$5:$B$64,MATCH(29,$AB$5:$AB$64,0)),"")</f>
        <v/>
      </c>
      <c r="C37" s="36" t="str">
        <f aca="false">IFERROR(INDEX(Orders!$C$5:$C$64,MATCH(29,$AB$5:$AB$64,0)),"")</f>
        <v/>
      </c>
      <c r="D37" s="42" t="str">
        <f aca="false">IFERROR(INDEX(Orders!$F$5:$F$64,MATCH(29,$AB$5:$AB$64,0)),"")</f>
        <v/>
      </c>
      <c r="E37" s="42" t="str">
        <f aca="false">IFERROR(INDEX(Orders!$G$5:$G$64,MATCH(29,$AB$5:$AB$64,0)),"")</f>
        <v/>
      </c>
      <c r="F37" s="42" t="str">
        <f aca="false">IFERROR(INDEX(Orders!$V$5:$V$64,MATCH(29,$AB$5:$AB$64,0)),"")</f>
        <v/>
      </c>
      <c r="G37" s="36" t="str">
        <f aca="false">IFERROR(INDEX(Orders!$W$5:$W$64,MATCH(29,$AB$5:$AB$64,0)),"")</f>
        <v/>
      </c>
      <c r="H37" s="36" t="str">
        <f aca="false">IFERROR(INDEX(Orders!$J$5:$J$64,MATCH(29,$AB$5:$AB$64,0)),"")</f>
        <v/>
      </c>
      <c r="I37" s="36" t="str">
        <f aca="false">IFERROR(INDEX(Orders!$AB$5:$AB$64,MATCH(29,$AB$5:$AB$64,0)),"")</f>
        <v/>
      </c>
      <c r="AB37" s="1" t="str">
        <f aca="false">IF(AND(Orders!$A37&lt;&gt;"",OR(Orders!$W37="Paid",Orders!$W37="Partially Paid",Orders!$J37="Yes")),MAX($AB$3:$AB36)+1,"")</f>
        <v/>
      </c>
    </row>
    <row r="38" customFormat="false" ht="15" hidden="false" customHeight="true" outlineLevel="0" collapsed="false">
      <c r="A38" s="38" t="str">
        <f aca="false">IFERROR(INDEX(Orders!$A$5:$A$64,MATCH(30,$AB$5:$AB$64,0)),"")</f>
        <v/>
      </c>
      <c r="B38" s="38" t="str">
        <f aca="false">IFERROR(INDEX(Orders!$B$5:$B$64,MATCH(30,$AB$5:$AB$64,0)),"")</f>
        <v/>
      </c>
      <c r="C38" s="38" t="str">
        <f aca="false">IFERROR(INDEX(Orders!$C$5:$C$64,MATCH(30,$AB$5:$AB$64,0)),"")</f>
        <v/>
      </c>
      <c r="D38" s="45" t="str">
        <f aca="false">IFERROR(INDEX(Orders!$F$5:$F$64,MATCH(30,$AB$5:$AB$64,0)),"")</f>
        <v/>
      </c>
      <c r="E38" s="45" t="str">
        <f aca="false">IFERROR(INDEX(Orders!$G$5:$G$64,MATCH(30,$AB$5:$AB$64,0)),"")</f>
        <v/>
      </c>
      <c r="F38" s="45" t="str">
        <f aca="false">IFERROR(INDEX(Orders!$V$5:$V$64,MATCH(30,$AB$5:$AB$64,0)),"")</f>
        <v/>
      </c>
      <c r="G38" s="38" t="str">
        <f aca="false">IFERROR(INDEX(Orders!$W$5:$W$64,MATCH(30,$AB$5:$AB$64,0)),"")</f>
        <v/>
      </c>
      <c r="H38" s="38" t="str">
        <f aca="false">IFERROR(INDEX(Orders!$J$5:$J$64,MATCH(30,$AB$5:$AB$64,0)),"")</f>
        <v/>
      </c>
      <c r="I38" s="38" t="str">
        <f aca="false">IFERROR(INDEX(Orders!$AB$5:$AB$64,MATCH(30,$AB$5:$AB$64,0)),"")</f>
        <v/>
      </c>
      <c r="AB38" s="1" t="str">
        <f aca="false">IF(AND(Orders!$A38&lt;&gt;"",OR(Orders!$W38="Paid",Orders!$W38="Partially Paid",Orders!$J38="Yes")),MAX($AB$3:$AB37)+1,"")</f>
        <v/>
      </c>
    </row>
    <row r="39" customFormat="false" ht="15" hidden="false" customHeight="true" outlineLevel="0" collapsed="false">
      <c r="A39" s="36" t="str">
        <f aca="false">IFERROR(INDEX(Orders!$A$5:$A$64,MATCH(31,$AB$5:$AB$64,0)),"")</f>
        <v/>
      </c>
      <c r="B39" s="36" t="str">
        <f aca="false">IFERROR(INDEX(Orders!$B$5:$B$64,MATCH(31,$AB$5:$AB$64,0)),"")</f>
        <v/>
      </c>
      <c r="C39" s="36" t="str">
        <f aca="false">IFERROR(INDEX(Orders!$C$5:$C$64,MATCH(31,$AB$5:$AB$64,0)),"")</f>
        <v/>
      </c>
      <c r="D39" s="42" t="str">
        <f aca="false">IFERROR(INDEX(Orders!$F$5:$F$64,MATCH(31,$AB$5:$AB$64,0)),"")</f>
        <v/>
      </c>
      <c r="E39" s="42" t="str">
        <f aca="false">IFERROR(INDEX(Orders!$G$5:$G$64,MATCH(31,$AB$5:$AB$64,0)),"")</f>
        <v/>
      </c>
      <c r="F39" s="42" t="str">
        <f aca="false">IFERROR(INDEX(Orders!$V$5:$V$64,MATCH(31,$AB$5:$AB$64,0)),"")</f>
        <v/>
      </c>
      <c r="G39" s="36" t="str">
        <f aca="false">IFERROR(INDEX(Orders!$W$5:$W$64,MATCH(31,$AB$5:$AB$64,0)),"")</f>
        <v/>
      </c>
      <c r="H39" s="36" t="str">
        <f aca="false">IFERROR(INDEX(Orders!$J$5:$J$64,MATCH(31,$AB$5:$AB$64,0)),"")</f>
        <v/>
      </c>
      <c r="I39" s="36" t="str">
        <f aca="false">IFERROR(INDEX(Orders!$AB$5:$AB$64,MATCH(31,$AB$5:$AB$64,0)),"")</f>
        <v/>
      </c>
      <c r="AB39" s="1" t="str">
        <f aca="false">IF(AND(Orders!$A39&lt;&gt;"",OR(Orders!$W39="Paid",Orders!$W39="Partially Paid",Orders!$J39="Yes")),MAX($AB$3:$AB38)+1,"")</f>
        <v/>
      </c>
    </row>
    <row r="40" customFormat="false" ht="15" hidden="false" customHeight="true" outlineLevel="0" collapsed="false">
      <c r="A40" s="38" t="str">
        <f aca="false">IFERROR(INDEX(Orders!$A$5:$A$64,MATCH(32,$AB$5:$AB$64,0)),"")</f>
        <v/>
      </c>
      <c r="B40" s="38" t="str">
        <f aca="false">IFERROR(INDEX(Orders!$B$5:$B$64,MATCH(32,$AB$5:$AB$64,0)),"")</f>
        <v/>
      </c>
      <c r="C40" s="38" t="str">
        <f aca="false">IFERROR(INDEX(Orders!$C$5:$C$64,MATCH(32,$AB$5:$AB$64,0)),"")</f>
        <v/>
      </c>
      <c r="D40" s="45" t="str">
        <f aca="false">IFERROR(INDEX(Orders!$F$5:$F$64,MATCH(32,$AB$5:$AB$64,0)),"")</f>
        <v/>
      </c>
      <c r="E40" s="45" t="str">
        <f aca="false">IFERROR(INDEX(Orders!$G$5:$G$64,MATCH(32,$AB$5:$AB$64,0)),"")</f>
        <v/>
      </c>
      <c r="F40" s="45" t="str">
        <f aca="false">IFERROR(INDEX(Orders!$V$5:$V$64,MATCH(32,$AB$5:$AB$64,0)),"")</f>
        <v/>
      </c>
      <c r="G40" s="38" t="str">
        <f aca="false">IFERROR(INDEX(Orders!$W$5:$W$64,MATCH(32,$AB$5:$AB$64,0)),"")</f>
        <v/>
      </c>
      <c r="H40" s="38" t="str">
        <f aca="false">IFERROR(INDEX(Orders!$J$5:$J$64,MATCH(32,$AB$5:$AB$64,0)),"")</f>
        <v/>
      </c>
      <c r="I40" s="38" t="str">
        <f aca="false">IFERROR(INDEX(Orders!$AB$5:$AB$64,MATCH(32,$AB$5:$AB$64,0)),"")</f>
        <v/>
      </c>
      <c r="AB40" s="1" t="str">
        <f aca="false">IF(AND(Orders!$A40&lt;&gt;"",OR(Orders!$W40="Paid",Orders!$W40="Partially Paid",Orders!$J40="Yes")),MAX($AB$3:$AB39)+1,"")</f>
        <v/>
      </c>
    </row>
    <row r="41" customFormat="false" ht="15" hidden="false" customHeight="true" outlineLevel="0" collapsed="false">
      <c r="A41" s="36" t="str">
        <f aca="false">IFERROR(INDEX(Orders!$A$5:$A$64,MATCH(33,$AB$5:$AB$64,0)),"")</f>
        <v/>
      </c>
      <c r="B41" s="36" t="str">
        <f aca="false">IFERROR(INDEX(Orders!$B$5:$B$64,MATCH(33,$AB$5:$AB$64,0)),"")</f>
        <v/>
      </c>
      <c r="C41" s="36" t="str">
        <f aca="false">IFERROR(INDEX(Orders!$C$5:$C$64,MATCH(33,$AB$5:$AB$64,0)),"")</f>
        <v/>
      </c>
      <c r="D41" s="42" t="str">
        <f aca="false">IFERROR(INDEX(Orders!$F$5:$F$64,MATCH(33,$AB$5:$AB$64,0)),"")</f>
        <v/>
      </c>
      <c r="E41" s="42" t="str">
        <f aca="false">IFERROR(INDEX(Orders!$G$5:$G$64,MATCH(33,$AB$5:$AB$64,0)),"")</f>
        <v/>
      </c>
      <c r="F41" s="42" t="str">
        <f aca="false">IFERROR(INDEX(Orders!$V$5:$V$64,MATCH(33,$AB$5:$AB$64,0)),"")</f>
        <v/>
      </c>
      <c r="G41" s="36" t="str">
        <f aca="false">IFERROR(INDEX(Orders!$W$5:$W$64,MATCH(33,$AB$5:$AB$64,0)),"")</f>
        <v/>
      </c>
      <c r="H41" s="36" t="str">
        <f aca="false">IFERROR(INDEX(Orders!$J$5:$J$64,MATCH(33,$AB$5:$AB$64,0)),"")</f>
        <v/>
      </c>
      <c r="I41" s="36" t="str">
        <f aca="false">IFERROR(INDEX(Orders!$AB$5:$AB$64,MATCH(33,$AB$5:$AB$64,0)),"")</f>
        <v/>
      </c>
      <c r="AB41" s="1" t="str">
        <f aca="false">IF(AND(Orders!$A41&lt;&gt;"",OR(Orders!$W41="Paid",Orders!$W41="Partially Paid",Orders!$J41="Yes")),MAX($AB$3:$AB40)+1,"")</f>
        <v/>
      </c>
    </row>
    <row r="42" customFormat="false" ht="15" hidden="false" customHeight="true" outlineLevel="0" collapsed="false">
      <c r="A42" s="38" t="str">
        <f aca="false">IFERROR(INDEX(Orders!$A$5:$A$64,MATCH(34,$AB$5:$AB$64,0)),"")</f>
        <v/>
      </c>
      <c r="B42" s="38" t="str">
        <f aca="false">IFERROR(INDEX(Orders!$B$5:$B$64,MATCH(34,$AB$5:$AB$64,0)),"")</f>
        <v/>
      </c>
      <c r="C42" s="38" t="str">
        <f aca="false">IFERROR(INDEX(Orders!$C$5:$C$64,MATCH(34,$AB$5:$AB$64,0)),"")</f>
        <v/>
      </c>
      <c r="D42" s="45" t="str">
        <f aca="false">IFERROR(INDEX(Orders!$F$5:$F$64,MATCH(34,$AB$5:$AB$64,0)),"")</f>
        <v/>
      </c>
      <c r="E42" s="45" t="str">
        <f aca="false">IFERROR(INDEX(Orders!$G$5:$G$64,MATCH(34,$AB$5:$AB$64,0)),"")</f>
        <v/>
      </c>
      <c r="F42" s="45" t="str">
        <f aca="false">IFERROR(INDEX(Orders!$V$5:$V$64,MATCH(34,$AB$5:$AB$64,0)),"")</f>
        <v/>
      </c>
      <c r="G42" s="38" t="str">
        <f aca="false">IFERROR(INDEX(Orders!$W$5:$W$64,MATCH(34,$AB$5:$AB$64,0)),"")</f>
        <v/>
      </c>
      <c r="H42" s="38" t="str">
        <f aca="false">IFERROR(INDEX(Orders!$J$5:$J$64,MATCH(34,$AB$5:$AB$64,0)),"")</f>
        <v/>
      </c>
      <c r="I42" s="38" t="str">
        <f aca="false">IFERROR(INDEX(Orders!$AB$5:$AB$64,MATCH(34,$AB$5:$AB$64,0)),"")</f>
        <v/>
      </c>
      <c r="AB42" s="1" t="str">
        <f aca="false">IF(AND(Orders!$A42&lt;&gt;"",OR(Orders!$W42="Paid",Orders!$W42="Partially Paid",Orders!$J42="Yes")),MAX($AB$3:$AB41)+1,"")</f>
        <v/>
      </c>
    </row>
    <row r="43" customFormat="false" ht="15" hidden="false" customHeight="true" outlineLevel="0" collapsed="false">
      <c r="A43" s="36" t="str">
        <f aca="false">IFERROR(INDEX(Orders!$A$5:$A$64,MATCH(35,$AB$5:$AB$64,0)),"")</f>
        <v/>
      </c>
      <c r="B43" s="36" t="str">
        <f aca="false">IFERROR(INDEX(Orders!$B$5:$B$64,MATCH(35,$AB$5:$AB$64,0)),"")</f>
        <v/>
      </c>
      <c r="C43" s="36" t="str">
        <f aca="false">IFERROR(INDEX(Orders!$C$5:$C$64,MATCH(35,$AB$5:$AB$64,0)),"")</f>
        <v/>
      </c>
      <c r="D43" s="42" t="str">
        <f aca="false">IFERROR(INDEX(Orders!$F$5:$F$64,MATCH(35,$AB$5:$AB$64,0)),"")</f>
        <v/>
      </c>
      <c r="E43" s="42" t="str">
        <f aca="false">IFERROR(INDEX(Orders!$G$5:$G$64,MATCH(35,$AB$5:$AB$64,0)),"")</f>
        <v/>
      </c>
      <c r="F43" s="42" t="str">
        <f aca="false">IFERROR(INDEX(Orders!$V$5:$V$64,MATCH(35,$AB$5:$AB$64,0)),"")</f>
        <v/>
      </c>
      <c r="G43" s="36" t="str">
        <f aca="false">IFERROR(INDEX(Orders!$W$5:$W$64,MATCH(35,$AB$5:$AB$64,0)),"")</f>
        <v/>
      </c>
      <c r="H43" s="36" t="str">
        <f aca="false">IFERROR(INDEX(Orders!$J$5:$J$64,MATCH(35,$AB$5:$AB$64,0)),"")</f>
        <v/>
      </c>
      <c r="I43" s="36" t="str">
        <f aca="false">IFERROR(INDEX(Orders!$AB$5:$AB$64,MATCH(35,$AB$5:$AB$64,0)),"")</f>
        <v/>
      </c>
      <c r="AB43" s="1" t="str">
        <f aca="false">IF(AND(Orders!$A43&lt;&gt;"",OR(Orders!$W43="Paid",Orders!$W43="Partially Paid",Orders!$J43="Yes")),MAX($AB$3:$AB42)+1,"")</f>
        <v/>
      </c>
    </row>
    <row r="44" customFormat="false" ht="15" hidden="false" customHeight="true" outlineLevel="0" collapsed="false">
      <c r="A44" s="38" t="str">
        <f aca="false">IFERROR(INDEX(Orders!$A$5:$A$64,MATCH(36,$AB$5:$AB$64,0)),"")</f>
        <v/>
      </c>
      <c r="B44" s="38" t="str">
        <f aca="false">IFERROR(INDEX(Orders!$B$5:$B$64,MATCH(36,$AB$5:$AB$64,0)),"")</f>
        <v/>
      </c>
      <c r="C44" s="38" t="str">
        <f aca="false">IFERROR(INDEX(Orders!$C$5:$C$64,MATCH(36,$AB$5:$AB$64,0)),"")</f>
        <v/>
      </c>
      <c r="D44" s="45" t="str">
        <f aca="false">IFERROR(INDEX(Orders!$F$5:$F$64,MATCH(36,$AB$5:$AB$64,0)),"")</f>
        <v/>
      </c>
      <c r="E44" s="45" t="str">
        <f aca="false">IFERROR(INDEX(Orders!$G$5:$G$64,MATCH(36,$AB$5:$AB$64,0)),"")</f>
        <v/>
      </c>
      <c r="F44" s="45" t="str">
        <f aca="false">IFERROR(INDEX(Orders!$V$5:$V$64,MATCH(36,$AB$5:$AB$64,0)),"")</f>
        <v/>
      </c>
      <c r="G44" s="38" t="str">
        <f aca="false">IFERROR(INDEX(Orders!$W$5:$W$64,MATCH(36,$AB$5:$AB$64,0)),"")</f>
        <v/>
      </c>
      <c r="H44" s="38" t="str">
        <f aca="false">IFERROR(INDEX(Orders!$J$5:$J$64,MATCH(36,$AB$5:$AB$64,0)),"")</f>
        <v/>
      </c>
      <c r="I44" s="38" t="str">
        <f aca="false">IFERROR(INDEX(Orders!$AB$5:$AB$64,MATCH(36,$AB$5:$AB$64,0)),"")</f>
        <v/>
      </c>
      <c r="AB44" s="1" t="str">
        <f aca="false">IF(AND(Orders!$A44&lt;&gt;"",OR(Orders!$W44="Paid",Orders!$W44="Partially Paid",Orders!$J44="Yes")),MAX($AB$3:$AB43)+1,"")</f>
        <v/>
      </c>
    </row>
    <row r="45" customFormat="false" ht="15" hidden="false" customHeight="true" outlineLevel="0" collapsed="false">
      <c r="A45" s="36" t="str">
        <f aca="false">IFERROR(INDEX(Orders!$A$5:$A$64,MATCH(37,$AB$5:$AB$64,0)),"")</f>
        <v/>
      </c>
      <c r="B45" s="36" t="str">
        <f aca="false">IFERROR(INDEX(Orders!$B$5:$B$64,MATCH(37,$AB$5:$AB$64,0)),"")</f>
        <v/>
      </c>
      <c r="C45" s="36" t="str">
        <f aca="false">IFERROR(INDEX(Orders!$C$5:$C$64,MATCH(37,$AB$5:$AB$64,0)),"")</f>
        <v/>
      </c>
      <c r="D45" s="42" t="str">
        <f aca="false">IFERROR(INDEX(Orders!$F$5:$F$64,MATCH(37,$AB$5:$AB$64,0)),"")</f>
        <v/>
      </c>
      <c r="E45" s="42" t="str">
        <f aca="false">IFERROR(INDEX(Orders!$G$5:$G$64,MATCH(37,$AB$5:$AB$64,0)),"")</f>
        <v/>
      </c>
      <c r="F45" s="42" t="str">
        <f aca="false">IFERROR(INDEX(Orders!$V$5:$V$64,MATCH(37,$AB$5:$AB$64,0)),"")</f>
        <v/>
      </c>
      <c r="G45" s="36" t="str">
        <f aca="false">IFERROR(INDEX(Orders!$W$5:$W$64,MATCH(37,$AB$5:$AB$64,0)),"")</f>
        <v/>
      </c>
      <c r="H45" s="36" t="str">
        <f aca="false">IFERROR(INDEX(Orders!$J$5:$J$64,MATCH(37,$AB$5:$AB$64,0)),"")</f>
        <v/>
      </c>
      <c r="I45" s="36" t="str">
        <f aca="false">IFERROR(INDEX(Orders!$AB$5:$AB$64,MATCH(37,$AB$5:$AB$64,0)),"")</f>
        <v/>
      </c>
      <c r="AB45" s="1" t="str">
        <f aca="false">IF(AND(Orders!$A45&lt;&gt;"",OR(Orders!$W45="Paid",Orders!$W45="Partially Paid",Orders!$J45="Yes")),MAX($AB$3:$AB44)+1,"")</f>
        <v/>
      </c>
    </row>
    <row r="46" customFormat="false" ht="15" hidden="false" customHeight="true" outlineLevel="0" collapsed="false">
      <c r="A46" s="38" t="str">
        <f aca="false">IFERROR(INDEX(Orders!$A$5:$A$64,MATCH(38,$AB$5:$AB$64,0)),"")</f>
        <v/>
      </c>
      <c r="B46" s="38" t="str">
        <f aca="false">IFERROR(INDEX(Orders!$B$5:$B$64,MATCH(38,$AB$5:$AB$64,0)),"")</f>
        <v/>
      </c>
      <c r="C46" s="38" t="str">
        <f aca="false">IFERROR(INDEX(Orders!$C$5:$C$64,MATCH(38,$AB$5:$AB$64,0)),"")</f>
        <v/>
      </c>
      <c r="D46" s="45" t="str">
        <f aca="false">IFERROR(INDEX(Orders!$F$5:$F$64,MATCH(38,$AB$5:$AB$64,0)),"")</f>
        <v/>
      </c>
      <c r="E46" s="45" t="str">
        <f aca="false">IFERROR(INDEX(Orders!$G$5:$G$64,MATCH(38,$AB$5:$AB$64,0)),"")</f>
        <v/>
      </c>
      <c r="F46" s="45" t="str">
        <f aca="false">IFERROR(INDEX(Orders!$V$5:$V$64,MATCH(38,$AB$5:$AB$64,0)),"")</f>
        <v/>
      </c>
      <c r="G46" s="38" t="str">
        <f aca="false">IFERROR(INDEX(Orders!$W$5:$W$64,MATCH(38,$AB$5:$AB$64,0)),"")</f>
        <v/>
      </c>
      <c r="H46" s="38" t="str">
        <f aca="false">IFERROR(INDEX(Orders!$J$5:$J$64,MATCH(38,$AB$5:$AB$64,0)),"")</f>
        <v/>
      </c>
      <c r="I46" s="38" t="str">
        <f aca="false">IFERROR(INDEX(Orders!$AB$5:$AB$64,MATCH(38,$AB$5:$AB$64,0)),"")</f>
        <v/>
      </c>
      <c r="AB46" s="1" t="str">
        <f aca="false">IF(AND(Orders!$A46&lt;&gt;"",OR(Orders!$W46="Paid",Orders!$W46="Partially Paid",Orders!$J46="Yes")),MAX($AB$3:$AB45)+1,"")</f>
        <v/>
      </c>
    </row>
    <row r="47" customFormat="false" ht="15" hidden="false" customHeight="true" outlineLevel="0" collapsed="false">
      <c r="A47" s="36" t="str">
        <f aca="false">IFERROR(INDEX(Orders!$A$5:$A$64,MATCH(39,$AB$5:$AB$64,0)),"")</f>
        <v/>
      </c>
      <c r="B47" s="36" t="str">
        <f aca="false">IFERROR(INDEX(Orders!$B$5:$B$64,MATCH(39,$AB$5:$AB$64,0)),"")</f>
        <v/>
      </c>
      <c r="C47" s="36" t="str">
        <f aca="false">IFERROR(INDEX(Orders!$C$5:$C$64,MATCH(39,$AB$5:$AB$64,0)),"")</f>
        <v/>
      </c>
      <c r="D47" s="42" t="str">
        <f aca="false">IFERROR(INDEX(Orders!$F$5:$F$64,MATCH(39,$AB$5:$AB$64,0)),"")</f>
        <v/>
      </c>
      <c r="E47" s="42" t="str">
        <f aca="false">IFERROR(INDEX(Orders!$G$5:$G$64,MATCH(39,$AB$5:$AB$64,0)),"")</f>
        <v/>
      </c>
      <c r="F47" s="42" t="str">
        <f aca="false">IFERROR(INDEX(Orders!$V$5:$V$64,MATCH(39,$AB$5:$AB$64,0)),"")</f>
        <v/>
      </c>
      <c r="G47" s="36" t="str">
        <f aca="false">IFERROR(INDEX(Orders!$W$5:$W$64,MATCH(39,$AB$5:$AB$64,0)),"")</f>
        <v/>
      </c>
      <c r="H47" s="36" t="str">
        <f aca="false">IFERROR(INDEX(Orders!$J$5:$J$64,MATCH(39,$AB$5:$AB$64,0)),"")</f>
        <v/>
      </c>
      <c r="I47" s="36" t="str">
        <f aca="false">IFERROR(INDEX(Orders!$AB$5:$AB$64,MATCH(39,$AB$5:$AB$64,0)),"")</f>
        <v/>
      </c>
      <c r="AB47" s="1" t="str">
        <f aca="false">IF(AND(Orders!$A47&lt;&gt;"",OR(Orders!$W47="Paid",Orders!$W47="Partially Paid",Orders!$J47="Yes")),MAX($AB$3:$AB46)+1,"")</f>
        <v/>
      </c>
    </row>
    <row r="48" customFormat="false" ht="15" hidden="false" customHeight="true" outlineLevel="0" collapsed="false">
      <c r="A48" s="38" t="str">
        <f aca="false">IFERROR(INDEX(Orders!$A$5:$A$64,MATCH(40,$AB$5:$AB$64,0)),"")</f>
        <v/>
      </c>
      <c r="B48" s="38" t="str">
        <f aca="false">IFERROR(INDEX(Orders!$B$5:$B$64,MATCH(40,$AB$5:$AB$64,0)),"")</f>
        <v/>
      </c>
      <c r="C48" s="38" t="str">
        <f aca="false">IFERROR(INDEX(Orders!$C$5:$C$64,MATCH(40,$AB$5:$AB$64,0)),"")</f>
        <v/>
      </c>
      <c r="D48" s="45" t="str">
        <f aca="false">IFERROR(INDEX(Orders!$F$5:$F$64,MATCH(40,$AB$5:$AB$64,0)),"")</f>
        <v/>
      </c>
      <c r="E48" s="45" t="str">
        <f aca="false">IFERROR(INDEX(Orders!$G$5:$G$64,MATCH(40,$AB$5:$AB$64,0)),"")</f>
        <v/>
      </c>
      <c r="F48" s="45" t="str">
        <f aca="false">IFERROR(INDEX(Orders!$V$5:$V$64,MATCH(40,$AB$5:$AB$64,0)),"")</f>
        <v/>
      </c>
      <c r="G48" s="38" t="str">
        <f aca="false">IFERROR(INDEX(Orders!$W$5:$W$64,MATCH(40,$AB$5:$AB$64,0)),"")</f>
        <v/>
      </c>
      <c r="H48" s="38" t="str">
        <f aca="false">IFERROR(INDEX(Orders!$J$5:$J$64,MATCH(40,$AB$5:$AB$64,0)),"")</f>
        <v/>
      </c>
      <c r="I48" s="38" t="str">
        <f aca="false">IFERROR(INDEX(Orders!$AB$5:$AB$64,MATCH(40,$AB$5:$AB$64,0)),"")</f>
        <v/>
      </c>
      <c r="AB48" s="1" t="str">
        <f aca="false">IF(AND(Orders!$A48&lt;&gt;"",OR(Orders!$W48="Paid",Orders!$W48="Partially Paid",Orders!$J48="Yes")),MAX($AB$3:$AB47)+1,"")</f>
        <v/>
      </c>
    </row>
    <row r="49" customFormat="false" ht="15" hidden="false" customHeight="true" outlineLevel="0" collapsed="false">
      <c r="A49" s="36" t="str">
        <f aca="false">IFERROR(INDEX(Orders!$A$5:$A$64,MATCH(41,$AB$5:$AB$64,0)),"")</f>
        <v/>
      </c>
      <c r="B49" s="36" t="str">
        <f aca="false">IFERROR(INDEX(Orders!$B$5:$B$64,MATCH(41,$AB$5:$AB$64,0)),"")</f>
        <v/>
      </c>
      <c r="C49" s="36" t="str">
        <f aca="false">IFERROR(INDEX(Orders!$C$5:$C$64,MATCH(41,$AB$5:$AB$64,0)),"")</f>
        <v/>
      </c>
      <c r="D49" s="42" t="str">
        <f aca="false">IFERROR(INDEX(Orders!$F$5:$F$64,MATCH(41,$AB$5:$AB$64,0)),"")</f>
        <v/>
      </c>
      <c r="E49" s="42" t="str">
        <f aca="false">IFERROR(INDEX(Orders!$G$5:$G$64,MATCH(41,$AB$5:$AB$64,0)),"")</f>
        <v/>
      </c>
      <c r="F49" s="42" t="str">
        <f aca="false">IFERROR(INDEX(Orders!$V$5:$V$64,MATCH(41,$AB$5:$AB$64,0)),"")</f>
        <v/>
      </c>
      <c r="G49" s="36" t="str">
        <f aca="false">IFERROR(INDEX(Orders!$W$5:$W$64,MATCH(41,$AB$5:$AB$64,0)),"")</f>
        <v/>
      </c>
      <c r="H49" s="36" t="str">
        <f aca="false">IFERROR(INDEX(Orders!$J$5:$J$64,MATCH(41,$AB$5:$AB$64,0)),"")</f>
        <v/>
      </c>
      <c r="I49" s="36" t="str">
        <f aca="false">IFERROR(INDEX(Orders!$AB$5:$AB$64,MATCH(41,$AB$5:$AB$64,0)),"")</f>
        <v/>
      </c>
      <c r="AB49" s="1" t="str">
        <f aca="false">IF(AND(Orders!$A49&lt;&gt;"",OR(Orders!$W49="Paid",Orders!$W49="Partially Paid",Orders!$J49="Yes")),MAX($AB$3:$AB48)+1,"")</f>
        <v/>
      </c>
    </row>
    <row r="50" customFormat="false" ht="15" hidden="false" customHeight="true" outlineLevel="0" collapsed="false">
      <c r="A50" s="38" t="str">
        <f aca="false">IFERROR(INDEX(Orders!$A$5:$A$64,MATCH(42,$AB$5:$AB$64,0)),"")</f>
        <v/>
      </c>
      <c r="B50" s="38" t="str">
        <f aca="false">IFERROR(INDEX(Orders!$B$5:$B$64,MATCH(42,$AB$5:$AB$64,0)),"")</f>
        <v/>
      </c>
      <c r="C50" s="38" t="str">
        <f aca="false">IFERROR(INDEX(Orders!$C$5:$C$64,MATCH(42,$AB$5:$AB$64,0)),"")</f>
        <v/>
      </c>
      <c r="D50" s="45" t="str">
        <f aca="false">IFERROR(INDEX(Orders!$F$5:$F$64,MATCH(42,$AB$5:$AB$64,0)),"")</f>
        <v/>
      </c>
      <c r="E50" s="45" t="str">
        <f aca="false">IFERROR(INDEX(Orders!$G$5:$G$64,MATCH(42,$AB$5:$AB$64,0)),"")</f>
        <v/>
      </c>
      <c r="F50" s="45" t="str">
        <f aca="false">IFERROR(INDEX(Orders!$V$5:$V$64,MATCH(42,$AB$5:$AB$64,0)),"")</f>
        <v/>
      </c>
      <c r="G50" s="38" t="str">
        <f aca="false">IFERROR(INDEX(Orders!$W$5:$W$64,MATCH(42,$AB$5:$AB$64,0)),"")</f>
        <v/>
      </c>
      <c r="H50" s="38" t="str">
        <f aca="false">IFERROR(INDEX(Orders!$J$5:$J$64,MATCH(42,$AB$5:$AB$64,0)),"")</f>
        <v/>
      </c>
      <c r="I50" s="38" t="str">
        <f aca="false">IFERROR(INDEX(Orders!$AB$5:$AB$64,MATCH(42,$AB$5:$AB$64,0)),"")</f>
        <v/>
      </c>
      <c r="AB50" s="1" t="str">
        <f aca="false">IF(AND(Orders!$A50&lt;&gt;"",OR(Orders!$W50="Paid",Orders!$W50="Partially Paid",Orders!$J50="Yes")),MAX($AB$3:$AB49)+1,"")</f>
        <v/>
      </c>
    </row>
    <row r="51" customFormat="false" ht="15" hidden="false" customHeight="true" outlineLevel="0" collapsed="false">
      <c r="A51" s="36" t="str">
        <f aca="false">IFERROR(INDEX(Orders!$A$5:$A$64,MATCH(43,$AB$5:$AB$64,0)),"")</f>
        <v/>
      </c>
      <c r="B51" s="36" t="str">
        <f aca="false">IFERROR(INDEX(Orders!$B$5:$B$64,MATCH(43,$AB$5:$AB$64,0)),"")</f>
        <v/>
      </c>
      <c r="C51" s="36" t="str">
        <f aca="false">IFERROR(INDEX(Orders!$C$5:$C$64,MATCH(43,$AB$5:$AB$64,0)),"")</f>
        <v/>
      </c>
      <c r="D51" s="42" t="str">
        <f aca="false">IFERROR(INDEX(Orders!$F$5:$F$64,MATCH(43,$AB$5:$AB$64,0)),"")</f>
        <v/>
      </c>
      <c r="E51" s="42" t="str">
        <f aca="false">IFERROR(INDEX(Orders!$G$5:$G$64,MATCH(43,$AB$5:$AB$64,0)),"")</f>
        <v/>
      </c>
      <c r="F51" s="42" t="str">
        <f aca="false">IFERROR(INDEX(Orders!$V$5:$V$64,MATCH(43,$AB$5:$AB$64,0)),"")</f>
        <v/>
      </c>
      <c r="G51" s="36" t="str">
        <f aca="false">IFERROR(INDEX(Orders!$W$5:$W$64,MATCH(43,$AB$5:$AB$64,0)),"")</f>
        <v/>
      </c>
      <c r="H51" s="36" t="str">
        <f aca="false">IFERROR(INDEX(Orders!$J$5:$J$64,MATCH(43,$AB$5:$AB$64,0)),"")</f>
        <v/>
      </c>
      <c r="I51" s="36" t="str">
        <f aca="false">IFERROR(INDEX(Orders!$AB$5:$AB$64,MATCH(43,$AB$5:$AB$64,0)),"")</f>
        <v/>
      </c>
      <c r="AB51" s="1" t="str">
        <f aca="false">IF(AND(Orders!$A51&lt;&gt;"",OR(Orders!$W51="Paid",Orders!$W51="Partially Paid",Orders!$J51="Yes")),MAX($AB$3:$AB50)+1,"")</f>
        <v/>
      </c>
    </row>
    <row r="52" customFormat="false" ht="15" hidden="false" customHeight="true" outlineLevel="0" collapsed="false">
      <c r="A52" s="38" t="str">
        <f aca="false">IFERROR(INDEX(Orders!$A$5:$A$64,MATCH(44,$AB$5:$AB$64,0)),"")</f>
        <v/>
      </c>
      <c r="B52" s="38" t="str">
        <f aca="false">IFERROR(INDEX(Orders!$B$5:$B$64,MATCH(44,$AB$5:$AB$64,0)),"")</f>
        <v/>
      </c>
      <c r="C52" s="38" t="str">
        <f aca="false">IFERROR(INDEX(Orders!$C$5:$C$64,MATCH(44,$AB$5:$AB$64,0)),"")</f>
        <v/>
      </c>
      <c r="D52" s="45" t="str">
        <f aca="false">IFERROR(INDEX(Orders!$F$5:$F$64,MATCH(44,$AB$5:$AB$64,0)),"")</f>
        <v/>
      </c>
      <c r="E52" s="45" t="str">
        <f aca="false">IFERROR(INDEX(Orders!$G$5:$G$64,MATCH(44,$AB$5:$AB$64,0)),"")</f>
        <v/>
      </c>
      <c r="F52" s="45" t="str">
        <f aca="false">IFERROR(INDEX(Orders!$V$5:$V$64,MATCH(44,$AB$5:$AB$64,0)),"")</f>
        <v/>
      </c>
      <c r="G52" s="38" t="str">
        <f aca="false">IFERROR(INDEX(Orders!$W$5:$W$64,MATCH(44,$AB$5:$AB$64,0)),"")</f>
        <v/>
      </c>
      <c r="H52" s="38" t="str">
        <f aca="false">IFERROR(INDEX(Orders!$J$5:$J$64,MATCH(44,$AB$5:$AB$64,0)),"")</f>
        <v/>
      </c>
      <c r="I52" s="38" t="str">
        <f aca="false">IFERROR(INDEX(Orders!$AB$5:$AB$64,MATCH(44,$AB$5:$AB$64,0)),"")</f>
        <v/>
      </c>
      <c r="AB52" s="1" t="str">
        <f aca="false">IF(AND(Orders!$A52&lt;&gt;"",OR(Orders!$W52="Paid",Orders!$W52="Partially Paid",Orders!$J52="Yes")),MAX($AB$3:$AB51)+1,"")</f>
        <v/>
      </c>
    </row>
    <row r="53" customFormat="false" ht="15" hidden="false" customHeight="true" outlineLevel="0" collapsed="false">
      <c r="A53" s="36" t="str">
        <f aca="false">IFERROR(INDEX(Orders!$A$5:$A$64,MATCH(45,$AB$5:$AB$64,0)),"")</f>
        <v/>
      </c>
      <c r="B53" s="36" t="str">
        <f aca="false">IFERROR(INDEX(Orders!$B$5:$B$64,MATCH(45,$AB$5:$AB$64,0)),"")</f>
        <v/>
      </c>
      <c r="C53" s="36" t="str">
        <f aca="false">IFERROR(INDEX(Orders!$C$5:$C$64,MATCH(45,$AB$5:$AB$64,0)),"")</f>
        <v/>
      </c>
      <c r="D53" s="42" t="str">
        <f aca="false">IFERROR(INDEX(Orders!$F$5:$F$64,MATCH(45,$AB$5:$AB$64,0)),"")</f>
        <v/>
      </c>
      <c r="E53" s="42" t="str">
        <f aca="false">IFERROR(INDEX(Orders!$G$5:$G$64,MATCH(45,$AB$5:$AB$64,0)),"")</f>
        <v/>
      </c>
      <c r="F53" s="42" t="str">
        <f aca="false">IFERROR(INDEX(Orders!$V$5:$V$64,MATCH(45,$AB$5:$AB$64,0)),"")</f>
        <v/>
      </c>
      <c r="G53" s="36" t="str">
        <f aca="false">IFERROR(INDEX(Orders!$W$5:$W$64,MATCH(45,$AB$5:$AB$64,0)),"")</f>
        <v/>
      </c>
      <c r="H53" s="36" t="str">
        <f aca="false">IFERROR(INDEX(Orders!$J$5:$J$64,MATCH(45,$AB$5:$AB$64,0)),"")</f>
        <v/>
      </c>
      <c r="I53" s="36" t="str">
        <f aca="false">IFERROR(INDEX(Orders!$AB$5:$AB$64,MATCH(45,$AB$5:$AB$64,0)),"")</f>
        <v/>
      </c>
      <c r="AB53" s="1" t="str">
        <f aca="false">IF(AND(Orders!$A53&lt;&gt;"",OR(Orders!$W53="Paid",Orders!$W53="Partially Paid",Orders!$J53="Yes")),MAX($AB$3:$AB52)+1,"")</f>
        <v/>
      </c>
    </row>
    <row r="54" customFormat="false" ht="15" hidden="false" customHeight="true" outlineLevel="0" collapsed="false">
      <c r="A54" s="38" t="str">
        <f aca="false">IFERROR(INDEX(Orders!$A$5:$A$64,MATCH(46,$AB$5:$AB$64,0)),"")</f>
        <v/>
      </c>
      <c r="B54" s="38" t="str">
        <f aca="false">IFERROR(INDEX(Orders!$B$5:$B$64,MATCH(46,$AB$5:$AB$64,0)),"")</f>
        <v/>
      </c>
      <c r="C54" s="38" t="str">
        <f aca="false">IFERROR(INDEX(Orders!$C$5:$C$64,MATCH(46,$AB$5:$AB$64,0)),"")</f>
        <v/>
      </c>
      <c r="D54" s="45" t="str">
        <f aca="false">IFERROR(INDEX(Orders!$F$5:$F$64,MATCH(46,$AB$5:$AB$64,0)),"")</f>
        <v/>
      </c>
      <c r="E54" s="45" t="str">
        <f aca="false">IFERROR(INDEX(Orders!$G$5:$G$64,MATCH(46,$AB$5:$AB$64,0)),"")</f>
        <v/>
      </c>
      <c r="F54" s="45" t="str">
        <f aca="false">IFERROR(INDEX(Orders!$V$5:$V$64,MATCH(46,$AB$5:$AB$64,0)),"")</f>
        <v/>
      </c>
      <c r="G54" s="38" t="str">
        <f aca="false">IFERROR(INDEX(Orders!$W$5:$W$64,MATCH(46,$AB$5:$AB$64,0)),"")</f>
        <v/>
      </c>
      <c r="H54" s="38" t="str">
        <f aca="false">IFERROR(INDEX(Orders!$J$5:$J$64,MATCH(46,$AB$5:$AB$64,0)),"")</f>
        <v/>
      </c>
      <c r="I54" s="38" t="str">
        <f aca="false">IFERROR(INDEX(Orders!$AB$5:$AB$64,MATCH(46,$AB$5:$AB$64,0)),"")</f>
        <v/>
      </c>
      <c r="AB54" s="1" t="str">
        <f aca="false">IF(AND(Orders!$A54&lt;&gt;"",OR(Orders!$W54="Paid",Orders!$W54="Partially Paid",Orders!$J54="Yes")),MAX($AB$3:$AB53)+1,"")</f>
        <v/>
      </c>
    </row>
    <row r="55" customFormat="false" ht="15" hidden="false" customHeight="true" outlineLevel="0" collapsed="false">
      <c r="A55" s="36" t="str">
        <f aca="false">IFERROR(INDEX(Orders!$A$5:$A$64,MATCH(47,$AB$5:$AB$64,0)),"")</f>
        <v/>
      </c>
      <c r="B55" s="36" t="str">
        <f aca="false">IFERROR(INDEX(Orders!$B$5:$B$64,MATCH(47,$AB$5:$AB$64,0)),"")</f>
        <v/>
      </c>
      <c r="C55" s="36" t="str">
        <f aca="false">IFERROR(INDEX(Orders!$C$5:$C$64,MATCH(47,$AB$5:$AB$64,0)),"")</f>
        <v/>
      </c>
      <c r="D55" s="42" t="str">
        <f aca="false">IFERROR(INDEX(Orders!$F$5:$F$64,MATCH(47,$AB$5:$AB$64,0)),"")</f>
        <v/>
      </c>
      <c r="E55" s="42" t="str">
        <f aca="false">IFERROR(INDEX(Orders!$G$5:$G$64,MATCH(47,$AB$5:$AB$64,0)),"")</f>
        <v/>
      </c>
      <c r="F55" s="42" t="str">
        <f aca="false">IFERROR(INDEX(Orders!$V$5:$V$64,MATCH(47,$AB$5:$AB$64,0)),"")</f>
        <v/>
      </c>
      <c r="G55" s="36" t="str">
        <f aca="false">IFERROR(INDEX(Orders!$W$5:$W$64,MATCH(47,$AB$5:$AB$64,0)),"")</f>
        <v/>
      </c>
      <c r="H55" s="36" t="str">
        <f aca="false">IFERROR(INDEX(Orders!$J$5:$J$64,MATCH(47,$AB$5:$AB$64,0)),"")</f>
        <v/>
      </c>
      <c r="I55" s="36" t="str">
        <f aca="false">IFERROR(INDEX(Orders!$AB$5:$AB$64,MATCH(47,$AB$5:$AB$64,0)),"")</f>
        <v/>
      </c>
      <c r="AB55" s="1" t="str">
        <f aca="false">IF(AND(Orders!$A55&lt;&gt;"",OR(Orders!$W55="Paid",Orders!$W55="Partially Paid",Orders!$J55="Yes")),MAX($AB$3:$AB54)+1,"")</f>
        <v/>
      </c>
    </row>
    <row r="56" customFormat="false" ht="15" hidden="false" customHeight="true" outlineLevel="0" collapsed="false">
      <c r="A56" s="38" t="str">
        <f aca="false">IFERROR(INDEX(Orders!$A$5:$A$64,MATCH(48,$AB$5:$AB$64,0)),"")</f>
        <v/>
      </c>
      <c r="B56" s="38" t="str">
        <f aca="false">IFERROR(INDEX(Orders!$B$5:$B$64,MATCH(48,$AB$5:$AB$64,0)),"")</f>
        <v/>
      </c>
      <c r="C56" s="38" t="str">
        <f aca="false">IFERROR(INDEX(Orders!$C$5:$C$64,MATCH(48,$AB$5:$AB$64,0)),"")</f>
        <v/>
      </c>
      <c r="D56" s="45" t="str">
        <f aca="false">IFERROR(INDEX(Orders!$F$5:$F$64,MATCH(48,$AB$5:$AB$64,0)),"")</f>
        <v/>
      </c>
      <c r="E56" s="45" t="str">
        <f aca="false">IFERROR(INDEX(Orders!$G$5:$G$64,MATCH(48,$AB$5:$AB$64,0)),"")</f>
        <v/>
      </c>
      <c r="F56" s="45" t="str">
        <f aca="false">IFERROR(INDEX(Orders!$V$5:$V$64,MATCH(48,$AB$5:$AB$64,0)),"")</f>
        <v/>
      </c>
      <c r="G56" s="38" t="str">
        <f aca="false">IFERROR(INDEX(Orders!$W$5:$W$64,MATCH(48,$AB$5:$AB$64,0)),"")</f>
        <v/>
      </c>
      <c r="H56" s="38" t="str">
        <f aca="false">IFERROR(INDEX(Orders!$J$5:$J$64,MATCH(48,$AB$5:$AB$64,0)),"")</f>
        <v/>
      </c>
      <c r="I56" s="38" t="str">
        <f aca="false">IFERROR(INDEX(Orders!$AB$5:$AB$64,MATCH(48,$AB$5:$AB$64,0)),"")</f>
        <v/>
      </c>
      <c r="AB56" s="1" t="str">
        <f aca="false">IF(AND(Orders!$A56&lt;&gt;"",OR(Orders!$W56="Paid",Orders!$W56="Partially Paid",Orders!$J56="Yes")),MAX($AB$3:$AB55)+1,"")</f>
        <v/>
      </c>
    </row>
    <row r="57" customFormat="false" ht="15" hidden="false" customHeight="true" outlineLevel="0" collapsed="false">
      <c r="A57" s="36" t="str">
        <f aca="false">IFERROR(INDEX(Orders!$A$5:$A$64,MATCH(49,$AB$5:$AB$64,0)),"")</f>
        <v/>
      </c>
      <c r="B57" s="36" t="str">
        <f aca="false">IFERROR(INDEX(Orders!$B$5:$B$64,MATCH(49,$AB$5:$AB$64,0)),"")</f>
        <v/>
      </c>
      <c r="C57" s="36" t="str">
        <f aca="false">IFERROR(INDEX(Orders!$C$5:$C$64,MATCH(49,$AB$5:$AB$64,0)),"")</f>
        <v/>
      </c>
      <c r="D57" s="42" t="str">
        <f aca="false">IFERROR(INDEX(Orders!$F$5:$F$64,MATCH(49,$AB$5:$AB$64,0)),"")</f>
        <v/>
      </c>
      <c r="E57" s="42" t="str">
        <f aca="false">IFERROR(INDEX(Orders!$G$5:$G$64,MATCH(49,$AB$5:$AB$64,0)),"")</f>
        <v/>
      </c>
      <c r="F57" s="42" t="str">
        <f aca="false">IFERROR(INDEX(Orders!$V$5:$V$64,MATCH(49,$AB$5:$AB$64,0)),"")</f>
        <v/>
      </c>
      <c r="G57" s="36" t="str">
        <f aca="false">IFERROR(INDEX(Orders!$W$5:$W$64,MATCH(49,$AB$5:$AB$64,0)),"")</f>
        <v/>
      </c>
      <c r="H57" s="36" t="str">
        <f aca="false">IFERROR(INDEX(Orders!$J$5:$J$64,MATCH(49,$AB$5:$AB$64,0)),"")</f>
        <v/>
      </c>
      <c r="I57" s="36" t="str">
        <f aca="false">IFERROR(INDEX(Orders!$AB$5:$AB$64,MATCH(49,$AB$5:$AB$64,0)),"")</f>
        <v/>
      </c>
      <c r="AB57" s="1" t="str">
        <f aca="false">IF(AND(Orders!$A57&lt;&gt;"",OR(Orders!$W57="Paid",Orders!$W57="Partially Paid",Orders!$J57="Yes")),MAX($AB$3:$AB56)+1,"")</f>
        <v/>
      </c>
    </row>
    <row r="58" customFormat="false" ht="15" hidden="false" customHeight="true" outlineLevel="0" collapsed="false">
      <c r="A58" s="38" t="str">
        <f aca="false">IFERROR(INDEX(Orders!$A$5:$A$64,MATCH(50,$AB$5:$AB$64,0)),"")</f>
        <v/>
      </c>
      <c r="B58" s="38" t="str">
        <f aca="false">IFERROR(INDEX(Orders!$B$5:$B$64,MATCH(50,$AB$5:$AB$64,0)),"")</f>
        <v/>
      </c>
      <c r="C58" s="38" t="str">
        <f aca="false">IFERROR(INDEX(Orders!$C$5:$C$64,MATCH(50,$AB$5:$AB$64,0)),"")</f>
        <v/>
      </c>
      <c r="D58" s="45" t="str">
        <f aca="false">IFERROR(INDEX(Orders!$F$5:$F$64,MATCH(50,$AB$5:$AB$64,0)),"")</f>
        <v/>
      </c>
      <c r="E58" s="45" t="str">
        <f aca="false">IFERROR(INDEX(Orders!$G$5:$G$64,MATCH(50,$AB$5:$AB$64,0)),"")</f>
        <v/>
      </c>
      <c r="F58" s="45" t="str">
        <f aca="false">IFERROR(INDEX(Orders!$V$5:$V$64,MATCH(50,$AB$5:$AB$64,0)),"")</f>
        <v/>
      </c>
      <c r="G58" s="38" t="str">
        <f aca="false">IFERROR(INDEX(Orders!$W$5:$W$64,MATCH(50,$AB$5:$AB$64,0)),"")</f>
        <v/>
      </c>
      <c r="H58" s="38" t="str">
        <f aca="false">IFERROR(INDEX(Orders!$J$5:$J$64,MATCH(50,$AB$5:$AB$64,0)),"")</f>
        <v/>
      </c>
      <c r="I58" s="38" t="str">
        <f aca="false">IFERROR(INDEX(Orders!$AB$5:$AB$64,MATCH(50,$AB$5:$AB$64,0)),"")</f>
        <v/>
      </c>
      <c r="AB58" s="1" t="str">
        <f aca="false">IF(AND(Orders!$A58&lt;&gt;"",OR(Orders!$W58="Paid",Orders!$W58="Partially Paid",Orders!$J58="Yes")),MAX($AB$3:$AB57)+1,"")</f>
        <v/>
      </c>
    </row>
    <row r="59" customFormat="false" ht="15" hidden="false" customHeight="true" outlineLevel="0" collapsed="false">
      <c r="A59" s="36" t="str">
        <f aca="false">IFERROR(INDEX(Orders!$A$5:$A$64,MATCH(51,$AB$5:$AB$64,0)),"")</f>
        <v/>
      </c>
      <c r="B59" s="36" t="str">
        <f aca="false">IFERROR(INDEX(Orders!$B$5:$B$64,MATCH(51,$AB$5:$AB$64,0)),"")</f>
        <v/>
      </c>
      <c r="C59" s="36" t="str">
        <f aca="false">IFERROR(INDEX(Orders!$C$5:$C$64,MATCH(51,$AB$5:$AB$64,0)),"")</f>
        <v/>
      </c>
      <c r="D59" s="42" t="str">
        <f aca="false">IFERROR(INDEX(Orders!$F$5:$F$64,MATCH(51,$AB$5:$AB$64,0)),"")</f>
        <v/>
      </c>
      <c r="E59" s="42" t="str">
        <f aca="false">IFERROR(INDEX(Orders!$G$5:$G$64,MATCH(51,$AB$5:$AB$64,0)),"")</f>
        <v/>
      </c>
      <c r="F59" s="42" t="str">
        <f aca="false">IFERROR(INDEX(Orders!$V$5:$V$64,MATCH(51,$AB$5:$AB$64,0)),"")</f>
        <v/>
      </c>
      <c r="G59" s="36" t="str">
        <f aca="false">IFERROR(INDEX(Orders!$W$5:$W$64,MATCH(51,$AB$5:$AB$64,0)),"")</f>
        <v/>
      </c>
      <c r="H59" s="36" t="str">
        <f aca="false">IFERROR(INDEX(Orders!$J$5:$J$64,MATCH(51,$AB$5:$AB$64,0)),"")</f>
        <v/>
      </c>
      <c r="I59" s="36" t="str">
        <f aca="false">IFERROR(INDEX(Orders!$AB$5:$AB$64,MATCH(51,$AB$5:$AB$64,0)),"")</f>
        <v/>
      </c>
      <c r="AB59" s="1" t="str">
        <f aca="false">IF(AND(Orders!$A59&lt;&gt;"",OR(Orders!$W59="Paid",Orders!$W59="Partially Paid",Orders!$J59="Yes")),MAX($AB$3:$AB58)+1,"")</f>
        <v/>
      </c>
    </row>
    <row r="60" customFormat="false" ht="15" hidden="false" customHeight="true" outlineLevel="0" collapsed="false">
      <c r="A60" s="38" t="str">
        <f aca="false">IFERROR(INDEX(Orders!$A$5:$A$64,MATCH(52,$AB$5:$AB$64,0)),"")</f>
        <v/>
      </c>
      <c r="B60" s="38" t="str">
        <f aca="false">IFERROR(INDEX(Orders!$B$5:$B$64,MATCH(52,$AB$5:$AB$64,0)),"")</f>
        <v/>
      </c>
      <c r="C60" s="38" t="str">
        <f aca="false">IFERROR(INDEX(Orders!$C$5:$C$64,MATCH(52,$AB$5:$AB$64,0)),"")</f>
        <v/>
      </c>
      <c r="D60" s="45" t="str">
        <f aca="false">IFERROR(INDEX(Orders!$F$5:$F$64,MATCH(52,$AB$5:$AB$64,0)),"")</f>
        <v/>
      </c>
      <c r="E60" s="45" t="str">
        <f aca="false">IFERROR(INDEX(Orders!$G$5:$G$64,MATCH(52,$AB$5:$AB$64,0)),"")</f>
        <v/>
      </c>
      <c r="F60" s="45" t="str">
        <f aca="false">IFERROR(INDEX(Orders!$V$5:$V$64,MATCH(52,$AB$5:$AB$64,0)),"")</f>
        <v/>
      </c>
      <c r="G60" s="38" t="str">
        <f aca="false">IFERROR(INDEX(Orders!$W$5:$W$64,MATCH(52,$AB$5:$AB$64,0)),"")</f>
        <v/>
      </c>
      <c r="H60" s="38" t="str">
        <f aca="false">IFERROR(INDEX(Orders!$J$5:$J$64,MATCH(52,$AB$5:$AB$64,0)),"")</f>
        <v/>
      </c>
      <c r="I60" s="38" t="str">
        <f aca="false">IFERROR(INDEX(Orders!$AB$5:$AB$64,MATCH(52,$AB$5:$AB$64,0)),"")</f>
        <v/>
      </c>
      <c r="AB60" s="1" t="str">
        <f aca="false">IF(AND(Orders!$A60&lt;&gt;"",OR(Orders!$W60="Paid",Orders!$W60="Partially Paid",Orders!$J60="Yes")),MAX($AB$3:$AB59)+1,"")</f>
        <v/>
      </c>
    </row>
    <row r="61" customFormat="false" ht="15" hidden="false" customHeight="true" outlineLevel="0" collapsed="false">
      <c r="A61" s="36" t="str">
        <f aca="false">IFERROR(INDEX(Orders!$A$5:$A$64,MATCH(53,$AB$5:$AB$64,0)),"")</f>
        <v/>
      </c>
      <c r="B61" s="36" t="str">
        <f aca="false">IFERROR(INDEX(Orders!$B$5:$B$64,MATCH(53,$AB$5:$AB$64,0)),"")</f>
        <v/>
      </c>
      <c r="C61" s="36" t="str">
        <f aca="false">IFERROR(INDEX(Orders!$C$5:$C$64,MATCH(53,$AB$5:$AB$64,0)),"")</f>
        <v/>
      </c>
      <c r="D61" s="42" t="str">
        <f aca="false">IFERROR(INDEX(Orders!$F$5:$F$64,MATCH(53,$AB$5:$AB$64,0)),"")</f>
        <v/>
      </c>
      <c r="E61" s="42" t="str">
        <f aca="false">IFERROR(INDEX(Orders!$G$5:$G$64,MATCH(53,$AB$5:$AB$64,0)),"")</f>
        <v/>
      </c>
      <c r="F61" s="42" t="str">
        <f aca="false">IFERROR(INDEX(Orders!$V$5:$V$64,MATCH(53,$AB$5:$AB$64,0)),"")</f>
        <v/>
      </c>
      <c r="G61" s="36" t="str">
        <f aca="false">IFERROR(INDEX(Orders!$W$5:$W$64,MATCH(53,$AB$5:$AB$64,0)),"")</f>
        <v/>
      </c>
      <c r="H61" s="36" t="str">
        <f aca="false">IFERROR(INDEX(Orders!$J$5:$J$64,MATCH(53,$AB$5:$AB$64,0)),"")</f>
        <v/>
      </c>
      <c r="I61" s="36" t="str">
        <f aca="false">IFERROR(INDEX(Orders!$AB$5:$AB$64,MATCH(53,$AB$5:$AB$64,0)),"")</f>
        <v/>
      </c>
      <c r="AB61" s="1" t="str">
        <f aca="false">IF(AND(Orders!$A61&lt;&gt;"",OR(Orders!$W61="Paid",Orders!$W61="Partially Paid",Orders!$J61="Yes")),MAX($AB$3:$AB60)+1,"")</f>
        <v/>
      </c>
    </row>
    <row r="62" customFormat="false" ht="15" hidden="false" customHeight="true" outlineLevel="0" collapsed="false">
      <c r="A62" s="38" t="str">
        <f aca="false">IFERROR(INDEX(Orders!$A$5:$A$64,MATCH(54,$AB$5:$AB$64,0)),"")</f>
        <v/>
      </c>
      <c r="B62" s="38" t="str">
        <f aca="false">IFERROR(INDEX(Orders!$B$5:$B$64,MATCH(54,$AB$5:$AB$64,0)),"")</f>
        <v/>
      </c>
      <c r="C62" s="38" t="str">
        <f aca="false">IFERROR(INDEX(Orders!$C$5:$C$64,MATCH(54,$AB$5:$AB$64,0)),"")</f>
        <v/>
      </c>
      <c r="D62" s="45" t="str">
        <f aca="false">IFERROR(INDEX(Orders!$F$5:$F$64,MATCH(54,$AB$5:$AB$64,0)),"")</f>
        <v/>
      </c>
      <c r="E62" s="45" t="str">
        <f aca="false">IFERROR(INDEX(Orders!$G$5:$G$64,MATCH(54,$AB$5:$AB$64,0)),"")</f>
        <v/>
      </c>
      <c r="F62" s="45" t="str">
        <f aca="false">IFERROR(INDEX(Orders!$V$5:$V$64,MATCH(54,$AB$5:$AB$64,0)),"")</f>
        <v/>
      </c>
      <c r="G62" s="38" t="str">
        <f aca="false">IFERROR(INDEX(Orders!$W$5:$W$64,MATCH(54,$AB$5:$AB$64,0)),"")</f>
        <v/>
      </c>
      <c r="H62" s="38" t="str">
        <f aca="false">IFERROR(INDEX(Orders!$J$5:$J$64,MATCH(54,$AB$5:$AB$64,0)),"")</f>
        <v/>
      </c>
      <c r="I62" s="38" t="str">
        <f aca="false">IFERROR(INDEX(Orders!$AB$5:$AB$64,MATCH(54,$AB$5:$AB$64,0)),"")</f>
        <v/>
      </c>
      <c r="AB62" s="1" t="str">
        <f aca="false">IF(AND(Orders!$A62&lt;&gt;"",OR(Orders!$W62="Paid",Orders!$W62="Partially Paid",Orders!$J62="Yes")),MAX($AB$3:$AB61)+1,"")</f>
        <v/>
      </c>
    </row>
    <row r="63" customFormat="false" ht="15" hidden="false" customHeight="true" outlineLevel="0" collapsed="false">
      <c r="A63" s="36" t="str">
        <f aca="false">IFERROR(INDEX(Orders!$A$5:$A$64,MATCH(55,$AB$5:$AB$64,0)),"")</f>
        <v/>
      </c>
      <c r="B63" s="36" t="str">
        <f aca="false">IFERROR(INDEX(Orders!$B$5:$B$64,MATCH(55,$AB$5:$AB$64,0)),"")</f>
        <v/>
      </c>
      <c r="C63" s="36" t="str">
        <f aca="false">IFERROR(INDEX(Orders!$C$5:$C$64,MATCH(55,$AB$5:$AB$64,0)),"")</f>
        <v/>
      </c>
      <c r="D63" s="42" t="str">
        <f aca="false">IFERROR(INDEX(Orders!$F$5:$F$64,MATCH(55,$AB$5:$AB$64,0)),"")</f>
        <v/>
      </c>
      <c r="E63" s="42" t="str">
        <f aca="false">IFERROR(INDEX(Orders!$G$5:$G$64,MATCH(55,$AB$5:$AB$64,0)),"")</f>
        <v/>
      </c>
      <c r="F63" s="42" t="str">
        <f aca="false">IFERROR(INDEX(Orders!$V$5:$V$64,MATCH(55,$AB$5:$AB$64,0)),"")</f>
        <v/>
      </c>
      <c r="G63" s="36" t="str">
        <f aca="false">IFERROR(INDEX(Orders!$W$5:$W$64,MATCH(55,$AB$5:$AB$64,0)),"")</f>
        <v/>
      </c>
      <c r="H63" s="36" t="str">
        <f aca="false">IFERROR(INDEX(Orders!$J$5:$J$64,MATCH(55,$AB$5:$AB$64,0)),"")</f>
        <v/>
      </c>
      <c r="I63" s="36" t="str">
        <f aca="false">IFERROR(INDEX(Orders!$AB$5:$AB$64,MATCH(55,$AB$5:$AB$64,0)),"")</f>
        <v/>
      </c>
      <c r="AB63" s="1" t="str">
        <f aca="false">IF(AND(Orders!$A63&lt;&gt;"",OR(Orders!$W63="Paid",Orders!$W63="Partially Paid",Orders!$J63="Yes")),MAX($AB$3:$AB62)+1,"")</f>
        <v/>
      </c>
    </row>
    <row r="64" customFormat="false" ht="15" hidden="false" customHeight="true" outlineLevel="0" collapsed="false">
      <c r="A64" s="38" t="str">
        <f aca="false">IFERROR(INDEX(Orders!$A$5:$A$64,MATCH(56,$AB$5:$AB$64,0)),"")</f>
        <v/>
      </c>
      <c r="B64" s="38" t="str">
        <f aca="false">IFERROR(INDEX(Orders!$B$5:$B$64,MATCH(56,$AB$5:$AB$64,0)),"")</f>
        <v/>
      </c>
      <c r="C64" s="38" t="str">
        <f aca="false">IFERROR(INDEX(Orders!$C$5:$C$64,MATCH(56,$AB$5:$AB$64,0)),"")</f>
        <v/>
      </c>
      <c r="D64" s="45" t="str">
        <f aca="false">IFERROR(INDEX(Orders!$F$5:$F$64,MATCH(56,$AB$5:$AB$64,0)),"")</f>
        <v/>
      </c>
      <c r="E64" s="45" t="str">
        <f aca="false">IFERROR(INDEX(Orders!$G$5:$G$64,MATCH(56,$AB$5:$AB$64,0)),"")</f>
        <v/>
      </c>
      <c r="F64" s="45" t="str">
        <f aca="false">IFERROR(INDEX(Orders!$V$5:$V$64,MATCH(56,$AB$5:$AB$64,0)),"")</f>
        <v/>
      </c>
      <c r="G64" s="38" t="str">
        <f aca="false">IFERROR(INDEX(Orders!$W$5:$W$64,MATCH(56,$AB$5:$AB$64,0)),"")</f>
        <v/>
      </c>
      <c r="H64" s="38" t="str">
        <f aca="false">IFERROR(INDEX(Orders!$J$5:$J$64,MATCH(56,$AB$5:$AB$64,0)),"")</f>
        <v/>
      </c>
      <c r="I64" s="38" t="str">
        <f aca="false">IFERROR(INDEX(Orders!$AB$5:$AB$64,MATCH(56,$AB$5:$AB$64,0)),"")</f>
        <v/>
      </c>
      <c r="AB64" s="1" t="str">
        <f aca="false">IF(AND(Orders!$A64&lt;&gt;"",OR(Orders!$W64="Paid",Orders!$W64="Partially Paid",Orders!$J64="Yes")),MAX($AB$3:$AB63)+1,"")</f>
        <v/>
      </c>
    </row>
    <row r="65" customFormat="false" ht="15" hidden="false" customHeight="true" outlineLevel="0" collapsed="false">
      <c r="A65" s="36" t="str">
        <f aca="false">IFERROR(INDEX(Orders!$A$5:$A$64,MATCH(57,$AB$5:$AB$64,0)),"")</f>
        <v/>
      </c>
      <c r="B65" s="36" t="str">
        <f aca="false">IFERROR(INDEX(Orders!$B$5:$B$64,MATCH(57,$AB$5:$AB$64,0)),"")</f>
        <v/>
      </c>
      <c r="C65" s="36" t="str">
        <f aca="false">IFERROR(INDEX(Orders!$C$5:$C$64,MATCH(57,$AB$5:$AB$64,0)),"")</f>
        <v/>
      </c>
      <c r="D65" s="42" t="str">
        <f aca="false">IFERROR(INDEX(Orders!$F$5:$F$64,MATCH(57,$AB$5:$AB$64,0)),"")</f>
        <v/>
      </c>
      <c r="E65" s="42" t="str">
        <f aca="false">IFERROR(INDEX(Orders!$G$5:$G$64,MATCH(57,$AB$5:$AB$64,0)),"")</f>
        <v/>
      </c>
      <c r="F65" s="42" t="str">
        <f aca="false">IFERROR(INDEX(Orders!$V$5:$V$64,MATCH(57,$AB$5:$AB$64,0)),"")</f>
        <v/>
      </c>
      <c r="G65" s="36" t="str">
        <f aca="false">IFERROR(INDEX(Orders!$W$5:$W$64,MATCH(57,$AB$5:$AB$64,0)),"")</f>
        <v/>
      </c>
      <c r="H65" s="36" t="str">
        <f aca="false">IFERROR(INDEX(Orders!$J$5:$J$64,MATCH(57,$AB$5:$AB$64,0)),"")</f>
        <v/>
      </c>
      <c r="I65" s="36" t="str">
        <f aca="false">IFERROR(INDEX(Orders!$AB$5:$AB$64,MATCH(57,$AB$5:$AB$64,0)),"")</f>
        <v/>
      </c>
    </row>
    <row r="66" customFormat="false" ht="15" hidden="false" customHeight="true" outlineLevel="0" collapsed="false">
      <c r="A66" s="38" t="str">
        <f aca="false">IFERROR(INDEX(Orders!$A$5:$A$64,MATCH(58,$AB$5:$AB$64,0)),"")</f>
        <v/>
      </c>
      <c r="B66" s="38" t="str">
        <f aca="false">IFERROR(INDEX(Orders!$B$5:$B$64,MATCH(58,$AB$5:$AB$64,0)),"")</f>
        <v/>
      </c>
      <c r="C66" s="38" t="str">
        <f aca="false">IFERROR(INDEX(Orders!$C$5:$C$64,MATCH(58,$AB$5:$AB$64,0)),"")</f>
        <v/>
      </c>
      <c r="D66" s="45" t="str">
        <f aca="false">IFERROR(INDEX(Orders!$F$5:$F$64,MATCH(58,$AB$5:$AB$64,0)),"")</f>
        <v/>
      </c>
      <c r="E66" s="45" t="str">
        <f aca="false">IFERROR(INDEX(Orders!$G$5:$G$64,MATCH(58,$AB$5:$AB$64,0)),"")</f>
        <v/>
      </c>
      <c r="F66" s="45" t="str">
        <f aca="false">IFERROR(INDEX(Orders!$V$5:$V$64,MATCH(58,$AB$5:$AB$64,0)),"")</f>
        <v/>
      </c>
      <c r="G66" s="38" t="str">
        <f aca="false">IFERROR(INDEX(Orders!$W$5:$W$64,MATCH(58,$AB$5:$AB$64,0)),"")</f>
        <v/>
      </c>
      <c r="H66" s="38" t="str">
        <f aca="false">IFERROR(INDEX(Orders!$J$5:$J$64,MATCH(58,$AB$5:$AB$64,0)),"")</f>
        <v/>
      </c>
      <c r="I66" s="38" t="str">
        <f aca="false">IFERROR(INDEX(Orders!$AB$5:$AB$64,MATCH(58,$AB$5:$AB$64,0)),"")</f>
        <v/>
      </c>
    </row>
    <row r="67" customFormat="false" ht="15" hidden="false" customHeight="true" outlineLevel="0" collapsed="false">
      <c r="A67" s="36" t="str">
        <f aca="false">IFERROR(INDEX(Orders!$A$5:$A$64,MATCH(59,$AB$5:$AB$64,0)),"")</f>
        <v/>
      </c>
      <c r="B67" s="36" t="str">
        <f aca="false">IFERROR(INDEX(Orders!$B$5:$B$64,MATCH(59,$AB$5:$AB$64,0)),"")</f>
        <v/>
      </c>
      <c r="C67" s="36" t="str">
        <f aca="false">IFERROR(INDEX(Orders!$C$5:$C$64,MATCH(59,$AB$5:$AB$64,0)),"")</f>
        <v/>
      </c>
      <c r="D67" s="42" t="str">
        <f aca="false">IFERROR(INDEX(Orders!$F$5:$F$64,MATCH(59,$AB$5:$AB$64,0)),"")</f>
        <v/>
      </c>
      <c r="E67" s="42" t="str">
        <f aca="false">IFERROR(INDEX(Orders!$G$5:$G$64,MATCH(59,$AB$5:$AB$64,0)),"")</f>
        <v/>
      </c>
      <c r="F67" s="42" t="str">
        <f aca="false">IFERROR(INDEX(Orders!$V$5:$V$64,MATCH(59,$AB$5:$AB$64,0)),"")</f>
        <v/>
      </c>
      <c r="G67" s="36" t="str">
        <f aca="false">IFERROR(INDEX(Orders!$W$5:$W$64,MATCH(59,$AB$5:$AB$64,0)),"")</f>
        <v/>
      </c>
      <c r="H67" s="36" t="str">
        <f aca="false">IFERROR(INDEX(Orders!$J$5:$J$64,MATCH(59,$AB$5:$AB$64,0)),"")</f>
        <v/>
      </c>
      <c r="I67" s="36" t="str">
        <f aca="false">IFERROR(INDEX(Orders!$AB$5:$AB$64,MATCH(59,$AB$5:$AB$64,0)),"")</f>
        <v/>
      </c>
    </row>
    <row r="68" customFormat="false" ht="15" hidden="false" customHeight="true" outlineLevel="0" collapsed="false">
      <c r="A68" s="38" t="str">
        <f aca="false">IFERROR(INDEX(Orders!$A$5:$A$64,MATCH(60,$AB$5:$AB$64,0)),"")</f>
        <v/>
      </c>
      <c r="B68" s="38" t="str">
        <f aca="false">IFERROR(INDEX(Orders!$B$5:$B$64,MATCH(60,$AB$5:$AB$64,0)),"")</f>
        <v/>
      </c>
      <c r="C68" s="38" t="str">
        <f aca="false">IFERROR(INDEX(Orders!$C$5:$C$64,MATCH(60,$AB$5:$AB$64,0)),"")</f>
        <v/>
      </c>
      <c r="D68" s="45" t="str">
        <f aca="false">IFERROR(INDEX(Orders!$F$5:$F$64,MATCH(60,$AB$5:$AB$64,0)),"")</f>
        <v/>
      </c>
      <c r="E68" s="45" t="str">
        <f aca="false">IFERROR(INDEX(Orders!$G$5:$G$64,MATCH(60,$AB$5:$AB$64,0)),"")</f>
        <v/>
      </c>
      <c r="F68" s="45" t="str">
        <f aca="false">IFERROR(INDEX(Orders!$V$5:$V$64,MATCH(60,$AB$5:$AB$64,0)),"")</f>
        <v/>
      </c>
      <c r="G68" s="38" t="str">
        <f aca="false">IFERROR(INDEX(Orders!$W$5:$W$64,MATCH(60,$AB$5:$AB$64,0)),"")</f>
        <v/>
      </c>
      <c r="H68" s="38" t="str">
        <f aca="false">IFERROR(INDEX(Orders!$J$5:$J$64,MATCH(60,$AB$5:$AB$64,0)),"")</f>
        <v/>
      </c>
      <c r="I68" s="38" t="str">
        <f aca="false">IFERROR(INDEX(Orders!$AB$5:$AB$64,MATCH(60,$AB$5:$AB$64,0)),"")</f>
        <v/>
      </c>
    </row>
    <row r="70" customFormat="false" ht="15" hidden="false" customHeight="true" outlineLevel="0" collapsed="false">
      <c r="A70" s="87" t="s">
        <v>378</v>
      </c>
      <c r="B70" s="87"/>
      <c r="C70" s="87"/>
      <c r="D70" s="87"/>
      <c r="E70" s="87"/>
      <c r="F70" s="87"/>
      <c r="G70" s="87"/>
      <c r="H70" s="87"/>
      <c r="I70" s="87"/>
    </row>
  </sheetData>
  <mergeCells count="11">
    <mergeCell ref="A1:I1"/>
    <mergeCell ref="A2:I2"/>
    <mergeCell ref="A4:B4"/>
    <mergeCell ref="C4:D4"/>
    <mergeCell ref="E4:F4"/>
    <mergeCell ref="G4:H4"/>
    <mergeCell ref="A5:B5"/>
    <mergeCell ref="C5:D5"/>
    <mergeCell ref="E5:F5"/>
    <mergeCell ref="G5:H5"/>
    <mergeCell ref="A70:I70"/>
  </mergeCells>
  <conditionalFormatting sqref="I9:I68">
    <cfRule type="expression" priority="2" aboveAverage="0" equalAverage="0" bottom="0" percent="0" rank="0" text="" dxfId="1">
      <formula>EXACT($I9,"Paid")</formula>
    </cfRule>
    <cfRule type="expression" priority="3" aboveAverage="0" equalAverage="0" bottom="0" percent="0" rank="0" text="" dxfId="2">
      <formula>EXACT($I9,"Advance Paid")</formula>
    </cfRule>
    <cfRule type="expression" priority="4" aboveAverage="0" equalAverage="0" bottom="0" percent="0" rank="0" text="" dxfId="3">
      <formula>EXACT($I9,"Awaiting Payment")</formula>
    </cfRule>
    <cfRule type="expression" priority="5" aboveAverage="0" equalAverage="0" bottom="0" percent="0" rank="0" text="" dxfId="0">
      <formula>EXACT($I9,"Overdue Payment")</formula>
    </cfRule>
    <cfRule type="expression" priority="6" aboveAverage="0" equalAverage="0" bottom="0" percent="0" rank="0" text="" dxfId="0">
      <formula>EXACT($I9,"Overdue Service")</formula>
    </cfRule>
    <cfRule type="expression" priority="7" aboveAverage="0" equalAverage="0" bottom="0" percent="0" rank="0" text="" dxfId="4">
      <formula>EXACT($I9,"Open")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4"/>
    <col collapsed="false" customWidth="true" hidden="false" outlineLevel="0" max="4" min="4" style="1" width="30"/>
    <col collapsed="false" customWidth="true" hidden="false" outlineLevel="0" max="6" min="5" style="1" width="16"/>
    <col collapsed="false" customWidth="true" hidden="true" outlineLevel="0" max="9" min="8" style="1" width="13"/>
  </cols>
  <sheetData>
    <row r="1" customFormat="false" ht="27.75" hidden="false" customHeight="true" outlineLevel="0" collapsed="false">
      <c r="A1" s="17" t="s">
        <v>379</v>
      </c>
      <c r="B1" s="17"/>
      <c r="C1" s="17"/>
      <c r="D1" s="17"/>
      <c r="E1" s="17"/>
      <c r="F1" s="17"/>
    </row>
    <row r="2" customFormat="false" ht="15.75" hidden="false" customHeight="true" outlineLevel="0" collapsed="false">
      <c r="A2" s="18" t="s">
        <v>380</v>
      </c>
      <c r="B2" s="18"/>
      <c r="C2" s="18"/>
      <c r="D2" s="18"/>
      <c r="E2" s="18"/>
      <c r="F2" s="18"/>
    </row>
    <row r="4" customFormat="false" ht="19.5" hidden="false" customHeight="true" outlineLevel="0" collapsed="false">
      <c r="A4" s="66" t="s">
        <v>381</v>
      </c>
      <c r="B4" s="66"/>
      <c r="H4" s="12" t="s">
        <v>382</v>
      </c>
      <c r="I4" s="12" t="s">
        <v>53</v>
      </c>
    </row>
    <row r="5" customFormat="false" ht="15" hidden="false" customHeight="true" outlineLevel="0" collapsed="false">
      <c r="A5" s="21" t="s">
        <v>383</v>
      </c>
      <c r="B5" s="67" t="n">
        <f aca="false">SUMIF(Orders!$J$5:$J$64,"Yes",Orders!$F$5:$F$64)</f>
        <v>91500</v>
      </c>
      <c r="H5" s="1" t="s">
        <v>384</v>
      </c>
      <c r="I5" s="73" t="n">
        <f aca="false">B7</f>
        <v>373500</v>
      </c>
    </row>
    <row r="6" customFormat="false" ht="15" hidden="false" customHeight="true" outlineLevel="0" collapsed="false">
      <c r="A6" s="21" t="s">
        <v>385</v>
      </c>
      <c r="B6" s="67" t="n">
        <f aca="false">SUM(ContractPayments!$F$5:$F$64)</f>
        <v>282000</v>
      </c>
      <c r="H6" s="1" t="s">
        <v>386</v>
      </c>
      <c r="I6" s="73" t="n">
        <f aca="false">B14</f>
        <v>132999.285714286</v>
      </c>
    </row>
    <row r="7" customFormat="false" ht="15" hidden="false" customHeight="true" outlineLevel="0" collapsed="false">
      <c r="A7" s="68" t="s">
        <v>387</v>
      </c>
      <c r="B7" s="69" t="n">
        <f aca="false">B5+B6</f>
        <v>373500</v>
      </c>
      <c r="H7" s="1" t="s">
        <v>388</v>
      </c>
      <c r="I7" s="73" t="n">
        <f aca="false">B17</f>
        <v>240500.714285714</v>
      </c>
    </row>
    <row r="9" customFormat="false" ht="19.5" hidden="false" customHeight="true" outlineLevel="0" collapsed="false">
      <c r="A9" s="66" t="s">
        <v>389</v>
      </c>
      <c r="B9" s="66"/>
    </row>
    <row r="10" customFormat="false" ht="15" hidden="false" customHeight="true" outlineLevel="0" collapsed="false">
      <c r="A10" s="21" t="s">
        <v>390</v>
      </c>
      <c r="B10" s="67" t="n">
        <f aca="false">SUM(OrderExpenses!$G$5:$G$84)</f>
        <v>53850</v>
      </c>
    </row>
    <row r="11" customFormat="false" ht="15" hidden="false" customHeight="true" outlineLevel="0" collapsed="false">
      <c r="A11" s="21" t="s">
        <v>391</v>
      </c>
      <c r="B11" s="67" t="n">
        <f aca="false">SUM(GeneralExpenses!$D$5:$D$44)</f>
        <v>2365</v>
      </c>
    </row>
    <row r="12" customFormat="false" ht="15" hidden="false" customHeight="true" outlineLevel="0" collapsed="false">
      <c r="A12" s="21" t="s">
        <v>392</v>
      </c>
      <c r="B12" s="67" t="n">
        <f aca="false">SUM(Overheads!$K$5:$K$44)</f>
        <v>62730</v>
      </c>
    </row>
    <row r="13" customFormat="false" ht="15" hidden="false" customHeight="true" outlineLevel="0" collapsed="false">
      <c r="A13" s="21" t="s">
        <v>393</v>
      </c>
      <c r="B13" s="67" t="n">
        <f aca="false">SUM(Loans!$H$5:$H$44)</f>
        <v>14054.2857142857</v>
      </c>
    </row>
    <row r="14" customFormat="false" ht="15" hidden="false" customHeight="true" outlineLevel="0" collapsed="false">
      <c r="A14" s="68" t="s">
        <v>394</v>
      </c>
      <c r="B14" s="69" t="n">
        <f aca="false">B10+B11+B12+B13</f>
        <v>132999.285714286</v>
      </c>
    </row>
    <row r="16" customFormat="false" ht="19.5" hidden="false" customHeight="true" outlineLevel="0" collapsed="false">
      <c r="A16" s="66" t="s">
        <v>395</v>
      </c>
      <c r="B16" s="66"/>
    </row>
    <row r="17" customFormat="false" ht="15" hidden="false" customHeight="true" outlineLevel="0" collapsed="false">
      <c r="A17" s="68" t="s">
        <v>396</v>
      </c>
      <c r="B17" s="69" t="n">
        <f aca="false">B7-B14</f>
        <v>240500.714285714</v>
      </c>
    </row>
    <row r="18" customFormat="false" ht="15" hidden="false" customHeight="true" outlineLevel="0" collapsed="false">
      <c r="A18" s="21" t="s">
        <v>397</v>
      </c>
      <c r="B18" s="88" t="n">
        <f aca="false">IF(B7=0,0,B17/B7)</f>
        <v>0.643910881621725</v>
      </c>
    </row>
    <row r="20" customFormat="false" ht="19.5" hidden="false" customHeight="true" outlineLevel="0" collapsed="false">
      <c r="A20" s="66" t="s">
        <v>398</v>
      </c>
      <c r="B20" s="66"/>
    </row>
    <row r="21" customFormat="false" ht="15" hidden="false" customHeight="true" outlineLevel="0" collapsed="false">
      <c r="A21" s="21" t="s">
        <v>399</v>
      </c>
      <c r="B21" s="67" t="n">
        <f aca="false">SUM(Loans!$E$5:$E$44)</f>
        <v>36000</v>
      </c>
    </row>
    <row r="22" customFormat="false" ht="15" hidden="false" customHeight="true" outlineLevel="0" collapsed="false">
      <c r="A22" s="21" t="s">
        <v>400</v>
      </c>
      <c r="B22" s="67" t="n">
        <f aca="false">SUM(Loans!$M$5:$M$44)</f>
        <v>44054.2857142857</v>
      </c>
      <c r="H22" s="12" t="s">
        <v>401</v>
      </c>
      <c r="I22" s="12" t="s">
        <v>53</v>
      </c>
    </row>
    <row r="23" customFormat="false" ht="15" hidden="false" customHeight="true" outlineLevel="0" collapsed="false">
      <c r="A23" s="21" t="s">
        <v>402</v>
      </c>
      <c r="B23" s="88" t="n">
        <f aca="false">IF(B7=0,0,SUM(Loans!$E$5:$E$44)/B7)</f>
        <v>0.0963855421686747</v>
      </c>
      <c r="H23" s="1" t="s">
        <v>403</v>
      </c>
      <c r="I23" s="73" t="n">
        <f aca="false">B10</f>
        <v>53850</v>
      </c>
    </row>
    <row r="24" customFormat="false" ht="15" hidden="false" customHeight="true" outlineLevel="0" collapsed="false">
      <c r="H24" s="1" t="s">
        <v>404</v>
      </c>
      <c r="I24" s="73" t="n">
        <f aca="false">B11</f>
        <v>2365</v>
      </c>
    </row>
    <row r="25" customFormat="false" ht="19.5" hidden="false" customHeight="true" outlineLevel="0" collapsed="false">
      <c r="A25" s="66" t="s">
        <v>405</v>
      </c>
      <c r="B25" s="66"/>
      <c r="H25" s="1" t="s">
        <v>406</v>
      </c>
      <c r="I25" s="73" t="n">
        <f aca="false">B12</f>
        <v>62730</v>
      </c>
    </row>
    <row r="26" customFormat="false" ht="15" hidden="false" customHeight="true" outlineLevel="0" collapsed="false">
      <c r="A26" s="21" t="s">
        <v>407</v>
      </c>
      <c r="B26" s="67" t="n">
        <f aca="false">MAX(0,Tax!$B$16)</f>
        <v>37361.8</v>
      </c>
      <c r="H26" s="1" t="s">
        <v>408</v>
      </c>
      <c r="I26" s="73" t="n">
        <f aca="false">B13</f>
        <v>14054.2857142857</v>
      </c>
    </row>
    <row r="27" customFormat="false" ht="15" hidden="false" customHeight="true" outlineLevel="0" collapsed="false">
      <c r="A27" s="21" t="s">
        <v>409</v>
      </c>
      <c r="B27" s="67" t="n">
        <f aca="false">MAX(0,Tax!$B$23)</f>
        <v>7927</v>
      </c>
    </row>
    <row r="28" customFormat="false" ht="15" hidden="false" customHeight="true" outlineLevel="0" collapsed="false">
      <c r="A28" s="21" t="s">
        <v>410</v>
      </c>
      <c r="B28" s="67" t="n">
        <f aca="false">SUM(Loans!$M$5:$M$44)</f>
        <v>44054.2857142857</v>
      </c>
    </row>
    <row r="29" customFormat="false" ht="15" hidden="false" customHeight="true" outlineLevel="0" collapsed="false">
      <c r="A29" s="21" t="s">
        <v>411</v>
      </c>
      <c r="B29" s="67" t="n">
        <f aca="false">SUM(OtherTaxDebt!$J$5:$J$34)</f>
        <v>6387.01369863014</v>
      </c>
    </row>
    <row r="30" customFormat="false" ht="15" hidden="false" customHeight="true" outlineLevel="0" collapsed="false">
      <c r="A30" s="89" t="s">
        <v>412</v>
      </c>
      <c r="B30" s="90" t="n">
        <f aca="false">B26+B27+B28+B29</f>
        <v>95730.0994129159</v>
      </c>
    </row>
  </sheetData>
  <mergeCells count="7">
    <mergeCell ref="A1:F1"/>
    <mergeCell ref="A2:F2"/>
    <mergeCell ref="A4:B4"/>
    <mergeCell ref="A9:B9"/>
    <mergeCell ref="A16:B16"/>
    <mergeCell ref="A20:B20"/>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18"/>
    <col collapsed="false" customWidth="true" hidden="false" outlineLevel="0" max="4" min="4" style="1" width="2"/>
    <col collapsed="false" customWidth="true" hidden="false" outlineLevel="0" max="5" min="5" style="1" width="26"/>
    <col collapsed="false" customWidth="true" hidden="false" outlineLevel="0" max="6" min="6" style="1" width="18"/>
    <col collapsed="false" customWidth="true" hidden="false" outlineLevel="0" max="7" min="7" style="1" width="2"/>
    <col collapsed="false" customWidth="true" hidden="false" outlineLevel="0" max="8" min="8" style="1" width="10"/>
  </cols>
  <sheetData>
    <row r="1" customFormat="false" ht="27.75" hidden="false" customHeight="true" outlineLevel="0" collapsed="false">
      <c r="A1" s="17" t="s">
        <v>413</v>
      </c>
      <c r="B1" s="17"/>
      <c r="C1" s="17"/>
      <c r="D1" s="17"/>
      <c r="E1" s="17"/>
      <c r="F1" s="17"/>
      <c r="G1" s="17"/>
      <c r="H1" s="17"/>
    </row>
    <row r="2" customFormat="false" ht="15.75" hidden="false" customHeight="true" outlineLevel="0" collapsed="false">
      <c r="A2" s="18" t="s">
        <v>414</v>
      </c>
      <c r="B2" s="18"/>
      <c r="C2" s="18"/>
      <c r="D2" s="18"/>
      <c r="E2" s="18"/>
      <c r="F2" s="18"/>
      <c r="G2" s="18"/>
      <c r="H2" s="18"/>
    </row>
    <row r="3" customFormat="false" ht="15" hidden="false" customHeight="true" outlineLevel="0" collapsed="false">
      <c r="B3" s="12" t="s">
        <v>415</v>
      </c>
      <c r="C3" s="91" t="n">
        <f aca="false">RptDate</f>
        <v>46227</v>
      </c>
    </row>
    <row r="5" customFormat="false" ht="21.75" hidden="false" customHeight="true" outlineLevel="0" collapsed="false">
      <c r="B5" s="77" t="s">
        <v>416</v>
      </c>
      <c r="C5" s="77"/>
      <c r="E5" s="79" t="s">
        <v>417</v>
      </c>
      <c r="F5" s="79"/>
    </row>
    <row r="6" customFormat="false" ht="30" hidden="false" customHeight="true" outlineLevel="0" collapsed="false">
      <c r="B6" s="83" t="n">
        <f aca="false">SUM(Orders!$S$5:$S$64)</f>
        <v>52463.4150943396</v>
      </c>
      <c r="C6" s="83"/>
      <c r="E6" s="83" t="n">
        <f aca="false">SUM(Orders!$U$5:$U$64)</f>
        <v>113972.08490566</v>
      </c>
      <c r="F6" s="83"/>
    </row>
    <row r="9" customFormat="false" ht="21.75" hidden="false" customHeight="true" outlineLevel="0" collapsed="false">
      <c r="B9" s="80" t="s">
        <v>418</v>
      </c>
      <c r="C9" s="80"/>
      <c r="E9" s="80" t="s">
        <v>419</v>
      </c>
      <c r="F9" s="80"/>
    </row>
    <row r="10" customFormat="false" ht="30" hidden="false" customHeight="true" outlineLevel="0" collapsed="false">
      <c r="B10" s="83" t="n">
        <f aca="false">SUM(Orders!$X$5:$X$64)</f>
        <v>90250</v>
      </c>
      <c r="C10" s="83"/>
      <c r="E10" s="83" t="n">
        <f aca="false">SUM(Orders!$Z$5:$Z$64)</f>
        <v>76195.7142857143</v>
      </c>
      <c r="F10" s="83"/>
    </row>
    <row r="13" customFormat="false" ht="21.75" hidden="false" customHeight="true" outlineLevel="0" collapsed="false">
      <c r="B13" s="82" t="s">
        <v>420</v>
      </c>
      <c r="C13" s="82"/>
      <c r="E13" s="82" t="s">
        <v>421</v>
      </c>
      <c r="F13" s="82"/>
    </row>
    <row r="14" customFormat="false" ht="30" hidden="false" customHeight="true" outlineLevel="0" collapsed="false">
      <c r="B14" s="83" t="n">
        <f aca="false">TaxDashboard!$B$23</f>
        <v>52062.8273972603</v>
      </c>
      <c r="C14" s="83"/>
      <c r="E14" s="83" t="n">
        <f aca="false">SUM(Loans!$M$5:$M$44)</f>
        <v>44054.2857142857</v>
      </c>
      <c r="F14" s="83"/>
    </row>
    <row r="17" customFormat="false" ht="15" hidden="false" customHeight="true" outlineLevel="0" collapsed="false">
      <c r="B17" s="92" t="s">
        <v>422</v>
      </c>
      <c r="C17" s="92"/>
      <c r="D17" s="92"/>
      <c r="E17" s="92"/>
      <c r="F17" s="92"/>
    </row>
    <row r="18" customFormat="false" ht="15" hidden="false" customHeight="true" outlineLevel="0" collapsed="false">
      <c r="B18" s="93" t="str">
        <f aca="false">IF(SUM(Orders!$U$5:$U$64)+TaxDashboard!$B$23+SUM(Loans!$M$5:$M$44)&gt;SUM(Orders!$S$5:$S$64),"ACT  -  obligations exceed cash received",IF(SUM(Orders!$U$5:$U$64)&gt;SUM(Orders!$S$5:$S$64)*0.5,"WATCH  -  high receivables vs cash in","HEALTHY  -  cash covers obligations"))</f>
        <v>ACT  -  obligations exceed cash received</v>
      </c>
      <c r="C18" s="93"/>
      <c r="D18" s="93"/>
      <c r="E18" s="93"/>
      <c r="F18" s="93"/>
    </row>
    <row r="19" customFormat="false" ht="15" hidden="false" customHeight="true" outlineLevel="0" collapsed="false">
      <c r="B19" s="93"/>
      <c r="C19" s="93"/>
      <c r="D19" s="93"/>
      <c r="E19" s="93"/>
      <c r="F19" s="93"/>
    </row>
    <row r="21" customFormat="false" ht="15" hidden="false" customHeight="true" outlineLevel="0" collapsed="false">
      <c r="B21" s="19" t="s">
        <v>423</v>
      </c>
    </row>
    <row r="22" customFormat="false" ht="15" hidden="false" customHeight="true" outlineLevel="0" collapsed="false">
      <c r="B22" s="94" t="s">
        <v>424</v>
      </c>
      <c r="C22" s="94"/>
      <c r="E22" s="95" t="n">
        <f aca="false">IF(SUM(Orders!$F$5:$F$64)=0,0,SUM(Orders!$X$5:$X$64)/SUM(Orders!$F$5:$F$64))</f>
        <v>0.626301179736294</v>
      </c>
    </row>
    <row r="23" customFormat="false" ht="15" hidden="false" customHeight="true" outlineLevel="0" collapsed="false">
      <c r="B23" s="94" t="s">
        <v>425</v>
      </c>
      <c r="C23" s="94"/>
      <c r="E23" s="95" t="n">
        <f aca="false">IF(SUM(Orders!$S$5:$S$64)=0,0,SUM(Orders!$U$5:$U$64)/SUM(Orders!$S$5:$S$64))</f>
        <v>2.17241071136364</v>
      </c>
    </row>
    <row r="24" customFormat="false" ht="15" hidden="false" customHeight="true" outlineLevel="0" collapsed="false">
      <c r="B24" s="94" t="s">
        <v>426</v>
      </c>
      <c r="C24" s="94"/>
      <c r="E24" s="95" t="n">
        <f aca="false">IF(SUM(Orders!$Z$5:$Z$64)=0,0,TaxDashboard!$B$23/SUM(Orders!$Z$5:$Z$64))</f>
        <v>0.683277634251686</v>
      </c>
    </row>
    <row r="25" customFormat="false" ht="15" hidden="false" customHeight="true" outlineLevel="0" collapsed="false">
      <c r="B25" s="94" t="s">
        <v>427</v>
      </c>
      <c r="C25" s="94"/>
      <c r="E25" s="95" t="n">
        <f aca="false">IF(SUM(Orders!$S$5:$S$64)=0,0,SUM(Loans!$M$5:$M$44)/SUM(Orders!$S$5:$S$64))</f>
        <v>0.839714411177148</v>
      </c>
    </row>
  </sheetData>
  <mergeCells count="20">
    <mergeCell ref="A1:H1"/>
    <mergeCell ref="A2:H2"/>
    <mergeCell ref="B5:C5"/>
    <mergeCell ref="E5:F5"/>
    <mergeCell ref="B6:C6"/>
    <mergeCell ref="E6:F6"/>
    <mergeCell ref="B9:C9"/>
    <mergeCell ref="E9:F9"/>
    <mergeCell ref="B10:C10"/>
    <mergeCell ref="E10:F10"/>
    <mergeCell ref="B13:C13"/>
    <mergeCell ref="E13:F13"/>
    <mergeCell ref="B14:C14"/>
    <mergeCell ref="E14:F14"/>
    <mergeCell ref="B17:F17"/>
    <mergeCell ref="B18:F19"/>
    <mergeCell ref="B22:C22"/>
    <mergeCell ref="B23:C23"/>
    <mergeCell ref="B24:C24"/>
    <mergeCell ref="B25:C25"/>
  </mergeCells>
  <conditionalFormatting sqref="B18:F19">
    <cfRule type="expression" priority="2" aboveAverage="0" equalAverage="0" bottom="0" percent="0" rank="0" text="" dxfId="5">
      <formula>ISNUMBER(SEARCH("HEALTHY",$B$18))</formula>
    </cfRule>
    <cfRule type="expression" priority="3" aboveAverage="0" equalAverage="0" bottom="0" percent="0" rank="0" text="" dxfId="6">
      <formula>ISNUMBER(SEARCH("WATCH",$B$18))</formula>
    </cfRule>
    <cfRule type="expression" priority="4" aboveAverage="0" equalAverage="0" bottom="0" percent="0" rank="0" text="" dxfId="7">
      <formula>ISNUMBER(SEARCH("ACT",$B$18))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0"/>
  </cols>
  <sheetData>
    <row r="1" customFormat="false" ht="27.75" hidden="false" customHeight="true" outlineLevel="0" collapsed="false">
      <c r="A1" s="17" t="s">
        <v>428</v>
      </c>
      <c r="B1" s="17"/>
    </row>
    <row r="2" customFormat="false" ht="15.75" hidden="false" customHeight="true" outlineLevel="0" collapsed="false">
      <c r="A2" s="18" t="s">
        <v>429</v>
      </c>
      <c r="B2" s="18"/>
    </row>
    <row r="4" customFormat="false" ht="24" hidden="false" customHeight="true" outlineLevel="0" collapsed="false">
      <c r="B4" s="96" t="s">
        <v>430</v>
      </c>
    </row>
    <row r="5" customFormat="false" ht="15.75" hidden="false" customHeight="true" outlineLevel="0" collapsed="false">
      <c r="B5" s="97" t="s">
        <v>431</v>
      </c>
    </row>
    <row r="6" customFormat="false" ht="75" hidden="false" customHeight="true" outlineLevel="0" collapsed="false">
      <c r="B6" s="97" t="s">
        <v>432</v>
      </c>
    </row>
    <row r="7" customFormat="false" ht="19.5" hidden="false" customHeight="true" outlineLevel="0" collapsed="false">
      <c r="B7" s="98" t="s">
        <v>433</v>
      </c>
    </row>
    <row r="8" customFormat="false" ht="15.75" hidden="false" customHeight="true" outlineLevel="0" collapsed="false">
      <c r="B8" s="99" t="s">
        <v>434</v>
      </c>
    </row>
    <row r="9" customFormat="false" ht="15.75" hidden="false" customHeight="true" outlineLevel="0" collapsed="false">
      <c r="B9" s="99" t="s">
        <v>435</v>
      </c>
    </row>
    <row r="10" customFormat="false" ht="15.75" hidden="false" customHeight="true" outlineLevel="0" collapsed="false">
      <c r="B10" s="99" t="s">
        <v>436</v>
      </c>
    </row>
    <row r="11" customFormat="false" ht="45" hidden="false" customHeight="true" outlineLevel="0" collapsed="false">
      <c r="B11" s="99" t="s">
        <v>437</v>
      </c>
    </row>
    <row r="12" customFormat="false" ht="19.5" hidden="false" customHeight="true" outlineLevel="0" collapsed="false">
      <c r="B12" s="98" t="s">
        <v>438</v>
      </c>
    </row>
    <row r="13" customFormat="false" ht="90" hidden="false" customHeight="true" outlineLevel="0" collapsed="false">
      <c r="B13" s="97" t="s">
        <v>439</v>
      </c>
    </row>
    <row r="14" customFormat="false" ht="19.5" hidden="false" customHeight="true" outlineLevel="0" collapsed="false">
      <c r="B14" s="98" t="s">
        <v>440</v>
      </c>
    </row>
    <row r="15" customFormat="false" ht="15.75" hidden="false" customHeight="true" outlineLevel="0" collapsed="false">
      <c r="B15" s="100" t="s">
        <v>441</v>
      </c>
    </row>
    <row r="16" customFormat="false" ht="30" hidden="false" customHeight="true" outlineLevel="0" collapsed="false">
      <c r="B16" s="97" t="s">
        <v>442</v>
      </c>
    </row>
    <row r="17" customFormat="false" ht="15.75" hidden="false" customHeight="true" outlineLevel="0" collapsed="false">
      <c r="B17" s="100" t="s">
        <v>443</v>
      </c>
    </row>
    <row r="18" customFormat="false" ht="60" hidden="false" customHeight="true" outlineLevel="0" collapsed="false">
      <c r="B18" s="97" t="s">
        <v>444</v>
      </c>
    </row>
    <row r="19" customFormat="false" ht="15.75" hidden="false" customHeight="true" outlineLevel="0" collapsed="false">
      <c r="B19" s="100" t="s">
        <v>445</v>
      </c>
    </row>
    <row r="20" customFormat="false" ht="105" hidden="false" customHeight="true" outlineLevel="0" collapsed="false">
      <c r="B20" s="97" t="s">
        <v>446</v>
      </c>
    </row>
    <row r="21" customFormat="false" ht="15.75" hidden="false" customHeight="true" outlineLevel="0" collapsed="false">
      <c r="B21" s="100" t="s">
        <v>447</v>
      </c>
    </row>
    <row r="22" customFormat="false" ht="60" hidden="false" customHeight="true" outlineLevel="0" collapsed="false">
      <c r="B22" s="97" t="s">
        <v>448</v>
      </c>
    </row>
    <row r="23" customFormat="false" ht="15.75" hidden="false" customHeight="true" outlineLevel="0" collapsed="false">
      <c r="B23" s="100" t="s">
        <v>449</v>
      </c>
    </row>
    <row r="24" customFormat="false" ht="30" hidden="false" customHeight="true" outlineLevel="0" collapsed="false">
      <c r="B24" s="97" t="s">
        <v>450</v>
      </c>
    </row>
    <row r="25" customFormat="false" ht="15.75" hidden="false" customHeight="true" outlineLevel="0" collapsed="false">
      <c r="B25" s="100" t="s">
        <v>406</v>
      </c>
    </row>
    <row r="26" customFormat="false" ht="30" hidden="false" customHeight="true" outlineLevel="0" collapsed="false">
      <c r="B26" s="97" t="s">
        <v>451</v>
      </c>
    </row>
    <row r="27" customFormat="false" ht="15.75" hidden="false" customHeight="true" outlineLevel="0" collapsed="false">
      <c r="B27" s="100" t="s">
        <v>452</v>
      </c>
    </row>
    <row r="28" customFormat="false" ht="60" hidden="false" customHeight="true" outlineLevel="0" collapsed="false">
      <c r="B28" s="97" t="s">
        <v>453</v>
      </c>
    </row>
    <row r="29" customFormat="false" ht="15.75" hidden="false" customHeight="true" outlineLevel="0" collapsed="false">
      <c r="B29" s="100" t="s">
        <v>454</v>
      </c>
    </row>
    <row r="30" customFormat="false" ht="45" hidden="false" customHeight="true" outlineLevel="0" collapsed="false">
      <c r="B30" s="97" t="s">
        <v>455</v>
      </c>
    </row>
    <row r="31" customFormat="false" ht="15.75" hidden="false" customHeight="true" outlineLevel="0" collapsed="false">
      <c r="B31" s="100" t="s">
        <v>456</v>
      </c>
    </row>
    <row r="32" customFormat="false" ht="45" hidden="false" customHeight="true" outlineLevel="0" collapsed="false">
      <c r="B32" s="97" t="s">
        <v>457</v>
      </c>
    </row>
    <row r="33" customFormat="false" ht="19.5" hidden="false" customHeight="true" outlineLevel="0" collapsed="false">
      <c r="B33" s="98" t="s">
        <v>458</v>
      </c>
    </row>
    <row r="34" customFormat="false" ht="15.75" hidden="false" customHeight="true" outlineLevel="0" collapsed="false">
      <c r="B34" s="100" t="s">
        <v>459</v>
      </c>
    </row>
    <row r="35" customFormat="false" ht="45" hidden="false" customHeight="true" outlineLevel="0" collapsed="false">
      <c r="B35" s="97" t="s">
        <v>460</v>
      </c>
    </row>
    <row r="36" customFormat="false" ht="15.75" hidden="false" customHeight="true" outlineLevel="0" collapsed="false">
      <c r="B36" s="100" t="s">
        <v>461</v>
      </c>
    </row>
    <row r="37" customFormat="false" ht="30" hidden="false" customHeight="true" outlineLevel="0" collapsed="false">
      <c r="B37" s="97" t="s">
        <v>462</v>
      </c>
    </row>
    <row r="38" customFormat="false" ht="15.75" hidden="false" customHeight="true" outlineLevel="0" collapsed="false">
      <c r="B38" s="100" t="s">
        <v>463</v>
      </c>
    </row>
    <row r="39" customFormat="false" ht="30" hidden="false" customHeight="true" outlineLevel="0" collapsed="false">
      <c r="B39" s="97" t="s">
        <v>464</v>
      </c>
    </row>
    <row r="40" customFormat="false" ht="15.75" hidden="false" customHeight="true" outlineLevel="0" collapsed="false">
      <c r="B40" s="100" t="s">
        <v>465</v>
      </c>
    </row>
    <row r="41" customFormat="false" ht="60" hidden="false" customHeight="true" outlineLevel="0" collapsed="false">
      <c r="B41" s="97" t="s">
        <v>466</v>
      </c>
    </row>
    <row r="42" customFormat="false" ht="15.75" hidden="false" customHeight="true" outlineLevel="0" collapsed="false">
      <c r="B42" s="100" t="s">
        <v>467</v>
      </c>
    </row>
    <row r="43" customFormat="false" ht="45" hidden="false" customHeight="true" outlineLevel="0" collapsed="false">
      <c r="B43" s="97" t="s">
        <v>468</v>
      </c>
    </row>
    <row r="44" customFormat="false" ht="15.75" hidden="false" customHeight="true" outlineLevel="0" collapsed="false">
      <c r="B44" s="100" t="s">
        <v>469</v>
      </c>
    </row>
    <row r="45" customFormat="false" ht="45" hidden="false" customHeight="true" outlineLevel="0" collapsed="false">
      <c r="B45" s="97" t="s">
        <v>470</v>
      </c>
    </row>
    <row r="46" customFormat="false" ht="15.75" hidden="false" customHeight="true" outlineLevel="0" collapsed="false">
      <c r="B46" s="100" t="s">
        <v>471</v>
      </c>
    </row>
    <row r="47" customFormat="false" ht="30" hidden="false" customHeight="true" outlineLevel="0" collapsed="false">
      <c r="B47" s="97" t="s">
        <v>472</v>
      </c>
    </row>
    <row r="48" customFormat="false" ht="19.5" hidden="false" customHeight="true" outlineLevel="0" collapsed="false">
      <c r="B48" s="98" t="s">
        <v>473</v>
      </c>
    </row>
    <row r="49" customFormat="false" ht="15.75" hidden="false" customHeight="true" outlineLevel="0" collapsed="false">
      <c r="B49" s="99" t="s">
        <v>474</v>
      </c>
    </row>
    <row r="50" customFormat="false" ht="15.75" hidden="false" customHeight="true" outlineLevel="0" collapsed="false">
      <c r="B50" s="99" t="s">
        <v>475</v>
      </c>
    </row>
    <row r="51" customFormat="false" ht="15.75" hidden="false" customHeight="true" outlineLevel="0" collapsed="false">
      <c r="B51" s="99" t="s">
        <v>476</v>
      </c>
    </row>
    <row r="52" customFormat="false" ht="15.75" hidden="false" customHeight="true" outlineLevel="0" collapsed="false">
      <c r="B52" s="99" t="s">
        <v>477</v>
      </c>
    </row>
    <row r="53" customFormat="false" ht="30" hidden="false" customHeight="true" outlineLevel="0" collapsed="false">
      <c r="B53" s="99" t="s">
        <v>478</v>
      </c>
    </row>
    <row r="54" customFormat="false" ht="19.5" hidden="false" customHeight="true" outlineLevel="0" collapsed="false">
      <c r="B54" s="98" t="s">
        <v>479</v>
      </c>
    </row>
    <row r="55" customFormat="false" ht="30" hidden="false" customHeight="true" outlineLevel="0" collapsed="false">
      <c r="B55" s="99" t="s">
        <v>480</v>
      </c>
    </row>
    <row r="56" customFormat="false" ht="45" hidden="false" customHeight="true" outlineLevel="0" collapsed="false">
      <c r="B56" s="99" t="s">
        <v>481</v>
      </c>
    </row>
    <row r="57" customFormat="false" ht="30" hidden="false" customHeight="true" outlineLevel="0" collapsed="false">
      <c r="B57" s="99" t="s">
        <v>482</v>
      </c>
    </row>
    <row r="58" customFormat="false" ht="30" hidden="false" customHeight="true" outlineLevel="0" collapsed="false">
      <c r="B58" s="99" t="s">
        <v>483</v>
      </c>
    </row>
    <row r="59" customFormat="false" ht="30" hidden="false" customHeight="true" outlineLevel="0" collapsed="false">
      <c r="B59" s="99" t="s">
        <v>484</v>
      </c>
    </row>
    <row r="60" customFormat="false" ht="30" hidden="false" customHeight="true" outlineLevel="0" collapsed="false">
      <c r="B60" s="99" t="s">
        <v>485</v>
      </c>
    </row>
    <row r="61" customFormat="false" ht="30" hidden="false" customHeight="true" outlineLevel="0" collapsed="false">
      <c r="B61" s="99" t="s">
        <v>486</v>
      </c>
    </row>
    <row r="62" customFormat="false" ht="30" hidden="false" customHeight="true" outlineLevel="0" collapsed="false">
      <c r="B62" s="99" t="s">
        <v>487</v>
      </c>
    </row>
    <row r="63" customFormat="false" ht="30" hidden="false" customHeight="true" outlineLevel="0" collapsed="false">
      <c r="B63" s="99" t="s">
        <v>488</v>
      </c>
    </row>
    <row r="64" customFormat="false" ht="19.5" hidden="false" customHeight="true" outlineLevel="0" collapsed="false">
      <c r="B64" s="98" t="s">
        <v>489</v>
      </c>
    </row>
    <row r="65" customFormat="false" ht="45" hidden="false" customHeight="true" outlineLevel="0" collapsed="false">
      <c r="B65" s="97" t="s">
        <v>490</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2026-06-25T00:36:34Z</dcterms:created>
  <dc:creator>openpyxl</dc:creator>
  <dc:description/>
  <dc:language>en-US</dc:language>
  <cp:lastModifiedBy/>
  <dcterms:modified xsi:type="dcterms:W3CDTF">2026-07-24T16:04:07Z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
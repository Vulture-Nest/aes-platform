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aysheet" sheetId="1" state="visible" r:id="rId3"/>
    <sheet name="Payslip 2" sheetId="2" state="visible" r:id="rId4"/>
    <sheet name="Bank Schedule" sheetId="3" state="visible" r:id="rId5"/>
    <sheet name="NSSA" sheetId="4" state="visible" r:id="rId6"/>
    <sheet name="PAYE" sheetId="5" state="visible" r:id="rId7"/>
    <sheet name="Nyaradzo " sheetId="6" state="visible" r:id="rId8"/>
    <sheet name="Zimde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<sst xmlns="http://schemas.openxmlformats.org/spreadsheetml/2006/main" count="492" uniqueCount="234">
  <si>
    <t xml:space="preserve">tax ratio</t>
  </si>
  <si>
    <t xml:space="preserve">Rate</t>
  </si>
  <si>
    <t xml:space="preserve">Exchange rate 6926.5764</t>
  </si>
  <si>
    <t xml:space="preserve">USD/ZWL</t>
  </si>
  <si>
    <t xml:space="preserve">Basic</t>
  </si>
  <si>
    <t xml:space="preserve"> Allowances</t>
  </si>
  <si>
    <t xml:space="preserve">ZWL ALLOWANCES</t>
  </si>
  <si>
    <t xml:space="preserve">CILL</t>
  </si>
  <si>
    <t xml:space="preserve">Bonus</t>
  </si>
  <si>
    <t xml:space="preserve">Gross</t>
  </si>
  <si>
    <t xml:space="preserve">Allowable Deductions</t>
  </si>
  <si>
    <t xml:space="preserve">Taxable Income</t>
  </si>
  <si>
    <t xml:space="preserve">Total Taxable in</t>
  </si>
  <si>
    <t xml:space="preserve">PAYE in</t>
  </si>
  <si>
    <t xml:space="preserve">Tax Credits</t>
  </si>
  <si>
    <t xml:space="preserve">Net PAYE </t>
  </si>
  <si>
    <t xml:space="preserve">PAYE USD</t>
  </si>
  <si>
    <t xml:space="preserve">PAYE ZWL</t>
  </si>
  <si>
    <t xml:space="preserve">Salary After Tax </t>
  </si>
  <si>
    <t xml:space="preserve">Other Deductions</t>
  </si>
  <si>
    <t xml:space="preserve">Net Salary</t>
  </si>
  <si>
    <t xml:space="preserve">Tax Table USD</t>
  </si>
  <si>
    <t xml:space="preserve">ZWL</t>
  </si>
  <si>
    <t xml:space="preserve">USD</t>
  </si>
  <si>
    <t xml:space="preserve">Leave Days</t>
  </si>
  <si>
    <t xml:space="preserve">Works #</t>
  </si>
  <si>
    <t xml:space="preserve">Netsai</t>
  </si>
  <si>
    <t xml:space="preserve">Nhemachena</t>
  </si>
  <si>
    <t xml:space="preserve">National 78-171262Y32</t>
  </si>
  <si>
    <t xml:space="preserve">Pay Date</t>
  </si>
  <si>
    <t xml:space="preserve">Station</t>
  </si>
  <si>
    <t xml:space="preserve">Occupation</t>
  </si>
  <si>
    <t xml:space="preserve">Grade</t>
  </si>
  <si>
    <t xml:space="preserve">NSSA Number</t>
  </si>
  <si>
    <t xml:space="preserve"> RATIO</t>
  </si>
  <si>
    <t xml:space="preserve">Period</t>
  </si>
  <si>
    <t xml:space="preserve">Hours</t>
  </si>
  <si>
    <t xml:space="preserve">Rate/hr</t>
  </si>
  <si>
    <t xml:space="preserve">UG Shifts</t>
  </si>
  <si>
    <t xml:space="preserve">NS Hours</t>
  </si>
  <si>
    <t xml:space="preserve">USD NEC</t>
  </si>
  <si>
    <t xml:space="preserve">ZWL Basic</t>
  </si>
  <si>
    <t xml:space="preserve">Total</t>
  </si>
  <si>
    <t xml:space="preserve">Housing </t>
  </si>
  <si>
    <t xml:space="preserve">Underground</t>
  </si>
  <si>
    <t xml:space="preserve">Night Shift USD</t>
  </si>
  <si>
    <t xml:space="preserve">Food </t>
  </si>
  <si>
    <t xml:space="preserve">Airtime</t>
  </si>
  <si>
    <t xml:space="preserve">Overtime @2</t>
  </si>
  <si>
    <t xml:space="preserve">Overtime @1.5</t>
  </si>
  <si>
    <t xml:space="preserve">Hours @2</t>
  </si>
  <si>
    <t xml:space="preserve">Hours @1.5</t>
  </si>
  <si>
    <t xml:space="preserve">Days sold</t>
  </si>
  <si>
    <t xml:space="preserve">Gratuity</t>
  </si>
  <si>
    <t xml:space="preserve">Ratio</t>
  </si>
  <si>
    <t xml:space="preserve">usd</t>
  </si>
  <si>
    <t xml:space="preserve">NSSA</t>
  </si>
  <si>
    <t xml:space="preserve">NSSA USD</t>
  </si>
  <si>
    <t xml:space="preserve">NSSA ZWL</t>
  </si>
  <si>
    <t xml:space="preserve">MIPF </t>
  </si>
  <si>
    <t xml:space="preserve">NEC</t>
  </si>
  <si>
    <t xml:space="preserve">Non Taxable Bonus</t>
  </si>
  <si>
    <t xml:space="preserve">PAYE  </t>
  </si>
  <si>
    <t xml:space="preserve">AIDS LEVY</t>
  </si>
  <si>
    <t xml:space="preserve">Nyaradzo</t>
  </si>
  <si>
    <t xml:space="preserve">CBZ Life</t>
  </si>
  <si>
    <t xml:space="preserve">Maint ZWL</t>
  </si>
  <si>
    <t xml:space="preserve">Maint USD</t>
  </si>
  <si>
    <t xml:space="preserve">Funeral Assist ZWL</t>
  </si>
  <si>
    <t xml:space="preserve">Loan Repayment ZWL</t>
  </si>
  <si>
    <t xml:space="preserve">Loan Repayment USD</t>
  </si>
  <si>
    <t xml:space="preserve">Funeral USD</t>
  </si>
  <si>
    <t xml:space="preserve">May Day (USD)</t>
  </si>
  <si>
    <t xml:space="preserve">0-100</t>
  </si>
  <si>
    <t xml:space="preserve">100.01-300</t>
  </si>
  <si>
    <t xml:space="preserve">300.01-1000</t>
  </si>
  <si>
    <t xml:space="preserve">1000.01-2000</t>
  </si>
  <si>
    <t xml:space="preserve">2000.01-3000</t>
  </si>
  <si>
    <t xml:space="preserve">3000 and Above</t>
  </si>
  <si>
    <t xml:space="preserve">Bank</t>
  </si>
  <si>
    <t xml:space="preserve">Branch </t>
  </si>
  <si>
    <t xml:space="preserve">Account Number</t>
  </si>
  <si>
    <t xml:space="preserve">Opening</t>
  </si>
  <si>
    <t xml:space="preserve">Acrued </t>
  </si>
  <si>
    <t xml:space="preserve">Taken</t>
  </si>
  <si>
    <t xml:space="preserve">Closing</t>
  </si>
  <si>
    <t xml:space="preserve">AES-E050</t>
  </si>
  <si>
    <t xml:space="preserve">Clever </t>
  </si>
  <si>
    <t xml:space="preserve">Chakabva</t>
  </si>
  <si>
    <t xml:space="preserve">17-934904V07</t>
  </si>
  <si>
    <t xml:space="preserve">Unki</t>
  </si>
  <si>
    <t xml:space="preserve">Site Manager</t>
  </si>
  <si>
    <t xml:space="preserve">3030113H</t>
  </si>
  <si>
    <t xml:space="preserve">5/2023</t>
  </si>
  <si>
    <t xml:space="preserve">FBC</t>
  </si>
  <si>
    <t xml:space="preserve">Gweru</t>
  </si>
  <si>
    <t xml:space="preserve">2212772367295</t>
  </si>
  <si>
    <t xml:space="preserve">1220508908844</t>
  </si>
  <si>
    <t xml:space="preserve">AES-E052</t>
  </si>
  <si>
    <t xml:space="preserve">Tatenda </t>
  </si>
  <si>
    <t xml:space="preserve">Masuku</t>
  </si>
  <si>
    <t xml:space="preserve">55-962276R15</t>
  </si>
  <si>
    <t xml:space="preserve">Builder</t>
  </si>
  <si>
    <t xml:space="preserve">2651177B</t>
  </si>
  <si>
    <t xml:space="preserve">8658583780750</t>
  </si>
  <si>
    <t xml:space="preserve">5753027522713</t>
  </si>
  <si>
    <t xml:space="preserve">AES-E051</t>
  </si>
  <si>
    <t xml:space="preserve">Kupakwashe</t>
  </si>
  <si>
    <t xml:space="preserve">Matongo</t>
  </si>
  <si>
    <t xml:space="preserve">70-912270R61</t>
  </si>
  <si>
    <t xml:space="preserve">Construction Assistant</t>
  </si>
  <si>
    <t xml:space="preserve">7264956Q</t>
  </si>
  <si>
    <t xml:space="preserve">6670509580791</t>
  </si>
  <si>
    <t xml:space="preserve">5320100212640</t>
  </si>
  <si>
    <t xml:space="preserve">AES-E053</t>
  </si>
  <si>
    <t xml:space="preserve">Panashe</t>
  </si>
  <si>
    <t xml:space="preserve">Gorejena</t>
  </si>
  <si>
    <t xml:space="preserve">13-392477Q33</t>
  </si>
  <si>
    <t xml:space="preserve">Team Leader</t>
  </si>
  <si>
    <t xml:space="preserve">8835373B</t>
  </si>
  <si>
    <t xml:space="preserve">NMB</t>
  </si>
  <si>
    <t xml:space="preserve">9176546035391</t>
  </si>
  <si>
    <t xml:space="preserve">7668659091022</t>
  </si>
  <si>
    <t xml:space="preserve">AES-E054</t>
  </si>
  <si>
    <t xml:space="preserve">Tapiwa</t>
  </si>
  <si>
    <t xml:space="preserve">Shumba</t>
  </si>
  <si>
    <t xml:space="preserve">45-130094R43</t>
  </si>
  <si>
    <t xml:space="preserve">3762152N</t>
  </si>
  <si>
    <t xml:space="preserve">9577830686343</t>
  </si>
  <si>
    <t xml:space="preserve">7241498528903</t>
  </si>
  <si>
    <t xml:space="preserve">AES-E057</t>
  </si>
  <si>
    <t xml:space="preserve">Energy</t>
  </si>
  <si>
    <t xml:space="preserve">Mudenda</t>
  </si>
  <si>
    <t xml:space="preserve">35-456871J78</t>
  </si>
  <si>
    <t xml:space="preserve">Ventilation Officer</t>
  </si>
  <si>
    <t xml:space="preserve">7728339B</t>
  </si>
  <si>
    <t xml:space="preserve">4362736323263</t>
  </si>
  <si>
    <t xml:space="preserve">5243795393319</t>
  </si>
  <si>
    <t xml:space="preserve">AES-E055</t>
  </si>
  <si>
    <t xml:space="preserve">Perfect</t>
  </si>
  <si>
    <t xml:space="preserve">Mhererwa</t>
  </si>
  <si>
    <t xml:space="preserve">54-612311T32</t>
  </si>
  <si>
    <t xml:space="preserve">UV Operator</t>
  </si>
  <si>
    <t xml:space="preserve">TBA</t>
  </si>
  <si>
    <t xml:space="preserve">ZB</t>
  </si>
  <si>
    <t xml:space="preserve">Shurugwi</t>
  </si>
  <si>
    <t xml:space="preserve">9378152371743</t>
  </si>
  <si>
    <t xml:space="preserve">8883373049733</t>
  </si>
  <si>
    <t xml:space="preserve">AES-E056</t>
  </si>
  <si>
    <t xml:space="preserve">Tanyaradzwa</t>
  </si>
  <si>
    <t xml:space="preserve">Ndoro</t>
  </si>
  <si>
    <t xml:space="preserve">04-197573K30</t>
  </si>
  <si>
    <t xml:space="preserve">6386933976899</t>
  </si>
  <si>
    <t xml:space="preserve">9325231550423</t>
  </si>
  <si>
    <t xml:space="preserve">AES-E059</t>
  </si>
  <si>
    <t xml:space="preserve">Chinouriri</t>
  </si>
  <si>
    <t xml:space="preserve">72-656711M56</t>
  </si>
  <si>
    <t xml:space="preserve">Boilermaker</t>
  </si>
  <si>
    <t xml:space="preserve">3219824V</t>
  </si>
  <si>
    <t xml:space="preserve">6817749619277</t>
  </si>
  <si>
    <t xml:space="preserve">5765067552342</t>
  </si>
  <si>
    <t xml:space="preserve">AES-E058</t>
  </si>
  <si>
    <t xml:space="preserve">Wisdom</t>
  </si>
  <si>
    <t xml:space="preserve">Mavhunga</t>
  </si>
  <si>
    <t xml:space="preserve">41-363615H17</t>
  </si>
  <si>
    <t xml:space="preserve">1036161N</t>
  </si>
  <si>
    <t xml:space="preserve">4387532121887</t>
  </si>
  <si>
    <t xml:space="preserve">3101594275846</t>
  </si>
  <si>
    <t xml:space="preserve">AES-E060</t>
  </si>
  <si>
    <t xml:space="preserve">Makanaka </t>
  </si>
  <si>
    <t xml:space="preserve">Dziva</t>
  </si>
  <si>
    <t xml:space="preserve">70-899213Z25</t>
  </si>
  <si>
    <t xml:space="preserve">Jack Hammer Operator</t>
  </si>
  <si>
    <t xml:space="preserve">Gweru BS</t>
  </si>
  <si>
    <t xml:space="preserve">4806163686472</t>
  </si>
  <si>
    <t xml:space="preserve">Headoffice</t>
  </si>
  <si>
    <t xml:space="preserve">9520092430792</t>
  </si>
  <si>
    <t xml:space="preserve">Totals</t>
  </si>
  <si>
    <t xml:space="preserve">AIRFLOW ENVIRONMENTAL SOLUTIONS PRIVATE LIMITED  PAYSLIP</t>
  </si>
  <si>
    <t xml:space="preserve">Employee Details</t>
  </si>
  <si>
    <t xml:space="preserve">Earnings
Details</t>
  </si>
  <si>
    <t xml:space="preserve">Units</t>
  </si>
  <si>
    <t xml:space="preserve">Earning Amounts</t>
  </si>
  <si>
    <t xml:space="preserve">Deduction
Details</t>
  </si>
  <si>
    <t xml:space="preserve">Deduction Amounts</t>
  </si>
  <si>
    <t xml:space="preserve">CA</t>
  </si>
  <si>
    <t xml:space="preserve">USD </t>
  </si>
  <si>
    <t xml:space="preserve">Employee NO</t>
  </si>
  <si>
    <t xml:space="preserve">Basic Pay</t>
  </si>
  <si>
    <t xml:space="preserve">PAYE</t>
  </si>
  <si>
    <t xml:space="preserve">Housing Allowance</t>
  </si>
  <si>
    <t xml:space="preserve">Nat ID</t>
  </si>
  <si>
    <t xml:space="preserve">Overtime 1.5</t>
  </si>
  <si>
    <t xml:space="preserve">Pay Method</t>
  </si>
  <si>
    <t xml:space="preserve">Transfer</t>
  </si>
  <si>
    <t xml:space="preserve">Overtime 2.0</t>
  </si>
  <si>
    <t xml:space="preserve">Loan/Advance</t>
  </si>
  <si>
    <t xml:space="preserve">Repayment</t>
  </si>
  <si>
    <t xml:space="preserve">C.I.L.O.L</t>
  </si>
  <si>
    <t xml:space="preserve">Maintenance</t>
  </si>
  <si>
    <t xml:space="preserve">Food Allowance</t>
  </si>
  <si>
    <t xml:space="preserve">NSSA No</t>
  </si>
  <si>
    <t xml:space="preserve">Airtime Allowance</t>
  </si>
  <si>
    <t xml:space="preserve">Checking</t>
  </si>
  <si>
    <t xml:space="preserve">Underground Allowance</t>
  </si>
  <si>
    <t xml:space="preserve">CBZ Fund</t>
  </si>
  <si>
    <t xml:space="preserve">usd </t>
  </si>
  <si>
    <t xml:space="preserve">Night Shift Allowance</t>
  </si>
  <si>
    <t xml:space="preserve">May Day</t>
  </si>
  <si>
    <t xml:space="preserve">zwl</t>
  </si>
  <si>
    <t xml:space="preserve">Gross </t>
  </si>
  <si>
    <t xml:space="preserve">Total Deductions</t>
  </si>
  <si>
    <t xml:space="preserve">ZWL Banked</t>
  </si>
  <si>
    <t xml:space="preserve">Tax Credit</t>
  </si>
  <si>
    <t xml:space="preserve">NET PAY</t>
  </si>
  <si>
    <t xml:space="preserve">ZWL </t>
  </si>
  <si>
    <t xml:space="preserve">USD Banked</t>
  </si>
  <si>
    <t xml:space="preserve">Airflow Environmental Solutions </t>
  </si>
  <si>
    <t xml:space="preserve">Unki Bank Schedule for the Month of May 2023</t>
  </si>
  <si>
    <t xml:space="preserve">Back Pay</t>
  </si>
  <si>
    <t xml:space="preserve">Bank </t>
  </si>
  <si>
    <t xml:space="preserve">Branch</t>
  </si>
  <si>
    <t xml:space="preserve">Amount</t>
  </si>
  <si>
    <t xml:space="preserve">Employee Contribution</t>
  </si>
  <si>
    <t xml:space="preserve">Employer Contribution</t>
  </si>
  <si>
    <t xml:space="preserve">WCIF</t>
  </si>
  <si>
    <t xml:space="preserve">Payable</t>
  </si>
  <si>
    <t xml:space="preserve">Details</t>
  </si>
  <si>
    <t xml:space="preserve">Zimdef Schedule May 2023</t>
  </si>
  <si>
    <t xml:space="preserve">Rate </t>
  </si>
  <si>
    <t xml:space="preserve">NSSA </t>
  </si>
  <si>
    <t xml:space="preserve">USD CONVERTED</t>
  </si>
  <si>
    <t xml:space="preserve">TOTAL</t>
  </si>
  <si>
    <t xml:space="preserve">ZIMDEF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</si>
</sst>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_-;\-* #,##0.00_-;_-* \-??_-;_-@_-"/>
    <numFmt numFmtId="166" formatCode="_(* #,##0.00_);_(* \(#,##0.00\);_(* \-??_);_(@_)"/>
    <numFmt numFmtId="167" formatCode="0%"/>
    <numFmt numFmtId="168" formatCode="_(* #,##0.0000_);_(* \(#,##0.0000\);_(* \-??_);_(@_)"/>
    <numFmt numFmtId="169" formatCode="_(* #,##0.00000_);_(* \(#,##0.00000\);_(* \-??_);_(@_)"/>
    <numFmt numFmtId="170" formatCode="m/d/yyyy"/>
    <numFmt numFmtId="171" formatCode="_(* #,##0_);_(* \(#,##0\);_(* \-??_);_(@_)"/>
    <numFmt numFmtId="172" formatCode="#,##0.00"/>
    <numFmt numFmtId="173" formatCode="General"/>
    <numFmt numFmtId="174" formatCode="_-* #,##0_-;\-* #,##0_-;_-* \-??_-;_-@_-"/>
    <numFmt numFmtId="175" formatCode="_(\$* #,##0.00_);_(\$* \(#,##0.00\);_(\$* \-??_);_(@_)"/>
    <numFmt numFmtId="176" formatCode="_([$USD]\ * #,##0.00_);_([$USD]\ * \(#,##0.00\);_([$USD]\ * \-??_);_(@_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9" tint="0.7999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theme="4" tint="0.5999"/>
        <bgColor rgb="FFBFBFBF"/>
      </patternFill>
    </fill>
    <fill>
      <patternFill patternType="solid">
        <fgColor rgb="FF92D050"/>
        <bgColor rgb="FFBFBFBF"/>
      </patternFill>
    </fill>
    <fill>
      <patternFill patternType="solid">
        <fgColor theme="5" tint="0.3999"/>
        <bgColor rgb="FFFF99CC"/>
      </patternFill>
    </fill>
    <fill>
      <patternFill patternType="solid">
        <fgColor theme="5" tint="-0.25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theme="5" tint="0.5999"/>
        <bgColor rgb="FFBFBFBF"/>
      </patternFill>
    </fill>
    <fill>
      <patternFill patternType="solid">
        <fgColor theme="6" tint="0.5999"/>
        <bgColor rgb="FFFDEADA"/>
      </patternFill>
    </fill>
    <fill>
      <patternFill patternType="solid">
        <fgColor theme="8" tint="0.3999"/>
        <bgColor rgb="FFB9CDE5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B9CDE5"/>
      </patternFill>
    </fill>
    <fill>
      <patternFill patternType="solid">
        <fgColor theme="0" tint="-0.5"/>
        <bgColor rgb="FF969696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 diagonalUp="false" diagonalDown="false">
      <left/>
      <right style="thin">
        <color rgb="FF00B050"/>
      </right>
      <top/>
      <bottom/>
      <diagonal/>
    </border>
    <border diagonalUp="false" diagonalDown="false">
      <left style="thin">
        <color rgb="FF00B050"/>
      </left>
      <right style="thin">
        <color rgb="FF00B050"/>
      </right>
      <top/>
      <bottom/>
      <diagonal/>
    </border>
    <border diagonalUp="false" diagonalDown="false">
      <left style="thin">
        <color rgb="FF00B050"/>
      </left>
      <right/>
      <top style="thin">
        <color rgb="FF00B050"/>
      </top>
      <bottom/>
      <diagonal/>
    </border>
    <border diagonalUp="false" diagonalDown="false">
      <left/>
      <right/>
      <top style="thin">
        <color rgb="FF00B050"/>
      </top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1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14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14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5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14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4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14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14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2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0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0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5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1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8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8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6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9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6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Normal 2" xfId="23"/>
  </cellStyles>
  <dxfs count="1">
    <dxf>
      <font>
        <color rgb="FFCC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53735"/>
      <rgbColor rgb="FFFDEADA"/>
      <rgbColor rgb="FFCCFFFF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3CDDD"/>
      <rgbColor rgb="FFFF99CC"/>
      <rgbColor rgb="FFCC99FF"/>
      <rgbColor rgb="FFE6B9B8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21.85"/>
    <col collapsed="false" customWidth="true" hidden="false" outlineLevel="0" max="3" min="3" style="1" width="23.14"/>
    <col collapsed="false" customWidth="true" hidden="true" outlineLevel="0" max="4" min="4" style="1" width="19.57"/>
    <col collapsed="false" customWidth="true" hidden="true" outlineLevel="0" max="5" min="5" style="1" width="12"/>
    <col collapsed="false" customWidth="true" hidden="true" outlineLevel="0" max="6" min="6" style="1" width="11.43"/>
    <col collapsed="false" customWidth="true" hidden="true" outlineLevel="0" max="7" min="7" style="1" width="22.71"/>
    <col collapsed="false" customWidth="true" hidden="true" outlineLevel="0" max="8" min="8" style="1" width="10.14"/>
    <col collapsed="false" customWidth="true" hidden="true" outlineLevel="0" max="9" min="9" style="1" width="13.86"/>
    <col collapsed="false" customWidth="true" hidden="true" outlineLevel="0" max="12" min="10" style="1" width="9.29"/>
    <col collapsed="false" customWidth="true" hidden="false" outlineLevel="0" max="13" min="13" style="1" width="11.29"/>
    <col collapsed="false" customWidth="true" hidden="false" outlineLevel="0" max="14" min="14" style="1" width="10.42"/>
    <col collapsed="false" customWidth="true" hidden="false" outlineLevel="0" max="15" min="15" style="1" width="9"/>
    <col collapsed="false" customWidth="true" hidden="false" outlineLevel="0" max="17" min="16" style="1" width="11.71"/>
    <col collapsed="false" customWidth="true" hidden="false" outlineLevel="0" max="18" min="18" style="1" width="14"/>
    <col collapsed="false" customWidth="true" hidden="false" outlineLevel="0" max="19" min="19" style="1" width="14.29"/>
    <col collapsed="false" customWidth="true" hidden="false" outlineLevel="0" max="20" min="20" style="1" width="16.29"/>
    <col collapsed="false" customWidth="true" hidden="false" outlineLevel="0" max="21" min="21" style="1" width="13.57"/>
    <col collapsed="false" customWidth="true" hidden="false" outlineLevel="0" max="30" min="22" style="1" width="16.29"/>
    <col collapsed="false" customWidth="true" hidden="false" outlineLevel="0" max="32" min="31" style="1" width="9.71"/>
    <col collapsed="false" customWidth="true" hidden="false" outlineLevel="0" max="33" min="33" style="1" width="10.57"/>
    <col collapsed="false" customWidth="true" hidden="false" outlineLevel="0" max="34" min="34" style="1" width="13.86"/>
    <col collapsed="false" customWidth="true" hidden="false" outlineLevel="0" max="35" min="35" style="1" width="11.43"/>
    <col collapsed="false" customWidth="true" hidden="false" outlineLevel="0" max="36" min="36" style="1" width="16.57"/>
    <col collapsed="false" customWidth="true" hidden="false" outlineLevel="0" max="39" min="37" style="1" width="12.29"/>
    <col collapsed="false" customWidth="true" hidden="false" outlineLevel="0" max="40" min="40" style="1" width="11.57"/>
    <col collapsed="false" customWidth="true" hidden="false" outlineLevel="0" max="41" min="41" style="1" width="13.57"/>
    <col collapsed="false" customWidth="true" hidden="false" outlineLevel="0" max="42" min="42" style="1" width="19"/>
    <col collapsed="false" customWidth="true" hidden="false" outlineLevel="0" max="43" min="43" style="1" width="11"/>
    <col collapsed="false" customWidth="true" hidden="false" outlineLevel="0" max="44" min="44" style="1" width="15.42"/>
    <col collapsed="false" customWidth="true" hidden="false" outlineLevel="0" max="45" min="45" style="1" width="16.71"/>
    <col collapsed="false" customWidth="true" hidden="false" outlineLevel="0" max="46" min="46" style="1" width="12.15"/>
    <col collapsed="false" customWidth="true" hidden="false" outlineLevel="0" max="47" min="47" style="1" width="11.71"/>
    <col collapsed="false" customWidth="true" hidden="false" outlineLevel="0" max="48" min="48" style="1" width="10.57"/>
    <col collapsed="false" customWidth="true" hidden="false" outlineLevel="0" max="49" min="49" style="1" width="10.14"/>
    <col collapsed="false" customWidth="true" hidden="false" outlineLevel="0" max="50" min="50" style="1" width="10.71"/>
    <col collapsed="false" customWidth="true" hidden="false" outlineLevel="0" max="51" min="51" style="1" width="13.86"/>
    <col collapsed="false" customWidth="true" hidden="false" outlineLevel="0" max="52" min="52" style="1" width="12"/>
    <col collapsed="false" customWidth="true" hidden="false" outlineLevel="0" max="53" min="53" style="1" width="13"/>
    <col collapsed="false" customWidth="true" hidden="false" outlineLevel="0" max="54" min="54" style="1" width="14"/>
    <col collapsed="false" customWidth="true" hidden="false" outlineLevel="0" max="55" min="55" style="1" width="11.71"/>
    <col collapsed="false" customWidth="true" hidden="false" outlineLevel="0" max="56" min="56" style="1" width="10.42"/>
    <col collapsed="false" customWidth="true" hidden="false" outlineLevel="0" max="57" min="57" style="1" width="18.14"/>
    <col collapsed="false" customWidth="true" hidden="false" outlineLevel="0" max="58" min="58" style="1" width="13.71"/>
    <col collapsed="false" customWidth="true" hidden="false" outlineLevel="0" max="59" min="59" style="1" width="18.71"/>
    <col collapsed="false" customWidth="true" hidden="false" outlineLevel="0" max="61" min="60" style="1" width="23"/>
    <col collapsed="false" customWidth="true" hidden="false" outlineLevel="0" max="62" min="62" style="1" width="18.57"/>
    <col collapsed="false" customWidth="true" hidden="false" outlineLevel="0" max="63" min="63" style="1" width="14.42"/>
    <col collapsed="false" customWidth="true" hidden="false" outlineLevel="0" max="64" min="64" style="1" width="14.86"/>
    <col collapsed="false" customWidth="true" hidden="false" outlineLevel="0" max="65" min="65" style="1" width="18"/>
    <col collapsed="false" customWidth="true" hidden="false" outlineLevel="0" max="66" min="66" style="1" width="15.42"/>
    <col collapsed="false" customWidth="true" hidden="false" outlineLevel="0" max="67" min="67" style="1" width="14.86"/>
    <col collapsed="false" customWidth="true" hidden="false" outlineLevel="0" max="68" min="68" style="1" width="14.14"/>
    <col collapsed="false" customWidth="true" hidden="false" outlineLevel="0" max="69" min="69" style="1" width="15"/>
    <col collapsed="false" customWidth="true" hidden="false" outlineLevel="0" max="70" min="70" style="1" width="15.85"/>
    <col collapsed="false" customWidth="true" hidden="false" outlineLevel="0" max="71" min="71" style="1" width="17"/>
    <col collapsed="false" customWidth="true" hidden="false" outlineLevel="0" max="72" min="72" style="1" width="9.86"/>
    <col collapsed="false" customWidth="true" hidden="false" outlineLevel="0" max="73" min="73" style="1" width="12.42"/>
    <col collapsed="false" customWidth="true" hidden="false" outlineLevel="0" max="74" min="74" style="1" width="15.29"/>
    <col collapsed="false" customWidth="true" hidden="false" outlineLevel="0" max="75" min="75" style="1" width="21"/>
    <col collapsed="false" customWidth="true" hidden="false" outlineLevel="0" max="76" min="76" style="1" width="11.85"/>
    <col collapsed="false" customWidth="true" hidden="false" outlineLevel="0" max="77" min="77" style="1" width="10.57"/>
    <col collapsed="false" customWidth="true" hidden="false" outlineLevel="0" max="78" min="78" style="1" width="17"/>
    <col collapsed="false" customWidth="true" hidden="false" outlineLevel="0" max="79" min="79" style="1" width="10.42"/>
    <col collapsed="false" customWidth="true" hidden="false" outlineLevel="0" max="81" min="80" style="1" width="10.57"/>
    <col collapsed="false" customWidth="true" hidden="false" outlineLevel="0" max="82" min="82" style="1" width="9.71"/>
  </cols>
  <sheetData>
    <row r="1" customFormat="false" ht="15" hidden="false" customHeight="false" outlineLevel="0" collapsed="false">
      <c r="A1" s="2"/>
      <c r="J1" s="1" t="s">
        <v>0</v>
      </c>
      <c r="M1" s="3"/>
      <c r="N1" s="3"/>
      <c r="O1" s="3"/>
      <c r="P1" s="4"/>
      <c r="Q1" s="4"/>
      <c r="R1" s="4"/>
      <c r="S1" s="5" t="n">
        <v>6926.5764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 t="s">
        <v>1</v>
      </c>
      <c r="AJ1" s="5" t="n">
        <v>6926.5764</v>
      </c>
      <c r="AK1" s="4"/>
      <c r="AL1" s="4"/>
      <c r="AM1" s="4"/>
      <c r="AN1" s="4"/>
      <c r="AO1" s="4"/>
      <c r="AP1" s="4"/>
      <c r="AQ1" s="4"/>
      <c r="AR1" s="6" t="s">
        <v>1</v>
      </c>
      <c r="AS1" s="7" t="n">
        <v>6926.5764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" hidden="false" customHeight="false" outlineLevel="0" collapsed="false">
      <c r="C2" s="8" t="s">
        <v>2</v>
      </c>
      <c r="D2" s="8"/>
      <c r="E2" s="8"/>
      <c r="F2" s="8"/>
      <c r="G2" s="8"/>
      <c r="H2" s="8"/>
      <c r="I2" s="8"/>
      <c r="J2" s="8" t="s">
        <v>3</v>
      </c>
      <c r="K2" s="8"/>
      <c r="L2" s="8"/>
      <c r="M2" s="9"/>
      <c r="N2" s="8"/>
      <c r="O2" s="8"/>
      <c r="P2" s="10" t="s">
        <v>4</v>
      </c>
      <c r="Q2" s="10"/>
      <c r="R2" s="10"/>
      <c r="S2" s="10"/>
      <c r="T2" s="10" t="s">
        <v>5</v>
      </c>
      <c r="U2" s="10"/>
      <c r="V2" s="10"/>
      <c r="W2" s="11" t="s">
        <v>6</v>
      </c>
      <c r="X2" s="11"/>
      <c r="Y2" s="12"/>
      <c r="Z2" s="12"/>
      <c r="AA2" s="12"/>
      <c r="AB2" s="12"/>
      <c r="AC2" s="12"/>
      <c r="AD2" s="12"/>
      <c r="AE2" s="12" t="s">
        <v>7</v>
      </c>
      <c r="AF2" s="13" t="s">
        <v>8</v>
      </c>
      <c r="AG2" s="13" t="s">
        <v>3</v>
      </c>
      <c r="AH2" s="11" t="s">
        <v>9</v>
      </c>
      <c r="AI2" s="11"/>
      <c r="AJ2" s="11"/>
      <c r="AK2" s="14" t="s">
        <v>10</v>
      </c>
      <c r="AL2" s="14"/>
      <c r="AM2" s="14"/>
      <c r="AN2" s="14"/>
      <c r="AO2" s="14"/>
      <c r="AP2" s="15"/>
      <c r="AQ2" s="16" t="s">
        <v>11</v>
      </c>
      <c r="AR2" s="16"/>
      <c r="AS2" s="17" t="s">
        <v>12</v>
      </c>
      <c r="AT2" s="18" t="s">
        <v>13</v>
      </c>
      <c r="AU2" s="19" t="s">
        <v>14</v>
      </c>
      <c r="AV2" s="19" t="s">
        <v>15</v>
      </c>
      <c r="AW2" s="19" t="s">
        <v>16</v>
      </c>
      <c r="AX2" s="19"/>
      <c r="AY2" s="19" t="s">
        <v>17</v>
      </c>
      <c r="AZ2" s="19"/>
      <c r="BA2" s="19" t="s">
        <v>18</v>
      </c>
      <c r="BB2" s="19"/>
      <c r="BC2" s="20" t="s">
        <v>19</v>
      </c>
      <c r="BD2" s="20"/>
      <c r="BE2" s="20"/>
      <c r="BF2" s="20"/>
      <c r="BG2" s="20"/>
      <c r="BH2" s="20"/>
      <c r="BI2" s="20"/>
      <c r="BJ2" s="20"/>
      <c r="BK2" s="20"/>
      <c r="BL2" s="11" t="s">
        <v>20</v>
      </c>
      <c r="BM2" s="11"/>
      <c r="BN2" s="21"/>
      <c r="BO2" s="21" t="s">
        <v>21</v>
      </c>
      <c r="BP2" s="21"/>
      <c r="BQ2" s="21"/>
      <c r="BR2" s="22"/>
      <c r="BS2" s="22"/>
      <c r="BT2" s="22"/>
      <c r="BU2" s="23" t="s">
        <v>22</v>
      </c>
      <c r="BV2" s="23"/>
      <c r="BW2" s="23"/>
      <c r="BX2" s="24" t="s">
        <v>23</v>
      </c>
      <c r="BY2" s="24"/>
      <c r="BZ2" s="24"/>
      <c r="CA2" s="25" t="s">
        <v>24</v>
      </c>
      <c r="CB2" s="25"/>
      <c r="CC2" s="25"/>
      <c r="CD2" s="25"/>
    </row>
    <row r="3" customFormat="false" ht="15" hidden="false" customHeight="false" outlineLevel="0" collapsed="false">
      <c r="A3" s="26" t="s">
        <v>25</v>
      </c>
      <c r="B3" s="26" t="s">
        <v>26</v>
      </c>
      <c r="C3" s="27" t="s">
        <v>27</v>
      </c>
      <c r="D3" s="27" t="s">
        <v>28</v>
      </c>
      <c r="E3" s="27" t="s">
        <v>29</v>
      </c>
      <c r="F3" s="27" t="s">
        <v>30</v>
      </c>
      <c r="G3" s="27" t="s">
        <v>31</v>
      </c>
      <c r="H3" s="27" t="s">
        <v>32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  <c r="N3" s="27" t="s">
        <v>38</v>
      </c>
      <c r="O3" s="27" t="s">
        <v>39</v>
      </c>
      <c r="P3" s="28" t="s">
        <v>40</v>
      </c>
      <c r="Q3" s="28" t="s">
        <v>23</v>
      </c>
      <c r="R3" s="28" t="s">
        <v>41</v>
      </c>
      <c r="S3" s="29" t="s">
        <v>42</v>
      </c>
      <c r="T3" s="28" t="s">
        <v>43</v>
      </c>
      <c r="U3" s="28" t="s">
        <v>44</v>
      </c>
      <c r="V3" s="28" t="s">
        <v>45</v>
      </c>
      <c r="W3" s="28" t="s">
        <v>46</v>
      </c>
      <c r="X3" s="28" t="s">
        <v>47</v>
      </c>
      <c r="Y3" s="28" t="s">
        <v>48</v>
      </c>
      <c r="Z3" s="28" t="s">
        <v>49</v>
      </c>
      <c r="AA3" s="30" t="s">
        <v>50</v>
      </c>
      <c r="AB3" s="30" t="s">
        <v>51</v>
      </c>
      <c r="AC3" s="30" t="s">
        <v>52</v>
      </c>
      <c r="AD3" s="30" t="s">
        <v>53</v>
      </c>
      <c r="AE3" s="28" t="s">
        <v>23</v>
      </c>
      <c r="AF3" s="31" t="s">
        <v>23</v>
      </c>
      <c r="AG3" s="31" t="s">
        <v>54</v>
      </c>
      <c r="AH3" s="28" t="s">
        <v>42</v>
      </c>
      <c r="AI3" s="28" t="s">
        <v>55</v>
      </c>
      <c r="AJ3" s="28" t="s">
        <v>22</v>
      </c>
      <c r="AK3" s="32" t="s">
        <v>56</v>
      </c>
      <c r="AL3" s="32" t="s">
        <v>57</v>
      </c>
      <c r="AM3" s="32" t="s">
        <v>58</v>
      </c>
      <c r="AN3" s="32" t="s">
        <v>59</v>
      </c>
      <c r="AO3" s="32" t="s">
        <v>60</v>
      </c>
      <c r="AP3" s="32" t="s">
        <v>61</v>
      </c>
      <c r="AQ3" s="30" t="s">
        <v>23</v>
      </c>
      <c r="AR3" s="33" t="s">
        <v>22</v>
      </c>
      <c r="AS3" s="17" t="s">
        <v>23</v>
      </c>
      <c r="AT3" s="18" t="s">
        <v>23</v>
      </c>
      <c r="AU3" s="19" t="s">
        <v>23</v>
      </c>
      <c r="AV3" s="19" t="s">
        <v>23</v>
      </c>
      <c r="AW3" s="34" t="s">
        <v>62</v>
      </c>
      <c r="AX3" s="34" t="s">
        <v>63</v>
      </c>
      <c r="AY3" s="34" t="s">
        <v>62</v>
      </c>
      <c r="AZ3" s="34" t="s">
        <v>63</v>
      </c>
      <c r="BA3" s="19" t="s">
        <v>23</v>
      </c>
      <c r="BB3" s="19" t="s">
        <v>22</v>
      </c>
      <c r="BC3" s="35" t="s">
        <v>64</v>
      </c>
      <c r="BD3" s="35" t="s">
        <v>65</v>
      </c>
      <c r="BE3" s="35" t="s">
        <v>66</v>
      </c>
      <c r="BF3" s="35" t="s">
        <v>67</v>
      </c>
      <c r="BG3" s="35" t="s">
        <v>68</v>
      </c>
      <c r="BH3" s="35" t="s">
        <v>69</v>
      </c>
      <c r="BI3" s="35" t="s">
        <v>70</v>
      </c>
      <c r="BJ3" s="35" t="s">
        <v>71</v>
      </c>
      <c r="BK3" s="35" t="s">
        <v>72</v>
      </c>
      <c r="BL3" s="28" t="s">
        <v>23</v>
      </c>
      <c r="BM3" s="28" t="s">
        <v>22</v>
      </c>
      <c r="BN3" s="36" t="s">
        <v>73</v>
      </c>
      <c r="BO3" s="36" t="s">
        <v>74</v>
      </c>
      <c r="BP3" s="36" t="s">
        <v>75</v>
      </c>
      <c r="BQ3" s="36" t="s">
        <v>76</v>
      </c>
      <c r="BR3" s="36" t="s">
        <v>77</v>
      </c>
      <c r="BS3" s="36" t="s">
        <v>78</v>
      </c>
      <c r="BT3" s="37" t="s">
        <v>42</v>
      </c>
      <c r="BU3" s="36" t="s">
        <v>79</v>
      </c>
      <c r="BV3" s="36" t="s">
        <v>80</v>
      </c>
      <c r="BW3" s="36" t="s">
        <v>81</v>
      </c>
      <c r="BX3" s="36" t="s">
        <v>79</v>
      </c>
      <c r="BY3" s="36" t="s">
        <v>80</v>
      </c>
      <c r="BZ3" s="38" t="s">
        <v>81</v>
      </c>
      <c r="CA3" s="35" t="s">
        <v>82</v>
      </c>
      <c r="CB3" s="35" t="s">
        <v>83</v>
      </c>
      <c r="CC3" s="35" t="s">
        <v>84</v>
      </c>
      <c r="CD3" s="35" t="s">
        <v>85</v>
      </c>
    </row>
    <row r="4" customFormat="false" ht="15.75" hidden="false" customHeight="true" outlineLevel="0" collapsed="false">
      <c r="A4" s="39" t="s">
        <v>86</v>
      </c>
      <c r="B4" s="40" t="s">
        <v>87</v>
      </c>
      <c r="C4" s="41" t="s">
        <v>88</v>
      </c>
      <c r="D4" s="42" t="s">
        <v>89</v>
      </c>
      <c r="E4" s="43" t="n">
        <v>45107</v>
      </c>
      <c r="F4" s="44" t="s">
        <v>90</v>
      </c>
      <c r="G4" s="45" t="s">
        <v>91</v>
      </c>
      <c r="H4" s="44" t="n">
        <v>4.13</v>
      </c>
      <c r="I4" s="42" t="s">
        <v>92</v>
      </c>
      <c r="J4" s="46" t="n">
        <f aca="false">AQ4/AS4</f>
        <v>0.300213514437486</v>
      </c>
      <c r="K4" s="46" t="s">
        <v>93</v>
      </c>
      <c r="L4" s="47" t="n">
        <v>210</v>
      </c>
      <c r="M4" s="46" t="n">
        <f aca="false">823.37/208</f>
        <v>3.95850961538462</v>
      </c>
      <c r="N4" s="46" t="n">
        <v>22</v>
      </c>
      <c r="O4" s="46"/>
      <c r="P4" s="48" t="n">
        <f aca="false">L4*M4</f>
        <v>831.287019230769</v>
      </c>
      <c r="Q4" s="48" t="n">
        <f aca="false">P4*0.3</f>
        <v>249.386105769231</v>
      </c>
      <c r="R4" s="48" t="n">
        <f aca="false">P4*0.7*$S$1</f>
        <v>4030581.13432114</v>
      </c>
      <c r="S4" s="49" t="n">
        <f aca="false">P4*$S$1</f>
        <v>5757973.04903019</v>
      </c>
      <c r="T4" s="48" t="n">
        <f aca="false">P4*0.25</f>
        <v>207.821754807692</v>
      </c>
      <c r="U4" s="48" t="n">
        <f aca="false">M4*N4*8*0.05</f>
        <v>34.8348846153846</v>
      </c>
      <c r="V4" s="48" t="n">
        <f aca="false">M4*O4*0.1</f>
        <v>0</v>
      </c>
      <c r="W4" s="48" t="n">
        <v>10000</v>
      </c>
      <c r="X4" s="48" t="n">
        <v>2000</v>
      </c>
      <c r="Y4" s="48" t="n">
        <f aca="false">AA4*M4*2</f>
        <v>0</v>
      </c>
      <c r="Z4" s="48" t="n">
        <f aca="false">AB4*M4*1.5</f>
        <v>0</v>
      </c>
      <c r="AA4" s="48"/>
      <c r="AB4" s="48"/>
      <c r="AC4" s="48"/>
      <c r="AD4" s="48"/>
      <c r="AE4" s="48" t="n">
        <f aca="false">M4*8*AC4</f>
        <v>0</v>
      </c>
      <c r="AF4" s="50"/>
      <c r="AG4" s="50" t="n">
        <f aca="false">AQ4/AS4</f>
        <v>0.300213514437486</v>
      </c>
      <c r="AH4" s="51" t="n">
        <f aca="false">(AI4*$AJ$1)+AJ4</f>
        <v>7450752.80096139</v>
      </c>
      <c r="AI4" s="48" t="n">
        <f aca="false">Q4+(T4+U4+V4+Y4+Z4+AE4)*0.3</f>
        <v>322.183097596154</v>
      </c>
      <c r="AJ4" s="49" t="n">
        <f aca="false">R4+((+T4+U4+V4+Y4+Z4+AE4)*0.7)*$AJ$1+W4+X4</f>
        <v>5219126.96067297</v>
      </c>
      <c r="AK4" s="52" t="n">
        <f aca="false">IF(S4&gt;518239,0.045*518239,S4*0.045)</f>
        <v>23320.755</v>
      </c>
      <c r="AL4" s="48" t="n">
        <f aca="false">(AK4*0.3)/$AS$1</f>
        <v>1.01005548715235</v>
      </c>
      <c r="AM4" s="48" t="n">
        <f aca="false">(AK4*0.7)</f>
        <v>16324.5285</v>
      </c>
      <c r="AN4" s="53"/>
      <c r="AO4" s="53" t="n">
        <f aca="false">(S4*0.003)</f>
        <v>17273.9191470906</v>
      </c>
      <c r="AP4" s="53" t="n">
        <f aca="false">IF(AF4&gt;320,320,AF4)</f>
        <v>0</v>
      </c>
      <c r="AQ4" s="48" t="n">
        <f aca="false">AI4-AP4-AL4</f>
        <v>321.173042109002</v>
      </c>
      <c r="AR4" s="54" t="n">
        <f aca="false">AJ4-AM4-AN4-AO4-BD4</f>
        <v>5185528.51302588</v>
      </c>
      <c r="AS4" s="49" t="n">
        <f aca="false">AQ4+(AR4/$AS$1)</f>
        <v>1069.81540358297</v>
      </c>
      <c r="AT4" s="48" t="n">
        <f aca="false">BT4</f>
        <v>235.944621074892</v>
      </c>
      <c r="AU4" s="48"/>
      <c r="AV4" s="48" t="n">
        <f aca="false">AT4-AU4</f>
        <v>235.944621074892</v>
      </c>
      <c r="AW4" s="48" t="n">
        <f aca="false">AV4*AG4</f>
        <v>70.8337639055142</v>
      </c>
      <c r="AX4" s="48" t="n">
        <f aca="false">AW4*0.03</f>
        <v>2.12501291716543</v>
      </c>
      <c r="AY4" s="49" t="n">
        <f aca="false">(AV4-AW4)*$AS$1</f>
        <v>1143652.96665318</v>
      </c>
      <c r="AZ4" s="48" t="n">
        <f aca="false">AY4*0.03</f>
        <v>34309.5889995955</v>
      </c>
      <c r="BA4" s="48" t="n">
        <f aca="false">AQ4-AW4-AX4</f>
        <v>248.214265286322</v>
      </c>
      <c r="BB4" s="48" t="n">
        <f aca="false">AR4-AY4-AZ4</f>
        <v>4007565.9573731</v>
      </c>
      <c r="BC4" s="48" t="n">
        <v>31051.59</v>
      </c>
      <c r="BD4" s="48"/>
      <c r="BE4" s="48"/>
      <c r="BF4" s="48"/>
      <c r="BG4" s="48" t="n">
        <v>0</v>
      </c>
      <c r="BH4" s="48"/>
      <c r="BI4" s="48"/>
      <c r="BJ4" s="48"/>
      <c r="BK4" s="48"/>
      <c r="BL4" s="48" t="n">
        <f aca="false">BA4-BK4-BI4-BJ4-BF4</f>
        <v>248.214265286322</v>
      </c>
      <c r="BM4" s="48" t="n">
        <f aca="false">BB4-BC4-BE4-BG4-BH4</f>
        <v>3976514.3673731</v>
      </c>
      <c r="BN4" s="4" t="n">
        <f aca="false">IF(AS4&lt;100,0,0)</f>
        <v>0</v>
      </c>
      <c r="BO4" s="4" t="n">
        <f aca="false">IF(AS4&lt;70,"",IF(AS4&lt;=300,AS4*0.2-20,))</f>
        <v>0</v>
      </c>
      <c r="BP4" s="4" t="n">
        <f aca="false">IF(AS4&lt;300.01,"",IF(AS4&lt;=1000,AS4*0.25-35,))</f>
        <v>0</v>
      </c>
      <c r="BQ4" s="4" t="n">
        <f aca="false">IF(AS4&lt;1000.01,"",IF(AS4&lt;=2000,AS4*0.3-85,))</f>
        <v>235.944621074892</v>
      </c>
      <c r="BR4" s="4" t="str">
        <f aca="false">IF(AS4&lt;2000.01,"",IF(AS4&lt;=3000,AS4*0.35-185,))</f>
        <v/>
      </c>
      <c r="BS4" s="4" t="str">
        <f aca="false">IF(AS4&lt;3000.01,"",IF(AS4&gt;3000,AS4*0.4-335,))</f>
        <v/>
      </c>
      <c r="BT4" s="55" t="n">
        <f aca="false">SUM(BN4:BS4)</f>
        <v>235.944621074892</v>
      </c>
      <c r="BU4" s="56" t="s">
        <v>94</v>
      </c>
      <c r="BV4" s="1" t="s">
        <v>95</v>
      </c>
      <c r="BW4" s="1" t="s">
        <v>96</v>
      </c>
      <c r="BX4" s="1" t="s">
        <v>94</v>
      </c>
      <c r="BY4" s="1" t="s">
        <v>95</v>
      </c>
      <c r="BZ4" s="1" t="s">
        <v>97</v>
      </c>
      <c r="CA4" s="39" t="n">
        <v>11.3</v>
      </c>
      <c r="CB4" s="39" t="n">
        <v>2.5</v>
      </c>
      <c r="CC4" s="39" t="n">
        <v>0</v>
      </c>
      <c r="CD4" s="39" t="n">
        <f aca="false">CA4+CB4-CC4</f>
        <v>13.8</v>
      </c>
    </row>
    <row r="5" customFormat="false" ht="15.75" hidden="false" customHeight="true" outlineLevel="0" collapsed="false">
      <c r="A5" s="39" t="s">
        <v>98</v>
      </c>
      <c r="B5" s="57" t="s">
        <v>99</v>
      </c>
      <c r="C5" s="41" t="s">
        <v>100</v>
      </c>
      <c r="D5" s="42" t="s">
        <v>101</v>
      </c>
      <c r="E5" s="43" t="n">
        <f aca="false">E4</f>
        <v>45107</v>
      </c>
      <c r="F5" s="44" t="str">
        <f aca="false">F4</f>
        <v>Unki</v>
      </c>
      <c r="G5" s="45" t="s">
        <v>102</v>
      </c>
      <c r="H5" s="44" t="n">
        <v>4.7</v>
      </c>
      <c r="I5" s="42" t="s">
        <v>103</v>
      </c>
      <c r="J5" s="46" t="n">
        <f aca="false">AQ5/AS5</f>
        <v>0.300702697959481</v>
      </c>
      <c r="K5" s="46" t="str">
        <f aca="false">K4</f>
        <v>5/2023</v>
      </c>
      <c r="L5" s="47" t="n">
        <v>210</v>
      </c>
      <c r="M5" s="58" t="n">
        <f aca="false">410.34/208</f>
        <v>1.97278846153846</v>
      </c>
      <c r="N5" s="46" t="n">
        <v>22</v>
      </c>
      <c r="O5" s="46"/>
      <c r="P5" s="48" t="n">
        <f aca="false">L5*M5</f>
        <v>414.285576923077</v>
      </c>
      <c r="Q5" s="48" t="n">
        <f aca="false">P5*0.3</f>
        <v>124.285673076923</v>
      </c>
      <c r="R5" s="48" t="n">
        <f aca="false">P5*0.7*$S$1</f>
        <v>2008706.48998304</v>
      </c>
      <c r="S5" s="49" t="n">
        <f aca="false">P5*$S$1</f>
        <v>2869580.69997577</v>
      </c>
      <c r="T5" s="48" t="n">
        <f aca="false">P5*0.25</f>
        <v>103.571394230769</v>
      </c>
      <c r="U5" s="48" t="n">
        <f aca="false">M5*N5*8*0.05</f>
        <v>17.3605384615385</v>
      </c>
      <c r="V5" s="48" t="n">
        <f aca="false">M5*O5*0.1</f>
        <v>0</v>
      </c>
      <c r="W5" s="48"/>
      <c r="X5" s="48"/>
      <c r="Y5" s="48" t="n">
        <f aca="false">AA5*M5*2</f>
        <v>0</v>
      </c>
      <c r="Z5" s="48" t="n">
        <f aca="false">AB5*M5*1.5</f>
        <v>0</v>
      </c>
      <c r="AA5" s="48"/>
      <c r="AB5" s="48"/>
      <c r="AC5" s="48"/>
      <c r="AD5" s="48"/>
      <c r="AE5" s="48" t="n">
        <f aca="false">M5*8*AC5</f>
        <v>0</v>
      </c>
      <c r="AF5" s="50"/>
      <c r="AG5" s="50" t="n">
        <f aca="false">AQ5/AS5</f>
        <v>0.300702697959481</v>
      </c>
      <c r="AH5" s="51" t="n">
        <f aca="false">(AI5*$AJ$1)+AJ5</f>
        <v>3707224.9709687</v>
      </c>
      <c r="AI5" s="48" t="n">
        <f aca="false">Q5+(T5+U5+V5+Y5+Z5+AE5)*0.3</f>
        <v>160.565252884615</v>
      </c>
      <c r="AJ5" s="49" t="n">
        <f aca="false">R5+((+T5+U5+V5+Y5+Z5+AE5)*0.7)*$AJ$1+W5+X5</f>
        <v>2595057.47967809</v>
      </c>
      <c r="AK5" s="52" t="n">
        <f aca="false">IF(S5&gt;518239,0.045*518239,S5*0.045)</f>
        <v>23320.755</v>
      </c>
      <c r="AL5" s="48" t="n">
        <f aca="false">(AK5*0.3)/$AS$1</f>
        <v>1.01005548715235</v>
      </c>
      <c r="AM5" s="48" t="n">
        <f aca="false">(AK5*0.7)</f>
        <v>16324.5285</v>
      </c>
      <c r="AN5" s="53"/>
      <c r="AO5" s="53" t="n">
        <f aca="false">(S5*0.003)</f>
        <v>8608.74209992731</v>
      </c>
      <c r="AP5" s="53" t="n">
        <f aca="false">IF(AF5&gt;320,320,AF5)</f>
        <v>0</v>
      </c>
      <c r="AQ5" s="48" t="n">
        <f aca="false">AI5-AP5-AL5</f>
        <v>159.555197397463</v>
      </c>
      <c r="AR5" s="54" t="n">
        <f aca="false">AJ5-AM5-AN5-AO5-BD5</f>
        <v>2570124.20907816</v>
      </c>
      <c r="AS5" s="49" t="n">
        <f aca="false">AQ5+(AR5/$AS$1)</f>
        <v>530.607801260774</v>
      </c>
      <c r="AT5" s="48" t="n">
        <f aca="false">BT5</f>
        <v>97.6519503151935</v>
      </c>
      <c r="AU5" s="48" t="n">
        <v>0</v>
      </c>
      <c r="AV5" s="48" t="n">
        <f aca="false">AT5-AU5</f>
        <v>97.6519503151935</v>
      </c>
      <c r="AW5" s="48" t="n">
        <f aca="false">AV5*AG5</f>
        <v>29.3642049207839</v>
      </c>
      <c r="AX5" s="48" t="n">
        <f aca="false">AW5*0.03</f>
        <v>0.880926147623517</v>
      </c>
      <c r="AY5" s="49" t="n">
        <f aca="false">(AV5-AW5)*$AS$1</f>
        <v>473000.285658126</v>
      </c>
      <c r="AZ5" s="48" t="n">
        <f aca="false">AY5*0.03</f>
        <v>14190.0085697438</v>
      </c>
      <c r="BA5" s="48" t="n">
        <f aca="false">AQ5-AW5-AX5</f>
        <v>129.310066329056</v>
      </c>
      <c r="BB5" s="48" t="n">
        <f aca="false">AR5-AY5-AZ5</f>
        <v>2082933.91485029</v>
      </c>
      <c r="BC5" s="48"/>
      <c r="BD5" s="48"/>
      <c r="BE5" s="48"/>
      <c r="BF5" s="48"/>
      <c r="BG5" s="48" t="n">
        <v>0</v>
      </c>
      <c r="BH5" s="48"/>
      <c r="BI5" s="48"/>
      <c r="BJ5" s="48"/>
      <c r="BK5" s="48"/>
      <c r="BL5" s="48" t="n">
        <f aca="false">BA5-BK5-BI5-BJ5-BF5</f>
        <v>129.310066329056</v>
      </c>
      <c r="BM5" s="48" t="n">
        <f aca="false">BB5-BC5-BE5-BG5-BH5</f>
        <v>2082933.91485029</v>
      </c>
      <c r="BN5" s="4" t="n">
        <f aca="false">IF(AS5&lt;100,0,0)</f>
        <v>0</v>
      </c>
      <c r="BO5" s="4" t="n">
        <f aca="false">IF(AS5&lt;70,"",IF(AS5&lt;=300,AS5*0.2-20,))</f>
        <v>0</v>
      </c>
      <c r="BP5" s="4" t="n">
        <f aca="false">IF(AS5&lt;300.01,"",IF(AS5&lt;=1000,AS5*0.25-35,))</f>
        <v>97.6519503151935</v>
      </c>
      <c r="BQ5" s="4" t="str">
        <f aca="false">IF(AS5&lt;1000.01,"",IF(AS5&lt;=2000,AS5*0.3-85,))</f>
        <v/>
      </c>
      <c r="BR5" s="4" t="str">
        <f aca="false">IF(AS5&lt;2000.01,"",IF(AS5&lt;=3000,AS5*0.35-185,))</f>
        <v/>
      </c>
      <c r="BS5" s="4" t="str">
        <f aca="false">IF(AS5&lt;3000.01,"",IF(AS5&gt;3000,AS5*0.4-335,))</f>
        <v/>
      </c>
      <c r="BT5" s="55" t="n">
        <f aca="false">SUM(BN5:BS5)</f>
        <v>97.6519503151935</v>
      </c>
      <c r="BU5" s="1" t="s">
        <v>94</v>
      </c>
      <c r="BV5" s="1" t="s">
        <v>95</v>
      </c>
      <c r="BW5" s="1" t="s">
        <v>104</v>
      </c>
      <c r="BX5" s="1" t="s">
        <v>94</v>
      </c>
      <c r="BY5" s="1" t="s">
        <v>95</v>
      </c>
      <c r="BZ5" s="1" t="s">
        <v>105</v>
      </c>
      <c r="CA5" s="39" t="n">
        <v>12.06</v>
      </c>
      <c r="CB5" s="39" t="n">
        <v>2.5</v>
      </c>
      <c r="CC5" s="39" t="n">
        <v>0</v>
      </c>
      <c r="CD5" s="39" t="n">
        <f aca="false">CA5+CB5-CC5</f>
        <v>14.56</v>
      </c>
    </row>
    <row r="6" customFormat="false" ht="15.75" hidden="false" customHeight="true" outlineLevel="0" collapsed="false">
      <c r="A6" s="39" t="s">
        <v>106</v>
      </c>
      <c r="B6" s="57" t="s">
        <v>107</v>
      </c>
      <c r="C6" s="41" t="s">
        <v>108</v>
      </c>
      <c r="D6" s="42" t="s">
        <v>109</v>
      </c>
      <c r="E6" s="43" t="n">
        <f aca="false">E5</f>
        <v>45107</v>
      </c>
      <c r="F6" s="44" t="str">
        <f aca="false">F5</f>
        <v>Unki</v>
      </c>
      <c r="G6" s="44" t="s">
        <v>110</v>
      </c>
      <c r="H6" s="44" t="n">
        <v>4.3</v>
      </c>
      <c r="I6" s="42" t="s">
        <v>111</v>
      </c>
      <c r="J6" s="46" t="n">
        <f aca="false">AQ6/AS6</f>
        <v>0.300667586186688</v>
      </c>
      <c r="K6" s="46" t="str">
        <f aca="false">K5</f>
        <v>5/2023</v>
      </c>
      <c r="L6" s="47" t="n">
        <v>220</v>
      </c>
      <c r="M6" s="46" t="n">
        <f aca="false">359.3/208</f>
        <v>1.72740384615385</v>
      </c>
      <c r="N6" s="46" t="n">
        <v>23</v>
      </c>
      <c r="O6" s="46"/>
      <c r="P6" s="48" t="n">
        <f aca="false">L6*M6</f>
        <v>380.028846153846</v>
      </c>
      <c r="Q6" s="48" t="n">
        <f aca="false">P6*0.3</f>
        <v>114.008653846154</v>
      </c>
      <c r="R6" s="48" t="n">
        <f aca="false">P6*0.7*$S$1</f>
        <v>1842609.18596192</v>
      </c>
      <c r="S6" s="49" t="n">
        <f aca="false">P6*$S$1</f>
        <v>2632298.83708846</v>
      </c>
      <c r="T6" s="48" t="n">
        <f aca="false">P6*0.25</f>
        <v>95.0072115384615</v>
      </c>
      <c r="U6" s="48" t="n">
        <f aca="false">M6*N6*8*0.05</f>
        <v>15.8921153846154</v>
      </c>
      <c r="V6" s="48" t="n">
        <f aca="false">M6*O6*0.1</f>
        <v>0</v>
      </c>
      <c r="W6" s="48"/>
      <c r="X6" s="48"/>
      <c r="Y6" s="48" t="n">
        <f aca="false">AA6*M6*2</f>
        <v>0</v>
      </c>
      <c r="Z6" s="48" t="n">
        <f aca="false">AB6*M6*1.5</f>
        <v>25.9110576923077</v>
      </c>
      <c r="AA6" s="48"/>
      <c r="AB6" s="48" t="n">
        <v>10</v>
      </c>
      <c r="AC6" s="48"/>
      <c r="AD6" s="48"/>
      <c r="AE6" s="48" t="n">
        <f aca="false">M6*8*AC6</f>
        <v>0</v>
      </c>
      <c r="AF6" s="50"/>
      <c r="AG6" s="50" t="n">
        <f aca="false">AQ6/AS6</f>
        <v>0.300667586186688</v>
      </c>
      <c r="AH6" s="51" t="n">
        <f aca="false">(AI6*$AJ$1)+AJ6</f>
        <v>3579926.41844031</v>
      </c>
      <c r="AI6" s="48" t="n">
        <f aca="false">Q6+(T6+U6+V6+Y6+Z6+AE6)*0.3</f>
        <v>155.051769230769</v>
      </c>
      <c r="AJ6" s="49" t="n">
        <f aca="false">R6+((+T6+U6+V6+Y6+Z6+AE6)*0.7)*$AJ$1+W6+X6</f>
        <v>2505948.49290822</v>
      </c>
      <c r="AK6" s="52" t="n">
        <f aca="false">IF(S6&gt;518239,0.045*518239,S6*0.045)</f>
        <v>23320.755</v>
      </c>
      <c r="AL6" s="48" t="n">
        <f aca="false">(AK6*0.3)/$AS$1</f>
        <v>1.01005548715235</v>
      </c>
      <c r="AM6" s="48" t="n">
        <f aca="false">(AK6*0.7)</f>
        <v>16324.5285</v>
      </c>
      <c r="AN6" s="53"/>
      <c r="AO6" s="53" t="n">
        <f aca="false">S6*0.003</f>
        <v>7896.89651126539</v>
      </c>
      <c r="AP6" s="53" t="n">
        <f aca="false">IF(AF6&gt;320,320,AF6)</f>
        <v>0</v>
      </c>
      <c r="AQ6" s="48" t="n">
        <f aca="false">AI6-AP6-AL6</f>
        <v>154.041713743617</v>
      </c>
      <c r="AR6" s="54" t="n">
        <f aca="false">AJ6-AM6-AN6-AO6-BD6</f>
        <v>2481727.06789695</v>
      </c>
      <c r="AS6" s="49" t="n">
        <f aca="false">AQ6+(AR6/$AS$1)</f>
        <v>512.332292606928</v>
      </c>
      <c r="AT6" s="48" t="n">
        <f aca="false">BT6</f>
        <v>93.083073151732</v>
      </c>
      <c r="AU6" s="48" t="n">
        <v>0</v>
      </c>
      <c r="AV6" s="48" t="n">
        <f aca="false">AT6-AU6</f>
        <v>93.083073151732</v>
      </c>
      <c r="AW6" s="48" t="n">
        <f aca="false">AV6*AG6</f>
        <v>27.9870629193701</v>
      </c>
      <c r="AX6" s="48" t="n">
        <f aca="false">AW6*0.03</f>
        <v>0.839611887581104</v>
      </c>
      <c r="AY6" s="49" t="n">
        <f aca="false">(AV6-AW6)*$AS$1</f>
        <v>450892.488209636</v>
      </c>
      <c r="AZ6" s="48" t="n">
        <f aca="false">AY6*0.03</f>
        <v>13526.7746462891</v>
      </c>
      <c r="BA6" s="48" t="n">
        <f aca="false">AQ6-AW6-AX6</f>
        <v>125.215038936666</v>
      </c>
      <c r="BB6" s="48" t="n">
        <f aca="false">AR6-AY6-AZ6</f>
        <v>2017307.80504102</v>
      </c>
      <c r="BC6" s="48"/>
      <c r="BD6" s="48"/>
      <c r="BE6" s="48"/>
      <c r="BF6" s="48"/>
      <c r="BG6" s="48" t="n">
        <v>0</v>
      </c>
      <c r="BH6" s="48"/>
      <c r="BI6" s="48"/>
      <c r="BJ6" s="48"/>
      <c r="BK6" s="48" t="n">
        <v>10</v>
      </c>
      <c r="BL6" s="48" t="n">
        <f aca="false">BA6-BK6-BI6-BJ6-BF6</f>
        <v>115.215038936666</v>
      </c>
      <c r="BM6" s="48" t="n">
        <f aca="false">BB6-BC6-BE6-BG6-BH6</f>
        <v>2017307.80504102</v>
      </c>
      <c r="BN6" s="4" t="n">
        <f aca="false">IF(AS6&lt;100,0,0)</f>
        <v>0</v>
      </c>
      <c r="BO6" s="4" t="n">
        <f aca="false">IF(AS6&lt;70,"",IF(AS6&lt;=300,AS6*0.2-20,))</f>
        <v>0</v>
      </c>
      <c r="BP6" s="4" t="n">
        <f aca="false">IF(AS6&lt;300.01,"",IF(AS6&lt;=1000,AS6*0.25-35,))</f>
        <v>93.083073151732</v>
      </c>
      <c r="BQ6" s="4" t="str">
        <f aca="false">IF(AS6&lt;1000.01,"",IF(AS6&lt;=2000,AS6*0.3-85,))</f>
        <v/>
      </c>
      <c r="BR6" s="4" t="str">
        <f aca="false">IF(AS6&lt;2000.01,"",IF(AS6&lt;=3000,AS6*0.35-185,))</f>
        <v/>
      </c>
      <c r="BS6" s="4" t="str">
        <f aca="false">IF(AS6&lt;3000.01,"",IF(AS6&gt;3000,AS6*0.4-335,))</f>
        <v/>
      </c>
      <c r="BT6" s="55" t="n">
        <f aca="false">SUM(BN6:BS6)</f>
        <v>93.083073151732</v>
      </c>
      <c r="BU6" s="1" t="s">
        <v>94</v>
      </c>
      <c r="BV6" s="1" t="s">
        <v>95</v>
      </c>
      <c r="BW6" s="1" t="s">
        <v>112</v>
      </c>
      <c r="BX6" s="1" t="s">
        <v>94</v>
      </c>
      <c r="BY6" s="1" t="s">
        <v>95</v>
      </c>
      <c r="BZ6" s="1" t="s">
        <v>113</v>
      </c>
      <c r="CA6" s="39" t="n">
        <v>12.3</v>
      </c>
      <c r="CB6" s="39" t="n">
        <v>2.5</v>
      </c>
      <c r="CC6" s="39" t="n">
        <v>0</v>
      </c>
      <c r="CD6" s="39" t="n">
        <f aca="false">CA6+CB6-CC6</f>
        <v>14.8</v>
      </c>
    </row>
    <row r="7" customFormat="false" ht="15.75" hidden="false" customHeight="true" outlineLevel="0" collapsed="false">
      <c r="A7" s="39" t="s">
        <v>114</v>
      </c>
      <c r="B7" s="57" t="s">
        <v>115</v>
      </c>
      <c r="C7" s="41" t="s">
        <v>116</v>
      </c>
      <c r="D7" s="42" t="s">
        <v>117</v>
      </c>
      <c r="E7" s="43" t="n">
        <f aca="false">E6</f>
        <v>45107</v>
      </c>
      <c r="F7" s="44" t="str">
        <f aca="false">F6</f>
        <v>Unki</v>
      </c>
      <c r="G7" s="45" t="s">
        <v>118</v>
      </c>
      <c r="H7" s="44" t="n">
        <v>4.9</v>
      </c>
      <c r="I7" s="42" t="s">
        <v>119</v>
      </c>
      <c r="J7" s="46" t="n">
        <f aca="false">AQ7/AS7</f>
        <v>0.300702213901094</v>
      </c>
      <c r="K7" s="46" t="str">
        <f aca="false">K6</f>
        <v>5/2023</v>
      </c>
      <c r="L7" s="47" t="n">
        <v>182</v>
      </c>
      <c r="M7" s="46" t="n">
        <f aca="false">542.14/208</f>
        <v>2.60644230769231</v>
      </c>
      <c r="N7" s="46" t="n">
        <v>19</v>
      </c>
      <c r="O7" s="46"/>
      <c r="P7" s="48" t="n">
        <f aca="false">L7*M7</f>
        <v>474.3725</v>
      </c>
      <c r="Q7" s="48" t="n">
        <f aca="false">P7*0.3</f>
        <v>142.31175</v>
      </c>
      <c r="R7" s="48" t="n">
        <f aca="false">P7*0.7*$S$1</f>
        <v>2300044.1543163</v>
      </c>
      <c r="S7" s="49" t="n">
        <f aca="false">P7*$S$1</f>
        <v>3285777.363309</v>
      </c>
      <c r="T7" s="48" t="n">
        <f aca="false">P7*0.25</f>
        <v>118.593125</v>
      </c>
      <c r="U7" s="48" t="n">
        <f aca="false">M7*N7*8*0.05</f>
        <v>19.8089615384615</v>
      </c>
      <c r="V7" s="48" t="n">
        <f aca="false">M7*O7*0.1</f>
        <v>0</v>
      </c>
      <c r="W7" s="48"/>
      <c r="X7" s="48"/>
      <c r="Y7" s="48" t="n">
        <f aca="false">AA7*M7*2</f>
        <v>0</v>
      </c>
      <c r="Z7" s="48" t="n">
        <f aca="false">AB7*M7*1.5</f>
        <v>0</v>
      </c>
      <c r="AA7" s="48"/>
      <c r="AB7" s="48"/>
      <c r="AC7" s="48"/>
      <c r="AD7" s="48"/>
      <c r="AE7" s="48" t="n">
        <f aca="false">M7*8*AC7</f>
        <v>0</v>
      </c>
      <c r="AF7" s="50"/>
      <c r="AG7" s="50" t="n">
        <f aca="false">AQ7/AS7</f>
        <v>0.300702213901094</v>
      </c>
      <c r="AH7" s="51" t="n">
        <f aca="false">(AI7*$AJ$1)+AJ7</f>
        <v>4244429.98963707</v>
      </c>
      <c r="AI7" s="48" t="n">
        <f aca="false">Q7+(T7+U7+V7+Y7+Z7+AE7)*0.3</f>
        <v>183.832375961538</v>
      </c>
      <c r="AJ7" s="49" t="n">
        <f aca="false">R7+((+T7+U7+V7+Y7+Z7+AE7)*0.7)*$AJ$1+W7+X7</f>
        <v>2971100.99274595</v>
      </c>
      <c r="AK7" s="52" t="n">
        <f aca="false">IF(S7&gt;518239,0.045*518239,S7*0.045)</f>
        <v>23320.755</v>
      </c>
      <c r="AL7" s="48" t="n">
        <f aca="false">(AK7*0.3)/$AS$1</f>
        <v>1.01005548715235</v>
      </c>
      <c r="AM7" s="48" t="n">
        <f aca="false">(AK7*0.7)</f>
        <v>16324.5285</v>
      </c>
      <c r="AN7" s="53"/>
      <c r="AO7" s="53" t="n">
        <f aca="false">(S7*0.003)</f>
        <v>9857.332089927</v>
      </c>
      <c r="AP7" s="53" t="n">
        <f aca="false">IF(AF7&gt;320,320,AF7)</f>
        <v>0</v>
      </c>
      <c r="AQ7" s="48" t="n">
        <f aca="false">AI7-AP7-AL7</f>
        <v>182.822320474386</v>
      </c>
      <c r="AR7" s="54" t="n">
        <f aca="false">AJ7-AM7-AN7-AO7-BD7</f>
        <v>2944919.13215602</v>
      </c>
      <c r="AS7" s="49" t="n">
        <f aca="false">AQ7+(AR7/$AS$1)</f>
        <v>607.98461741462</v>
      </c>
      <c r="AT7" s="48" t="n">
        <f aca="false">BT7</f>
        <v>116.996154353655</v>
      </c>
      <c r="AU7" s="48" t="n">
        <v>0</v>
      </c>
      <c r="AV7" s="48" t="n">
        <f aca="false">AT7-AU7</f>
        <v>116.996154353655</v>
      </c>
      <c r="AW7" s="48" t="n">
        <f aca="false">AV7*AG7</f>
        <v>35.1810026320582</v>
      </c>
      <c r="AX7" s="48" t="n">
        <f aca="false">AW7*0.03</f>
        <v>1.05543007896175</v>
      </c>
      <c r="AY7" s="49" t="n">
        <f aca="false">(AV7-AW7)*$AS$1</f>
        <v>566698.899077232</v>
      </c>
      <c r="AZ7" s="48" t="n">
        <f aca="false">AY7*0.03</f>
        <v>17000.966972317</v>
      </c>
      <c r="BA7" s="48" t="n">
        <f aca="false">AQ7-AW7-AX7</f>
        <v>146.585887763366</v>
      </c>
      <c r="BB7" s="48" t="n">
        <f aca="false">AR7-AY7-AZ7</f>
        <v>2361219.26610647</v>
      </c>
      <c r="BC7" s="48"/>
      <c r="BD7" s="48"/>
      <c r="BE7" s="48"/>
      <c r="BF7" s="48"/>
      <c r="BG7" s="48" t="n">
        <v>0</v>
      </c>
      <c r="BH7" s="48"/>
      <c r="BI7" s="48"/>
      <c r="BJ7" s="48"/>
      <c r="BK7" s="48"/>
      <c r="BL7" s="48" t="n">
        <f aca="false">BA7-BK7-BI7-BJ7-BF7</f>
        <v>146.585887763366</v>
      </c>
      <c r="BM7" s="48" t="n">
        <f aca="false">BB7-BC7-BE7-BG7-BH7</f>
        <v>2361219.26610647</v>
      </c>
      <c r="BN7" s="4" t="n">
        <f aca="false">IF(AS7&lt;100,0,0)</f>
        <v>0</v>
      </c>
      <c r="BO7" s="4" t="n">
        <f aca="false">IF(AS7&lt;70,"",IF(AS7&lt;=300,AS7*0.2-20,))</f>
        <v>0</v>
      </c>
      <c r="BP7" s="4" t="n">
        <f aca="false">IF(AS7&lt;300.01,"",IF(AS7&lt;=1000,AS7*0.25-35,))</f>
        <v>116.996154353655</v>
      </c>
      <c r="BQ7" s="4" t="str">
        <f aca="false">IF(AS7&lt;1000.01,"",IF(AS7&lt;=2000,AS7*0.3-85,))</f>
        <v/>
      </c>
      <c r="BR7" s="4" t="str">
        <f aca="false">IF(AS7&lt;2000.01,"",IF(AS7&lt;=3000,AS7*0.35-185,))</f>
        <v/>
      </c>
      <c r="BS7" s="4" t="str">
        <f aca="false">IF(AS7&lt;3000.01,"",IF(AS7&gt;3000,AS7*0.4-335,))</f>
        <v/>
      </c>
      <c r="BT7" s="55" t="n">
        <f aca="false">SUM(BN7:BS7)</f>
        <v>116.996154353655</v>
      </c>
      <c r="BU7" s="1" t="s">
        <v>120</v>
      </c>
      <c r="BV7" s="1" t="s">
        <v>95</v>
      </c>
      <c r="BW7" s="1" t="s">
        <v>121</v>
      </c>
      <c r="BX7" s="1" t="s">
        <v>94</v>
      </c>
      <c r="BY7" s="1" t="s">
        <v>95</v>
      </c>
      <c r="BZ7" s="1" t="s">
        <v>122</v>
      </c>
      <c r="CA7" s="39" t="n">
        <v>12.3</v>
      </c>
      <c r="CB7" s="39" t="n">
        <v>2.5</v>
      </c>
      <c r="CC7" s="39" t="n">
        <v>3</v>
      </c>
      <c r="CD7" s="39" t="n">
        <f aca="false">CA7+CB7-CC7</f>
        <v>11.8</v>
      </c>
    </row>
    <row r="8" customFormat="false" ht="15.75" hidden="false" customHeight="true" outlineLevel="0" collapsed="false">
      <c r="A8" s="39" t="s">
        <v>123</v>
      </c>
      <c r="B8" s="57" t="s">
        <v>124</v>
      </c>
      <c r="C8" s="41" t="s">
        <v>125</v>
      </c>
      <c r="D8" s="42" t="s">
        <v>126</v>
      </c>
      <c r="E8" s="43" t="n">
        <f aca="false">E7</f>
        <v>45107</v>
      </c>
      <c r="F8" s="44" t="str">
        <f aca="false">F7</f>
        <v>Unki</v>
      </c>
      <c r="G8" s="45" t="s">
        <v>110</v>
      </c>
      <c r="H8" s="44" t="n">
        <v>4.3</v>
      </c>
      <c r="I8" s="42" t="s">
        <v>127</v>
      </c>
      <c r="J8" s="46" t="n">
        <f aca="false">AQ8/AS8</f>
        <v>0.300702697959481</v>
      </c>
      <c r="K8" s="46" t="str">
        <f aca="false">K7</f>
        <v>5/2023</v>
      </c>
      <c r="L8" s="47" t="n">
        <v>210</v>
      </c>
      <c r="M8" s="46" t="n">
        <f aca="false">410.34/208</f>
        <v>1.97278846153846</v>
      </c>
      <c r="N8" s="46" t="n">
        <v>22</v>
      </c>
      <c r="O8" s="46"/>
      <c r="P8" s="48" t="n">
        <f aca="false">L8*M8</f>
        <v>414.285576923077</v>
      </c>
      <c r="Q8" s="48" t="n">
        <f aca="false">P8*0.3</f>
        <v>124.285673076923</v>
      </c>
      <c r="R8" s="48" t="n">
        <f aca="false">P8*0.7*$S$1</f>
        <v>2008706.48998304</v>
      </c>
      <c r="S8" s="49" t="n">
        <f aca="false">P8*$S$1</f>
        <v>2869580.69997577</v>
      </c>
      <c r="T8" s="48" t="n">
        <f aca="false">P8*0.25</f>
        <v>103.571394230769</v>
      </c>
      <c r="U8" s="48" t="n">
        <f aca="false">M8*N8*8*0.05</f>
        <v>17.3605384615385</v>
      </c>
      <c r="V8" s="48" t="n">
        <f aca="false">M8*O8*0.1</f>
        <v>0</v>
      </c>
      <c r="W8" s="48"/>
      <c r="X8" s="48"/>
      <c r="Y8" s="48" t="n">
        <f aca="false">AA8*M8*2</f>
        <v>0</v>
      </c>
      <c r="Z8" s="48" t="n">
        <f aca="false">AB8*M8*1.5</f>
        <v>0</v>
      </c>
      <c r="AA8" s="48"/>
      <c r="AB8" s="48"/>
      <c r="AC8" s="48"/>
      <c r="AD8" s="48"/>
      <c r="AE8" s="48" t="n">
        <f aca="false">M8*8*AC8</f>
        <v>0</v>
      </c>
      <c r="AF8" s="50"/>
      <c r="AG8" s="50" t="n">
        <f aca="false">AQ8/AS8</f>
        <v>0.300702697959481</v>
      </c>
      <c r="AH8" s="51" t="n">
        <f aca="false">(AI8*$AJ$1)+AJ8</f>
        <v>3707224.9709687</v>
      </c>
      <c r="AI8" s="48" t="n">
        <f aca="false">Q8+(T8+U8+V8+Y8+Z8+AE8)*0.3</f>
        <v>160.565252884615</v>
      </c>
      <c r="AJ8" s="49" t="n">
        <f aca="false">R8+((+T8+U8+V8+Y8+Z8+AE8)*0.7)*$AJ$1+W8+X8</f>
        <v>2595057.47967809</v>
      </c>
      <c r="AK8" s="52" t="n">
        <f aca="false">IF(S8&gt;518239,0.045*518239,S8*0.045)</f>
        <v>23320.755</v>
      </c>
      <c r="AL8" s="48" t="n">
        <f aca="false">(AK8*0.3)/$AS$1</f>
        <v>1.01005548715235</v>
      </c>
      <c r="AM8" s="48" t="n">
        <f aca="false">(AK8*0.7)</f>
        <v>16324.5285</v>
      </c>
      <c r="AN8" s="53"/>
      <c r="AO8" s="53" t="n">
        <f aca="false">S8*0.003</f>
        <v>8608.74209992731</v>
      </c>
      <c r="AP8" s="53" t="n">
        <f aca="false">IF(AF8&gt;320,320,AF8)</f>
        <v>0</v>
      </c>
      <c r="AQ8" s="48" t="n">
        <f aca="false">AI8-AP8-AL8</f>
        <v>159.555197397463</v>
      </c>
      <c r="AR8" s="54" t="n">
        <f aca="false">AJ8-AM8-AN8-AO8-BD8</f>
        <v>2570124.20907816</v>
      </c>
      <c r="AS8" s="49" t="n">
        <f aca="false">AQ8+(AR8/$AS$1)</f>
        <v>530.607801260774</v>
      </c>
      <c r="AT8" s="48" t="n">
        <f aca="false">BT8</f>
        <v>97.6519503151935</v>
      </c>
      <c r="AU8" s="48" t="n">
        <v>0</v>
      </c>
      <c r="AV8" s="48" t="n">
        <f aca="false">AT8-AU8</f>
        <v>97.6519503151935</v>
      </c>
      <c r="AW8" s="48" t="n">
        <f aca="false">AV8*AG8</f>
        <v>29.3642049207839</v>
      </c>
      <c r="AX8" s="48" t="n">
        <f aca="false">AW8*0.03</f>
        <v>0.880926147623517</v>
      </c>
      <c r="AY8" s="49" t="n">
        <f aca="false">(AV8-AW8)*$AS$1</f>
        <v>473000.285658126</v>
      </c>
      <c r="AZ8" s="48" t="n">
        <f aca="false">AY8*0.03</f>
        <v>14190.0085697438</v>
      </c>
      <c r="BA8" s="48" t="n">
        <f aca="false">AQ8-AW8-AX8</f>
        <v>129.310066329056</v>
      </c>
      <c r="BB8" s="48" t="n">
        <f aca="false">AR8-AY8-AZ8</f>
        <v>2082933.91485029</v>
      </c>
      <c r="BC8" s="48"/>
      <c r="BD8" s="48"/>
      <c r="BE8" s="48"/>
      <c r="BF8" s="48"/>
      <c r="BG8" s="48" t="n">
        <v>0</v>
      </c>
      <c r="BH8" s="48"/>
      <c r="BI8" s="48"/>
      <c r="BJ8" s="48"/>
      <c r="BK8" s="48"/>
      <c r="BL8" s="48" t="n">
        <f aca="false">BA8-BK8-BI8-BJ8-BF8</f>
        <v>129.310066329056</v>
      </c>
      <c r="BM8" s="48" t="n">
        <f aca="false">BB8-BC8-BE8-BG8-BH8</f>
        <v>2082933.91485029</v>
      </c>
      <c r="BN8" s="4" t="n">
        <f aca="false">IF(AS8&lt;100,0,0)</f>
        <v>0</v>
      </c>
      <c r="BO8" s="4" t="n">
        <f aca="false">IF(AS8&lt;70,"",IF(AS8&lt;=300,AS8*0.2-20,))</f>
        <v>0</v>
      </c>
      <c r="BP8" s="4" t="n">
        <f aca="false">IF(AS8&lt;300.01,"",IF(AS8&lt;=1000,AS8*0.25-35,))</f>
        <v>97.6519503151935</v>
      </c>
      <c r="BQ8" s="4" t="str">
        <f aca="false">IF(AS8&lt;1000.01,"",IF(AS8&lt;=2000,AS8*0.3-85,))</f>
        <v/>
      </c>
      <c r="BR8" s="4" t="str">
        <f aca="false">IF(AS8&lt;2000.01,"",IF(AS8&lt;=3000,AS8*0.35-185,))</f>
        <v/>
      </c>
      <c r="BS8" s="4" t="str">
        <f aca="false">IF(AS8&lt;3000.01,"",IF(AS8&gt;3000,AS8*0.4-335,))</f>
        <v/>
      </c>
      <c r="BT8" s="55" t="n">
        <f aca="false">SUM(BN8:BS8)</f>
        <v>97.6519503151935</v>
      </c>
      <c r="BU8" s="1" t="s">
        <v>94</v>
      </c>
      <c r="BV8" s="1" t="s">
        <v>95</v>
      </c>
      <c r="BW8" s="1" t="s">
        <v>128</v>
      </c>
      <c r="BX8" s="1" t="s">
        <v>94</v>
      </c>
      <c r="BY8" s="1" t="s">
        <v>95</v>
      </c>
      <c r="BZ8" s="1" t="s">
        <v>129</v>
      </c>
      <c r="CA8" s="39" t="n">
        <v>11.52</v>
      </c>
      <c r="CB8" s="39" t="n">
        <v>2.5</v>
      </c>
      <c r="CC8" s="39" t="n">
        <v>5</v>
      </c>
      <c r="CD8" s="39" t="n">
        <f aca="false">CA8+CB8-CC8</f>
        <v>9.02</v>
      </c>
    </row>
    <row r="9" customFormat="false" ht="15.75" hidden="false" customHeight="true" outlineLevel="0" collapsed="false">
      <c r="A9" s="39" t="s">
        <v>130</v>
      </c>
      <c r="B9" s="57" t="s">
        <v>131</v>
      </c>
      <c r="C9" s="41" t="s">
        <v>132</v>
      </c>
      <c r="D9" s="42" t="s">
        <v>133</v>
      </c>
      <c r="E9" s="43" t="n">
        <f aca="false">E8</f>
        <v>45107</v>
      </c>
      <c r="F9" s="44" t="str">
        <f aca="false">F8</f>
        <v>Unki</v>
      </c>
      <c r="G9" s="45" t="s">
        <v>134</v>
      </c>
      <c r="H9" s="44" t="n">
        <v>4.9</v>
      </c>
      <c r="I9" s="42" t="s">
        <v>135</v>
      </c>
      <c r="J9" s="46" t="n">
        <f aca="false">AQ9/AS9</f>
        <v>0.300722544864818</v>
      </c>
      <c r="K9" s="46" t="str">
        <f aca="false">K8</f>
        <v>5/2023</v>
      </c>
      <c r="L9" s="47" t="n">
        <v>208</v>
      </c>
      <c r="M9" s="46" t="n">
        <f aca="false">542.14/208</f>
        <v>2.60644230769231</v>
      </c>
      <c r="N9" s="46" t="n">
        <v>0</v>
      </c>
      <c r="O9" s="46" t="n">
        <v>10</v>
      </c>
      <c r="P9" s="48" t="n">
        <f aca="false">L9*M9</f>
        <v>542.14</v>
      </c>
      <c r="Q9" s="48" t="n">
        <f aca="false">P9*0.3</f>
        <v>162.642</v>
      </c>
      <c r="R9" s="48" t="n">
        <f aca="false">P9*0.7*$S$1</f>
        <v>2628621.8906472</v>
      </c>
      <c r="S9" s="49" t="n">
        <f aca="false">P9*$S$1</f>
        <v>3755174.129496</v>
      </c>
      <c r="T9" s="48" t="n">
        <f aca="false">P9*0.25</f>
        <v>135.535</v>
      </c>
      <c r="U9" s="48" t="n">
        <f aca="false">M9*N9*8*0.05</f>
        <v>0</v>
      </c>
      <c r="V9" s="48" t="n">
        <f aca="false">M9*O9*0.1</f>
        <v>2.60644230769231</v>
      </c>
      <c r="W9" s="48"/>
      <c r="X9" s="48"/>
      <c r="Y9" s="48" t="n">
        <f aca="false">AA9*M9*2</f>
        <v>0</v>
      </c>
      <c r="Z9" s="48" t="n">
        <f aca="false">AB9*M9*1.5</f>
        <v>0</v>
      </c>
      <c r="AA9" s="48"/>
      <c r="AB9" s="48"/>
      <c r="AC9" s="48"/>
      <c r="AD9" s="48"/>
      <c r="AE9" s="48" t="n">
        <f aca="false">M9*8*AC9</f>
        <v>0</v>
      </c>
      <c r="AF9" s="50"/>
      <c r="AG9" s="50" t="n">
        <f aca="false">AQ9/AS9</f>
        <v>0.300722544864818</v>
      </c>
      <c r="AH9" s="51" t="n">
        <f aca="false">(AI9*$AJ$1)+AJ9</f>
        <v>4712021.38364642</v>
      </c>
      <c r="AI9" s="48" t="n">
        <f aca="false">Q9+(T9+U9+V9+Y9+Z9+AE9)*0.3</f>
        <v>204.084432692308</v>
      </c>
      <c r="AJ9" s="49" t="n">
        <f aca="false">R9+((+T9+U9+V9+Y9+Z9+AE9)*0.7)*$AJ$1+W9+X9</f>
        <v>3298414.9685525</v>
      </c>
      <c r="AK9" s="52" t="n">
        <f aca="false">IF(S9&gt;518239,0.045*518239,S9*0.045)</f>
        <v>23320.755</v>
      </c>
      <c r="AL9" s="48" t="n">
        <f aca="false">(AK9*0.3)/$AS$1</f>
        <v>1.01005548715235</v>
      </c>
      <c r="AM9" s="48" t="n">
        <f aca="false">(AK9*0.7)</f>
        <v>16324.5285</v>
      </c>
      <c r="AN9" s="53"/>
      <c r="AO9" s="53" t="n">
        <f aca="false">S9*0.003</f>
        <v>11265.522388488</v>
      </c>
      <c r="AP9" s="53" t="n">
        <f aca="false">IF(AF9&gt;320,320,AF9)</f>
        <v>0</v>
      </c>
      <c r="AQ9" s="48" t="n">
        <f aca="false">AI9-AP9-AL9</f>
        <v>203.074377205155</v>
      </c>
      <c r="AR9" s="54" t="n">
        <f aca="false">AJ9-AM9-AN9-AO9-BD9</f>
        <v>3270824.91766401</v>
      </c>
      <c r="AS9" s="49" t="n">
        <f aca="false">AQ9+(AR9/$AS$1)</f>
        <v>675.288170683851</v>
      </c>
      <c r="AT9" s="48" t="n">
        <f aca="false">BT9</f>
        <v>133.822042670963</v>
      </c>
      <c r="AU9" s="48" t="n">
        <v>0</v>
      </c>
      <c r="AV9" s="48" t="n">
        <f aca="false">AT9-AU9</f>
        <v>133.822042670963</v>
      </c>
      <c r="AW9" s="48" t="n">
        <f aca="false">AV9*AG9</f>
        <v>40.2433052310202</v>
      </c>
      <c r="AX9" s="48" t="n">
        <f aca="false">AW9*0.03</f>
        <v>1.20729915693061</v>
      </c>
      <c r="AY9" s="49" t="n">
        <f aca="false">(AV9-AW9)*$AS$1</f>
        <v>648180.274293303</v>
      </c>
      <c r="AZ9" s="48" t="n">
        <f aca="false">AY9*0.03</f>
        <v>19445.4082287991</v>
      </c>
      <c r="BA9" s="48" t="n">
        <f aca="false">AQ9-AW9-AX9</f>
        <v>161.623772817205</v>
      </c>
      <c r="BB9" s="48" t="n">
        <f aca="false">AR9-AY9-AZ9</f>
        <v>2603199.23514191</v>
      </c>
      <c r="BC9" s="48"/>
      <c r="BD9" s="48" t="n">
        <v>0</v>
      </c>
      <c r="BE9" s="48"/>
      <c r="BF9" s="48"/>
      <c r="BG9" s="48" t="n">
        <v>0</v>
      </c>
      <c r="BH9" s="48"/>
      <c r="BI9" s="48"/>
      <c r="BJ9" s="48"/>
      <c r="BK9" s="48"/>
      <c r="BL9" s="48" t="n">
        <f aca="false">BA9-BK9-BI9-BJ9-BF9</f>
        <v>161.623772817205</v>
      </c>
      <c r="BM9" s="48" t="n">
        <f aca="false">BB9-BC9-BE9-BG9-BH9</f>
        <v>2603199.23514191</v>
      </c>
      <c r="BN9" s="4" t="n">
        <f aca="false">IF(AS9&lt;100,0,0)</f>
        <v>0</v>
      </c>
      <c r="BO9" s="4" t="n">
        <f aca="false">IF(AS9&lt;70,"",IF(AS9&lt;=300,AS9*0.2-20,))</f>
        <v>0</v>
      </c>
      <c r="BP9" s="4" t="n">
        <f aca="false">IF(AS9&lt;300.01,"",IF(AS9&lt;=1000,AS9*0.25-35,))</f>
        <v>133.822042670963</v>
      </c>
      <c r="BQ9" s="4" t="str">
        <f aca="false">IF(AS9&lt;1000.01,"",IF(AS9&lt;=2000,AS9*0.3-85,))</f>
        <v/>
      </c>
      <c r="BR9" s="4" t="str">
        <f aca="false">IF(AS9&lt;2000.01,"",IF(AS9&lt;=3000,AS9*0.35-185,))</f>
        <v/>
      </c>
      <c r="BS9" s="4" t="str">
        <f aca="false">IF(AS9&lt;3000.01,"",IF(AS9&gt;3000,AS9*0.4-335,))</f>
        <v/>
      </c>
      <c r="BT9" s="55" t="n">
        <f aca="false">SUM(BN9:BS9)</f>
        <v>133.822042670963</v>
      </c>
      <c r="BU9" s="1" t="s">
        <v>94</v>
      </c>
      <c r="BV9" s="1" t="s">
        <v>95</v>
      </c>
      <c r="BW9" s="59" t="s">
        <v>136</v>
      </c>
      <c r="BX9" s="1" t="s">
        <v>94</v>
      </c>
      <c r="BY9" s="1" t="s">
        <v>95</v>
      </c>
      <c r="BZ9" s="1" t="s">
        <v>137</v>
      </c>
      <c r="CA9" s="39" t="n">
        <v>12.49</v>
      </c>
      <c r="CB9" s="39" t="n">
        <v>2.5</v>
      </c>
      <c r="CC9" s="39" t="n">
        <v>0</v>
      </c>
      <c r="CD9" s="39" t="n">
        <f aca="false">CA9+CB9-CC9</f>
        <v>14.99</v>
      </c>
    </row>
    <row r="10" customFormat="false" ht="15.75" hidden="false" customHeight="true" outlineLevel="0" collapsed="false">
      <c r="A10" s="39" t="s">
        <v>138</v>
      </c>
      <c r="B10" s="57" t="s">
        <v>139</v>
      </c>
      <c r="C10" s="41" t="s">
        <v>140</v>
      </c>
      <c r="D10" s="41" t="s">
        <v>141</v>
      </c>
      <c r="E10" s="43" t="n">
        <f aca="false">E9</f>
        <v>45107</v>
      </c>
      <c r="F10" s="44" t="str">
        <f aca="false">F9</f>
        <v>Unki</v>
      </c>
      <c r="G10" s="45" t="s">
        <v>142</v>
      </c>
      <c r="H10" s="44" t="n">
        <v>4.7</v>
      </c>
      <c r="I10" s="60" t="s">
        <v>143</v>
      </c>
      <c r="J10" s="46" t="n">
        <f aca="false">AQ10/AS10</f>
        <v>0.300702697959481</v>
      </c>
      <c r="K10" s="46" t="str">
        <f aca="false">K9</f>
        <v>5/2023</v>
      </c>
      <c r="L10" s="47" t="n">
        <v>210</v>
      </c>
      <c r="M10" s="58" t="n">
        <f aca="false">410.34/208</f>
        <v>1.97278846153846</v>
      </c>
      <c r="N10" s="46" t="n">
        <v>22</v>
      </c>
      <c r="O10" s="46"/>
      <c r="P10" s="48" t="n">
        <f aca="false">L10*M10</f>
        <v>414.285576923077</v>
      </c>
      <c r="Q10" s="48" t="n">
        <f aca="false">P10*0.3</f>
        <v>124.285673076923</v>
      </c>
      <c r="R10" s="48" t="n">
        <f aca="false">P10*0.7*$S$1</f>
        <v>2008706.48998304</v>
      </c>
      <c r="S10" s="49" t="n">
        <f aca="false">P10*$S$1</f>
        <v>2869580.69997577</v>
      </c>
      <c r="T10" s="48" t="n">
        <f aca="false">P10*0.25</f>
        <v>103.571394230769</v>
      </c>
      <c r="U10" s="48" t="n">
        <f aca="false">M10*N10*8*0.05</f>
        <v>17.3605384615385</v>
      </c>
      <c r="V10" s="48" t="n">
        <f aca="false">M10*O10*0.1</f>
        <v>0</v>
      </c>
      <c r="W10" s="48"/>
      <c r="X10" s="48"/>
      <c r="Y10" s="48" t="n">
        <f aca="false">AA10*M10*2</f>
        <v>0</v>
      </c>
      <c r="Z10" s="48" t="n">
        <f aca="false">AB10*M10*1.5</f>
        <v>0</v>
      </c>
      <c r="AA10" s="48"/>
      <c r="AB10" s="48"/>
      <c r="AC10" s="48"/>
      <c r="AD10" s="48"/>
      <c r="AE10" s="48" t="n">
        <f aca="false">M10*8*AC10</f>
        <v>0</v>
      </c>
      <c r="AF10" s="50"/>
      <c r="AG10" s="50" t="n">
        <f aca="false">AQ10/AS10</f>
        <v>0.300702697959481</v>
      </c>
      <c r="AH10" s="51" t="n">
        <f aca="false">(AI10*$AJ$1)+AJ10</f>
        <v>3707224.9709687</v>
      </c>
      <c r="AI10" s="48" t="n">
        <f aca="false">Q10+(T10+U10+V10+Y10+Z10+AE10)*0.3</f>
        <v>160.565252884615</v>
      </c>
      <c r="AJ10" s="49" t="n">
        <f aca="false">R10+((+T10+U10+V10+Y10+Z10+AE10)*0.7)*$AJ$1+W10+X10</f>
        <v>2595057.47967809</v>
      </c>
      <c r="AK10" s="52" t="n">
        <f aca="false">IF(S10&gt;518239,0.045*518239,S10*0.045)</f>
        <v>23320.755</v>
      </c>
      <c r="AL10" s="48" t="n">
        <f aca="false">(AK10*0.3)/$AS$1</f>
        <v>1.01005548715235</v>
      </c>
      <c r="AM10" s="48" t="n">
        <f aca="false">(AK10*0.7)</f>
        <v>16324.5285</v>
      </c>
      <c r="AN10" s="53"/>
      <c r="AO10" s="53" t="n">
        <f aca="false">S10*0.003</f>
        <v>8608.74209992731</v>
      </c>
      <c r="AP10" s="53" t="n">
        <f aca="false">IF(AF10&gt;320,320,AF10)</f>
        <v>0</v>
      </c>
      <c r="AQ10" s="48" t="n">
        <f aca="false">AI10-AP10-AL10</f>
        <v>159.555197397463</v>
      </c>
      <c r="AR10" s="54" t="n">
        <f aca="false">AJ10-AM10-AN10-AO10-BD10</f>
        <v>2570124.20907816</v>
      </c>
      <c r="AS10" s="49" t="n">
        <f aca="false">AQ10+(AR10/$AS$1)</f>
        <v>530.607801260774</v>
      </c>
      <c r="AT10" s="48" t="n">
        <f aca="false">BT10</f>
        <v>97.6519503151935</v>
      </c>
      <c r="AU10" s="48" t="n">
        <v>0</v>
      </c>
      <c r="AV10" s="48" t="n">
        <f aca="false">AT10-AU10</f>
        <v>97.6519503151935</v>
      </c>
      <c r="AW10" s="48" t="n">
        <f aca="false">AV10*AG10</f>
        <v>29.3642049207839</v>
      </c>
      <c r="AX10" s="48" t="n">
        <f aca="false">AW10*0.03</f>
        <v>0.880926147623517</v>
      </c>
      <c r="AY10" s="49" t="n">
        <f aca="false">(AV10-AW10)*$AS$1</f>
        <v>473000.285658126</v>
      </c>
      <c r="AZ10" s="48" t="n">
        <f aca="false">AY10*0.03</f>
        <v>14190.0085697438</v>
      </c>
      <c r="BA10" s="48" t="n">
        <f aca="false">AQ10-AW10-AX10</f>
        <v>129.310066329056</v>
      </c>
      <c r="BB10" s="48" t="n">
        <f aca="false">AR10-AY10-AZ10</f>
        <v>2082933.91485029</v>
      </c>
      <c r="BC10" s="48"/>
      <c r="BD10" s="48" t="n">
        <v>0</v>
      </c>
      <c r="BE10" s="48"/>
      <c r="BF10" s="48"/>
      <c r="BG10" s="48" t="n">
        <v>0</v>
      </c>
      <c r="BH10" s="48"/>
      <c r="BI10" s="48"/>
      <c r="BJ10" s="48"/>
      <c r="BK10" s="48"/>
      <c r="BL10" s="48" t="n">
        <f aca="false">BA10-BK10-BI10-BJ10-BF10</f>
        <v>129.310066329056</v>
      </c>
      <c r="BM10" s="48" t="n">
        <f aca="false">BB10-BC10-BE10-BG10-BH10</f>
        <v>2082933.91485029</v>
      </c>
      <c r="BN10" s="4" t="n">
        <f aca="false">IF(AS10&lt;100,0,0)</f>
        <v>0</v>
      </c>
      <c r="BO10" s="4" t="n">
        <f aca="false">IF(AS10&lt;70,"",IF(AS10&lt;=300,AS10*0.2-20,))</f>
        <v>0</v>
      </c>
      <c r="BP10" s="4" t="n">
        <f aca="false">IF(AS10&lt;300.01,"",IF(AS10&lt;=1000,AS10*0.25-35,))</f>
        <v>97.6519503151935</v>
      </c>
      <c r="BQ10" s="4" t="str">
        <f aca="false">IF(AS10&lt;1000.01,"",IF(AS10&lt;=2000,AS10*0.3-85,))</f>
        <v/>
      </c>
      <c r="BR10" s="4" t="str">
        <f aca="false">IF(AS10&lt;2000.01,"",IF(AS10&lt;=3000,AS10*0.35-185,))</f>
        <v/>
      </c>
      <c r="BS10" s="4" t="str">
        <f aca="false">IF(AS10&lt;3000.01,"",IF(AS10&gt;3000,AS10*0.4-335,))</f>
        <v/>
      </c>
      <c r="BT10" s="55" t="n">
        <f aca="false">SUM(BN10:BS10)</f>
        <v>97.6519503151935</v>
      </c>
      <c r="BU10" s="1" t="s">
        <v>144</v>
      </c>
      <c r="BV10" s="1" t="s">
        <v>145</v>
      </c>
      <c r="BW10" s="1" t="s">
        <v>146</v>
      </c>
      <c r="BX10" s="1" t="s">
        <v>94</v>
      </c>
      <c r="BY10" s="1" t="s">
        <v>95</v>
      </c>
      <c r="BZ10" s="1" t="s">
        <v>147</v>
      </c>
      <c r="CA10" s="39" t="n">
        <v>12.26</v>
      </c>
      <c r="CB10" s="39" t="n">
        <v>2.5</v>
      </c>
      <c r="CC10" s="39" t="n">
        <v>6</v>
      </c>
      <c r="CD10" s="39" t="n">
        <f aca="false">CA10+CB10-CC10</f>
        <v>8.76</v>
      </c>
    </row>
    <row r="11" customFormat="false" ht="15.75" hidden="false" customHeight="true" outlineLevel="0" collapsed="false">
      <c r="A11" s="39" t="s">
        <v>148</v>
      </c>
      <c r="B11" s="57" t="s">
        <v>149</v>
      </c>
      <c r="C11" s="41" t="s">
        <v>150</v>
      </c>
      <c r="D11" s="41" t="s">
        <v>151</v>
      </c>
      <c r="E11" s="43" t="n">
        <f aca="false">E10</f>
        <v>45107</v>
      </c>
      <c r="F11" s="44" t="str">
        <f aca="false">F10</f>
        <v>Unki</v>
      </c>
      <c r="G11" s="44" t="s">
        <v>110</v>
      </c>
      <c r="H11" s="44" t="n">
        <v>4.3</v>
      </c>
      <c r="I11" s="60" t="s">
        <v>143</v>
      </c>
      <c r="J11" s="46" t="n">
        <f aca="false">AQ11/AS11</f>
        <v>0.300702697959481</v>
      </c>
      <c r="K11" s="46" t="str">
        <f aca="false">K10</f>
        <v>5/2023</v>
      </c>
      <c r="L11" s="47" t="n">
        <v>210</v>
      </c>
      <c r="M11" s="46" t="n">
        <f aca="false">410.34/208</f>
        <v>1.97278846153846</v>
      </c>
      <c r="N11" s="46" t="n">
        <v>22</v>
      </c>
      <c r="O11" s="46"/>
      <c r="P11" s="48" t="n">
        <f aca="false">L11*M11</f>
        <v>414.285576923077</v>
      </c>
      <c r="Q11" s="48" t="n">
        <f aca="false">P11*0.3</f>
        <v>124.285673076923</v>
      </c>
      <c r="R11" s="48" t="n">
        <f aca="false">P11*0.7*$S$1</f>
        <v>2008706.48998304</v>
      </c>
      <c r="S11" s="49" t="n">
        <f aca="false">P11*$S$1</f>
        <v>2869580.69997577</v>
      </c>
      <c r="T11" s="48" t="n">
        <f aca="false">P11*0.25</f>
        <v>103.571394230769</v>
      </c>
      <c r="U11" s="48" t="n">
        <f aca="false">M11*N11*8*0.05</f>
        <v>17.3605384615385</v>
      </c>
      <c r="V11" s="48" t="n">
        <f aca="false">M11*O11*0.1</f>
        <v>0</v>
      </c>
      <c r="W11" s="48"/>
      <c r="X11" s="48"/>
      <c r="Y11" s="48" t="n">
        <f aca="false">AA11*M11*2</f>
        <v>0</v>
      </c>
      <c r="Z11" s="48" t="n">
        <f aca="false">AB11*M11*1.5</f>
        <v>0</v>
      </c>
      <c r="AA11" s="48"/>
      <c r="AB11" s="48"/>
      <c r="AC11" s="48"/>
      <c r="AD11" s="48"/>
      <c r="AE11" s="48" t="n">
        <f aca="false">M11*8*AC11</f>
        <v>0</v>
      </c>
      <c r="AF11" s="50"/>
      <c r="AG11" s="50" t="n">
        <f aca="false">AQ11/AS11</f>
        <v>0.300702697959481</v>
      </c>
      <c r="AH11" s="51" t="n">
        <f aca="false">(AI11*$AJ$1)+AJ11</f>
        <v>3707224.9709687</v>
      </c>
      <c r="AI11" s="48" t="n">
        <f aca="false">Q11+(T11+U11+V11+Y11+Z11+AE11)*0.3</f>
        <v>160.565252884615</v>
      </c>
      <c r="AJ11" s="49" t="n">
        <f aca="false">R11+((+T11+U11+V11+Y11+Z11+AE11)*0.7)*$AJ$1+W11+X11</f>
        <v>2595057.47967809</v>
      </c>
      <c r="AK11" s="52" t="n">
        <f aca="false">IF(S11&gt;518239,0.045*518239,S11*0.045)</f>
        <v>23320.755</v>
      </c>
      <c r="AL11" s="48" t="n">
        <f aca="false">(AK11*0.3)/$AS$1</f>
        <v>1.01005548715235</v>
      </c>
      <c r="AM11" s="48" t="n">
        <f aca="false">(AK11*0.7)</f>
        <v>16324.5285</v>
      </c>
      <c r="AN11" s="53"/>
      <c r="AO11" s="53" t="n">
        <f aca="false">S11*0.003</f>
        <v>8608.74209992731</v>
      </c>
      <c r="AP11" s="53" t="n">
        <f aca="false">IF(AF11&gt;320,320,AF11)</f>
        <v>0</v>
      </c>
      <c r="AQ11" s="48" t="n">
        <f aca="false">AI11-AP11-AL11</f>
        <v>159.555197397463</v>
      </c>
      <c r="AR11" s="54" t="n">
        <f aca="false">AJ11-AM11-AN11-AO11-BD11</f>
        <v>2570124.20907816</v>
      </c>
      <c r="AS11" s="49" t="n">
        <f aca="false">AQ11+(AR11/$AS$1)</f>
        <v>530.607801260774</v>
      </c>
      <c r="AT11" s="48" t="n">
        <f aca="false">BT11</f>
        <v>97.6519503151935</v>
      </c>
      <c r="AU11" s="48" t="n">
        <v>0</v>
      </c>
      <c r="AV11" s="48" t="n">
        <f aca="false">AT11-AU11</f>
        <v>97.6519503151935</v>
      </c>
      <c r="AW11" s="48" t="n">
        <f aca="false">AV11*AG11</f>
        <v>29.3642049207839</v>
      </c>
      <c r="AX11" s="48" t="n">
        <f aca="false">AW11*0.03</f>
        <v>0.880926147623517</v>
      </c>
      <c r="AY11" s="49" t="n">
        <f aca="false">(AV11-AW11)*$AS$1</f>
        <v>473000.285658126</v>
      </c>
      <c r="AZ11" s="48" t="n">
        <f aca="false">AY11*0.03</f>
        <v>14190.0085697438</v>
      </c>
      <c r="BA11" s="48" t="n">
        <f aca="false">AQ11-AW11-AX11</f>
        <v>129.310066329056</v>
      </c>
      <c r="BB11" s="48" t="n">
        <f aca="false">AR11-AY11-AZ11</f>
        <v>2082933.91485029</v>
      </c>
      <c r="BC11" s="48"/>
      <c r="BD11" s="48" t="n">
        <v>0</v>
      </c>
      <c r="BE11" s="48"/>
      <c r="BF11" s="48"/>
      <c r="BG11" s="48" t="n">
        <v>0</v>
      </c>
      <c r="BH11" s="48"/>
      <c r="BI11" s="48"/>
      <c r="BJ11" s="48"/>
      <c r="BK11" s="48"/>
      <c r="BL11" s="48" t="n">
        <f aca="false">BA11-BK11-BI11-BJ11-BF11</f>
        <v>129.310066329056</v>
      </c>
      <c r="BM11" s="48" t="n">
        <f aca="false">BB11-BC11-BE11-BG11-BH11</f>
        <v>2082933.91485029</v>
      </c>
      <c r="BN11" s="4" t="n">
        <f aca="false">IF(AS11&lt;100,0,0)</f>
        <v>0</v>
      </c>
      <c r="BO11" s="4" t="n">
        <f aca="false">IF(AS11&lt;70,"",IF(AS11&lt;=300,AS11*0.2-20,))</f>
        <v>0</v>
      </c>
      <c r="BP11" s="4" t="n">
        <f aca="false">IF(AS11&lt;300.01,"",IF(AS11&lt;=1000,AS11*0.25-35,))</f>
        <v>97.6519503151935</v>
      </c>
      <c r="BQ11" s="4" t="str">
        <f aca="false">IF(AS11&lt;1000.01,"",IF(AS11&lt;=2000,AS11*0.3-85,))</f>
        <v/>
      </c>
      <c r="BR11" s="4" t="str">
        <f aca="false">IF(AS11&lt;2000.01,"",IF(AS11&lt;=3000,AS11*0.35-185,))</f>
        <v/>
      </c>
      <c r="BS11" s="4" t="str">
        <f aca="false">IF(AS11&lt;3000.01,"",IF(AS11&gt;3000,AS11*0.4-335,))</f>
        <v/>
      </c>
      <c r="BT11" s="55" t="n">
        <f aca="false">SUM(BN11:BS11)</f>
        <v>97.6519503151935</v>
      </c>
      <c r="BU11" s="1" t="s">
        <v>144</v>
      </c>
      <c r="BV11" s="1" t="s">
        <v>145</v>
      </c>
      <c r="BW11" s="1" t="s">
        <v>152</v>
      </c>
      <c r="BX11" s="1" t="s">
        <v>94</v>
      </c>
      <c r="BY11" s="1" t="s">
        <v>95</v>
      </c>
      <c r="BZ11" s="1" t="s">
        <v>153</v>
      </c>
      <c r="CA11" s="39" t="n">
        <v>11.67</v>
      </c>
      <c r="CB11" s="39" t="n">
        <v>2.5</v>
      </c>
      <c r="CC11" s="39" t="n">
        <v>0</v>
      </c>
      <c r="CD11" s="39" t="n">
        <f aca="false">CA11+CB11-CC11</f>
        <v>14.17</v>
      </c>
    </row>
    <row r="12" customFormat="false" ht="15.75" hidden="false" customHeight="true" outlineLevel="0" collapsed="false">
      <c r="A12" s="39" t="s">
        <v>154</v>
      </c>
      <c r="B12" s="57" t="s">
        <v>139</v>
      </c>
      <c r="C12" s="41" t="s">
        <v>155</v>
      </c>
      <c r="D12" s="42" t="s">
        <v>156</v>
      </c>
      <c r="E12" s="43" t="n">
        <f aca="false">E11</f>
        <v>45107</v>
      </c>
      <c r="F12" s="44" t="str">
        <f aca="false">F11</f>
        <v>Unki</v>
      </c>
      <c r="G12" s="45" t="s">
        <v>157</v>
      </c>
      <c r="H12" s="44" t="n">
        <v>4.9</v>
      </c>
      <c r="I12" s="42" t="s">
        <v>158</v>
      </c>
      <c r="J12" s="46" t="n">
        <f aca="false">AQ12/AS12</f>
        <v>0.300701615644749</v>
      </c>
      <c r="K12" s="46" t="str">
        <f aca="false">K11</f>
        <v>5/2023</v>
      </c>
      <c r="L12" s="47" t="n">
        <v>210</v>
      </c>
      <c r="M12" s="46" t="n">
        <f aca="false">542.14/208</f>
        <v>2.60644230769231</v>
      </c>
      <c r="N12" s="46" t="n">
        <v>22</v>
      </c>
      <c r="O12" s="46"/>
      <c r="P12" s="48" t="n">
        <f aca="false">L12*M12</f>
        <v>547.352884615385</v>
      </c>
      <c r="Q12" s="48" t="n">
        <f aca="false">P12*0.3</f>
        <v>164.205865384615</v>
      </c>
      <c r="R12" s="48" t="n">
        <f aca="false">P12*0.7*$S$1</f>
        <v>2653897.10113419</v>
      </c>
      <c r="S12" s="49" t="n">
        <f aca="false">P12*$S$1</f>
        <v>3791281.57304885</v>
      </c>
      <c r="T12" s="48" t="n">
        <f aca="false">P12*0.25</f>
        <v>136.838221153846</v>
      </c>
      <c r="U12" s="48" t="n">
        <f aca="false">M12*N12*8*0.05</f>
        <v>22.9366923076923</v>
      </c>
      <c r="V12" s="48" t="n">
        <f aca="false">M12*O12*0.1</f>
        <v>0</v>
      </c>
      <c r="W12" s="48"/>
      <c r="X12" s="48"/>
      <c r="Y12" s="48" t="n">
        <f aca="false">AA12*M12*2</f>
        <v>0</v>
      </c>
      <c r="Z12" s="48" t="n">
        <f aca="false">AB12*M12*1.5</f>
        <v>0</v>
      </c>
      <c r="AA12" s="48"/>
      <c r="AB12" s="48"/>
      <c r="AC12" s="48"/>
      <c r="AD12" s="48"/>
      <c r="AE12" s="48" t="n">
        <f aca="false">M12*8*AC12</f>
        <v>0</v>
      </c>
      <c r="AF12" s="50"/>
      <c r="AG12" s="50" t="n">
        <f aca="false">AQ12/AS12</f>
        <v>0.300701615644749</v>
      </c>
      <c r="AH12" s="51" t="n">
        <f aca="false">(AI12*$AJ$1)+AJ12</f>
        <v>4897974.71794358</v>
      </c>
      <c r="AI12" s="48" t="n">
        <f aca="false">Q12+(T12+U12+V12+Y12+Z12+AE12)*0.3</f>
        <v>212.138339423077</v>
      </c>
      <c r="AJ12" s="49" t="n">
        <f aca="false">R12+((+T12+U12+V12+Y12+Z12+AE12)*0.7)*$AJ$1+W12+X12</f>
        <v>3428582.30256051</v>
      </c>
      <c r="AK12" s="52" t="n">
        <f aca="false">IF(S12&gt;518239,0.045*518239,S12*0.045)</f>
        <v>23320.755</v>
      </c>
      <c r="AL12" s="48" t="n">
        <f aca="false">(AK12*0.3)/$AS$1</f>
        <v>1.01005548715235</v>
      </c>
      <c r="AM12" s="48" t="n">
        <f aca="false">(AK12*0.7)</f>
        <v>16324.5285</v>
      </c>
      <c r="AN12" s="53"/>
      <c r="AO12" s="53" t="n">
        <f aca="false">S12*0.003</f>
        <v>11373.8447191465</v>
      </c>
      <c r="AP12" s="53" t="n">
        <f aca="false">IF(AF12&gt;320,320,AF12)</f>
        <v>0</v>
      </c>
      <c r="AQ12" s="48" t="n">
        <f aca="false">AI12-AP12-AL12</f>
        <v>211.128283935925</v>
      </c>
      <c r="AR12" s="54" t="n">
        <f aca="false">AJ12-AM12-AN12-AO12-BD12</f>
        <v>3400883.92934136</v>
      </c>
      <c r="AS12" s="49" t="n">
        <f aca="false">AQ12+(AR12/$AS$1)</f>
        <v>702.118887799236</v>
      </c>
      <c r="AT12" s="48" t="n">
        <f aca="false">BT12</f>
        <v>140.529721949809</v>
      </c>
      <c r="AU12" s="48" t="n">
        <v>0</v>
      </c>
      <c r="AV12" s="48" t="n">
        <f aca="false">AT12-AU12</f>
        <v>140.529721949809</v>
      </c>
      <c r="AW12" s="48" t="n">
        <f aca="false">AV12*AG12</f>
        <v>42.2575144364149</v>
      </c>
      <c r="AX12" s="48" t="n">
        <f aca="false">AW12*0.03</f>
        <v>1.26772543309245</v>
      </c>
      <c r="AY12" s="49" t="n">
        <f aca="false">(AV12-AW12)*$AS$1</f>
        <v>680689.953338178</v>
      </c>
      <c r="AZ12" s="48" t="n">
        <f aca="false">AY12*0.03</f>
        <v>20420.6986001453</v>
      </c>
      <c r="BA12" s="48" t="n">
        <f aca="false">AQ12-AW12-AX12</f>
        <v>167.603044066417</v>
      </c>
      <c r="BB12" s="48" t="n">
        <f aca="false">AR12-AY12-AZ12</f>
        <v>2699773.27740304</v>
      </c>
      <c r="BC12" s="48"/>
      <c r="BD12" s="48" t="n">
        <v>0</v>
      </c>
      <c r="BE12" s="48"/>
      <c r="BF12" s="48"/>
      <c r="BG12" s="48"/>
      <c r="BH12" s="48"/>
      <c r="BI12" s="48"/>
      <c r="BJ12" s="48"/>
      <c r="BK12" s="48"/>
      <c r="BL12" s="48" t="n">
        <f aca="false">BA12-BK12-BI12-BJ12-BF12</f>
        <v>167.603044066417</v>
      </c>
      <c r="BM12" s="48" t="n">
        <f aca="false">BB12-BC12-BE12-BG12-BH12</f>
        <v>2699773.27740304</v>
      </c>
      <c r="BN12" s="4" t="n">
        <f aca="false">IF(AS12&lt;100,0,0)</f>
        <v>0</v>
      </c>
      <c r="BO12" s="4" t="n">
        <f aca="false">IF(AS12&lt;70,"",IF(AS12&lt;=300,AS12*0.2-20,))</f>
        <v>0</v>
      </c>
      <c r="BP12" s="4" t="n">
        <f aca="false">IF(AS12&lt;300.01,"",IF(AS12&lt;=1000,AS12*0.25-35,))</f>
        <v>140.529721949809</v>
      </c>
      <c r="BQ12" s="4" t="str">
        <f aca="false">IF(AS12&lt;1000.01,"",IF(AS12&lt;=2000,AS12*0.3-85,))</f>
        <v/>
      </c>
      <c r="BR12" s="4" t="str">
        <f aca="false">IF(AS12&lt;2000.01,"",IF(AS12&lt;=3000,AS12*0.35-185,))</f>
        <v/>
      </c>
      <c r="BS12" s="4" t="str">
        <f aca="false">IF(AS12&lt;3000.01,"",IF(AS12&gt;3000,AS12*0.4-335,))</f>
        <v/>
      </c>
      <c r="BT12" s="55" t="n">
        <f aca="false">SUM(BN12:BS12)</f>
        <v>140.529721949809</v>
      </c>
      <c r="BU12" s="1" t="s">
        <v>144</v>
      </c>
      <c r="BV12" s="1" t="s">
        <v>95</v>
      </c>
      <c r="BW12" s="1" t="s">
        <v>159</v>
      </c>
      <c r="BX12" s="1" t="s">
        <v>94</v>
      </c>
      <c r="BY12" s="1" t="s">
        <v>95</v>
      </c>
      <c r="BZ12" s="1" t="s">
        <v>160</v>
      </c>
      <c r="CA12" s="39" t="n">
        <v>12.26</v>
      </c>
      <c r="CB12" s="39" t="n">
        <v>2.5</v>
      </c>
      <c r="CC12" s="39" t="n">
        <v>0</v>
      </c>
      <c r="CD12" s="39" t="n">
        <f aca="false">CA12+CB12-CC12</f>
        <v>14.76</v>
      </c>
    </row>
    <row r="13" customFormat="false" ht="15.75" hidden="false" customHeight="true" outlineLevel="0" collapsed="false">
      <c r="A13" s="39" t="s">
        <v>161</v>
      </c>
      <c r="B13" s="57" t="s">
        <v>162</v>
      </c>
      <c r="C13" s="41" t="s">
        <v>163</v>
      </c>
      <c r="D13" s="42" t="s">
        <v>164</v>
      </c>
      <c r="E13" s="43" t="n">
        <f aca="false">E12</f>
        <v>45107</v>
      </c>
      <c r="F13" s="44" t="str">
        <f aca="false">F12</f>
        <v>Unki</v>
      </c>
      <c r="G13" s="44" t="s">
        <v>110</v>
      </c>
      <c r="H13" s="44" t="n">
        <v>4.3</v>
      </c>
      <c r="I13" s="42" t="s">
        <v>165</v>
      </c>
      <c r="J13" s="46" t="n">
        <f aca="false">AQ13/AS13</f>
        <v>0.300702697959481</v>
      </c>
      <c r="K13" s="46" t="str">
        <f aca="false">K12</f>
        <v>5/2023</v>
      </c>
      <c r="L13" s="47" t="n">
        <v>210</v>
      </c>
      <c r="M13" s="46" t="n">
        <f aca="false">410.34/208</f>
        <v>1.97278846153846</v>
      </c>
      <c r="N13" s="46" t="n">
        <v>22</v>
      </c>
      <c r="O13" s="46"/>
      <c r="P13" s="48" t="n">
        <f aca="false">L13*M13</f>
        <v>414.285576923077</v>
      </c>
      <c r="Q13" s="48" t="n">
        <f aca="false">P13*0.3</f>
        <v>124.285673076923</v>
      </c>
      <c r="R13" s="48" t="n">
        <f aca="false">P13*0.7*$S$1</f>
        <v>2008706.48998304</v>
      </c>
      <c r="S13" s="49" t="n">
        <f aca="false">P13*$S$1</f>
        <v>2869580.69997577</v>
      </c>
      <c r="T13" s="48" t="n">
        <f aca="false">P13*0.25</f>
        <v>103.571394230769</v>
      </c>
      <c r="U13" s="48" t="n">
        <f aca="false">M13*N13*8*0.05</f>
        <v>17.3605384615385</v>
      </c>
      <c r="V13" s="48" t="n">
        <f aca="false">M13*O13*0.1</f>
        <v>0</v>
      </c>
      <c r="W13" s="48"/>
      <c r="X13" s="48"/>
      <c r="Y13" s="48" t="n">
        <f aca="false">AA13*M13*2</f>
        <v>0</v>
      </c>
      <c r="Z13" s="48" t="n">
        <f aca="false">AB13*M13*1.5</f>
        <v>0</v>
      </c>
      <c r="AA13" s="48"/>
      <c r="AB13" s="48"/>
      <c r="AC13" s="48"/>
      <c r="AD13" s="48"/>
      <c r="AE13" s="48" t="n">
        <f aca="false">M13*8*AC13</f>
        <v>0</v>
      </c>
      <c r="AF13" s="50"/>
      <c r="AG13" s="50" t="n">
        <f aca="false">AQ13/AS13</f>
        <v>0.300702697959481</v>
      </c>
      <c r="AH13" s="51" t="n">
        <f aca="false">(AI13*$AJ$1)+AJ13</f>
        <v>3707224.9709687</v>
      </c>
      <c r="AI13" s="48" t="n">
        <f aca="false">Q13+(T13+U13+V13+Y13+Z13+AE13)*0.3</f>
        <v>160.565252884615</v>
      </c>
      <c r="AJ13" s="49" t="n">
        <f aca="false">R13+((+T13+U13+V13+Y13+Z13+AE13)*0.7)*$AJ$1+W13+X13</f>
        <v>2595057.47967809</v>
      </c>
      <c r="AK13" s="52" t="n">
        <f aca="false">IF(S13&gt;518239,0.045*518239,S13*0.045)</f>
        <v>23320.755</v>
      </c>
      <c r="AL13" s="48" t="n">
        <f aca="false">(AK13*0.3)/$AS$1</f>
        <v>1.01005548715235</v>
      </c>
      <c r="AM13" s="48" t="n">
        <f aca="false">(AK13*0.7)</f>
        <v>16324.5285</v>
      </c>
      <c r="AN13" s="53"/>
      <c r="AO13" s="53" t="n">
        <f aca="false">S13*0.003</f>
        <v>8608.74209992731</v>
      </c>
      <c r="AP13" s="53" t="n">
        <f aca="false">IF(AF13&gt;320,320,AF13)</f>
        <v>0</v>
      </c>
      <c r="AQ13" s="48" t="n">
        <f aca="false">AI13-AP13-AL13</f>
        <v>159.555197397463</v>
      </c>
      <c r="AR13" s="54" t="n">
        <f aca="false">AJ13-AM13-AN13-AO13-BD13</f>
        <v>2570124.20907816</v>
      </c>
      <c r="AS13" s="49" t="n">
        <f aca="false">AQ13+(AR13/$AS$1)</f>
        <v>530.607801260774</v>
      </c>
      <c r="AT13" s="48" t="n">
        <f aca="false">BT13</f>
        <v>97.6519503151935</v>
      </c>
      <c r="AU13" s="48" t="n">
        <v>0</v>
      </c>
      <c r="AV13" s="48" t="n">
        <f aca="false">AT13-AU13</f>
        <v>97.6519503151935</v>
      </c>
      <c r="AW13" s="48" t="n">
        <f aca="false">AV13*AG13</f>
        <v>29.3642049207839</v>
      </c>
      <c r="AX13" s="48" t="n">
        <f aca="false">AW13*0.03</f>
        <v>0.880926147623517</v>
      </c>
      <c r="AY13" s="49" t="n">
        <f aca="false">(AV13-AW13)*$AS$1</f>
        <v>473000.285658126</v>
      </c>
      <c r="AZ13" s="48" t="n">
        <f aca="false">AY13*0.03</f>
        <v>14190.0085697438</v>
      </c>
      <c r="BA13" s="48" t="n">
        <f aca="false">AQ13-AW13-AX13</f>
        <v>129.310066329056</v>
      </c>
      <c r="BB13" s="48" t="n">
        <f aca="false">AR13-AY13-AZ13</f>
        <v>2082933.91485029</v>
      </c>
      <c r="BC13" s="48"/>
      <c r="BD13" s="48" t="n">
        <v>0</v>
      </c>
      <c r="BE13" s="48"/>
      <c r="BF13" s="48"/>
      <c r="BG13" s="48"/>
      <c r="BH13" s="48"/>
      <c r="BI13" s="48"/>
      <c r="BJ13" s="48"/>
      <c r="BK13" s="48"/>
      <c r="BL13" s="48" t="n">
        <f aca="false">BA13-BK13-BI13-BJ13-BF13</f>
        <v>129.310066329056</v>
      </c>
      <c r="BM13" s="48" t="n">
        <f aca="false">BB13-BC13-BE13-BG13-BH13</f>
        <v>2082933.91485029</v>
      </c>
      <c r="BN13" s="4" t="n">
        <f aca="false">IF(AS13&lt;100,0,0)</f>
        <v>0</v>
      </c>
      <c r="BO13" s="4" t="n">
        <f aca="false">IF(AS13&lt;70,"",IF(AS13&lt;=300,AS13*0.2-20,))</f>
        <v>0</v>
      </c>
      <c r="BP13" s="4" t="n">
        <f aca="false">IF(AS13&lt;300.01,"",IF(AS13&lt;=1000,AS13*0.25-35,))</f>
        <v>97.6519503151935</v>
      </c>
      <c r="BQ13" s="4" t="str">
        <f aca="false">IF(AS13&lt;1000.01,"",IF(AS13&lt;=2000,AS13*0.3-85,))</f>
        <v/>
      </c>
      <c r="BR13" s="4" t="str">
        <f aca="false">IF(AS13&lt;2000.01,"",IF(AS13&lt;=3000,AS13*0.35-185,))</f>
        <v/>
      </c>
      <c r="BS13" s="4" t="str">
        <f aca="false">IF(AS13&lt;3000.01,"",IF(AS13&gt;3000,AS13*0.4-335,))</f>
        <v/>
      </c>
      <c r="BT13" s="55" t="n">
        <f aca="false">SUM(BN13:BS13)</f>
        <v>97.6519503151935</v>
      </c>
      <c r="BU13" s="1" t="s">
        <v>144</v>
      </c>
      <c r="BV13" s="1" t="s">
        <v>145</v>
      </c>
      <c r="BW13" s="1" t="s">
        <v>166</v>
      </c>
      <c r="BX13" s="1" t="s">
        <v>94</v>
      </c>
      <c r="BY13" s="1" t="s">
        <v>95</v>
      </c>
      <c r="BZ13" s="1" t="s">
        <v>167</v>
      </c>
      <c r="CA13" s="39" t="n">
        <v>11.48</v>
      </c>
      <c r="CB13" s="39" t="n">
        <v>2.5</v>
      </c>
      <c r="CC13" s="39" t="n">
        <v>1</v>
      </c>
      <c r="CD13" s="39" t="n">
        <f aca="false">CA13+CB13-CC13</f>
        <v>12.98</v>
      </c>
    </row>
    <row r="14" customFormat="false" ht="15.75" hidden="false" customHeight="true" outlineLevel="0" collapsed="false">
      <c r="A14" s="39" t="s">
        <v>168</v>
      </c>
      <c r="B14" s="57" t="s">
        <v>169</v>
      </c>
      <c r="C14" s="41" t="s">
        <v>170</v>
      </c>
      <c r="D14" s="45" t="s">
        <v>171</v>
      </c>
      <c r="E14" s="43" t="n">
        <f aca="false">E13</f>
        <v>45107</v>
      </c>
      <c r="F14" s="44" t="str">
        <f aca="false">F13</f>
        <v>Unki</v>
      </c>
      <c r="G14" s="44" t="s">
        <v>172</v>
      </c>
      <c r="H14" s="44" t="n">
        <v>4.7</v>
      </c>
      <c r="I14" s="60" t="s">
        <v>143</v>
      </c>
      <c r="J14" s="46" t="n">
        <f aca="false">AQ14/AS14</f>
        <v>0.300702697959481</v>
      </c>
      <c r="K14" s="46" t="str">
        <f aca="false">K13</f>
        <v>5/2023</v>
      </c>
      <c r="L14" s="47" t="n">
        <v>210</v>
      </c>
      <c r="M14" s="58" t="n">
        <f aca="false">410.34/208</f>
        <v>1.97278846153846</v>
      </c>
      <c r="N14" s="46" t="n">
        <v>22</v>
      </c>
      <c r="O14" s="46"/>
      <c r="P14" s="48" t="n">
        <f aca="false">L14*M14</f>
        <v>414.285576923077</v>
      </c>
      <c r="Q14" s="48" t="n">
        <f aca="false">P14*0.3</f>
        <v>124.285673076923</v>
      </c>
      <c r="R14" s="48" t="n">
        <f aca="false">P14*0.7*$S$1</f>
        <v>2008706.48998304</v>
      </c>
      <c r="S14" s="49" t="n">
        <f aca="false">P14*$S$1</f>
        <v>2869580.69997577</v>
      </c>
      <c r="T14" s="48" t="n">
        <f aca="false">P14*0.25</f>
        <v>103.571394230769</v>
      </c>
      <c r="U14" s="48" t="n">
        <f aca="false">M14*N14*8*0.05</f>
        <v>17.3605384615385</v>
      </c>
      <c r="V14" s="48" t="n">
        <f aca="false">M14*O14*0.1</f>
        <v>0</v>
      </c>
      <c r="W14" s="48"/>
      <c r="X14" s="48"/>
      <c r="Y14" s="48" t="n">
        <f aca="false">AA14*M14*2</f>
        <v>0</v>
      </c>
      <c r="Z14" s="48" t="n">
        <f aca="false">AB14*M14*1.5</f>
        <v>0</v>
      </c>
      <c r="AA14" s="48"/>
      <c r="AB14" s="48"/>
      <c r="AC14" s="48"/>
      <c r="AD14" s="48"/>
      <c r="AE14" s="48" t="n">
        <f aca="false">M14*8*AC14</f>
        <v>0</v>
      </c>
      <c r="AF14" s="50"/>
      <c r="AG14" s="50" t="n">
        <f aca="false">AQ14/AS14</f>
        <v>0.300702697959481</v>
      </c>
      <c r="AH14" s="51" t="n">
        <f aca="false">(AI14*$AJ$1)+AJ14</f>
        <v>3707224.9709687</v>
      </c>
      <c r="AI14" s="48" t="n">
        <f aca="false">Q14+(T14+U14+V14+Y14+Z14+AE14)*0.3</f>
        <v>160.565252884615</v>
      </c>
      <c r="AJ14" s="49" t="n">
        <f aca="false">R14+((+T14+U14+V14+Y14+Z14+AE14)*0.7)*$AJ$1+W14+X14</f>
        <v>2595057.47967809</v>
      </c>
      <c r="AK14" s="52" t="n">
        <f aca="false">IF(S14&gt;518239,0.045*518239,S14*0.045)</f>
        <v>23320.755</v>
      </c>
      <c r="AL14" s="48" t="n">
        <f aca="false">(AK14*0.3)/$AS$1</f>
        <v>1.01005548715235</v>
      </c>
      <c r="AM14" s="48" t="n">
        <f aca="false">(AK14*0.7)</f>
        <v>16324.5285</v>
      </c>
      <c r="AN14" s="53"/>
      <c r="AO14" s="53" t="n">
        <f aca="false">S14*0.003</f>
        <v>8608.74209992731</v>
      </c>
      <c r="AP14" s="53" t="n">
        <f aca="false">IF(AF14&gt;320,320,AF14)</f>
        <v>0</v>
      </c>
      <c r="AQ14" s="48" t="n">
        <f aca="false">AI14-AP14-AL14</f>
        <v>159.555197397463</v>
      </c>
      <c r="AR14" s="54" t="n">
        <f aca="false">AJ14-AM14-AN14-AO14-BD14</f>
        <v>2570124.20907816</v>
      </c>
      <c r="AS14" s="49" t="n">
        <f aca="false">AQ14+(AR14/$AS$1)</f>
        <v>530.607801260774</v>
      </c>
      <c r="AT14" s="48" t="n">
        <f aca="false">BT14</f>
        <v>97.6519503151935</v>
      </c>
      <c r="AU14" s="48" t="n">
        <v>0</v>
      </c>
      <c r="AV14" s="48" t="n">
        <f aca="false">AT14-AU14</f>
        <v>97.6519503151935</v>
      </c>
      <c r="AW14" s="48" t="n">
        <f aca="false">AV14*AG14</f>
        <v>29.3642049207839</v>
      </c>
      <c r="AX14" s="48" t="n">
        <f aca="false">AW14*0.03</f>
        <v>0.880926147623517</v>
      </c>
      <c r="AY14" s="49" t="n">
        <f aca="false">(AV14-AW14)*$AS$1</f>
        <v>473000.285658126</v>
      </c>
      <c r="AZ14" s="48" t="n">
        <f aca="false">AY14*0.03</f>
        <v>14190.0085697438</v>
      </c>
      <c r="BA14" s="48" t="n">
        <f aca="false">AQ14-AW14-AX14</f>
        <v>129.310066329056</v>
      </c>
      <c r="BB14" s="48" t="n">
        <f aca="false">AR14-AY14-AZ14</f>
        <v>2082933.91485029</v>
      </c>
      <c r="BC14" s="48"/>
      <c r="BD14" s="48" t="n">
        <v>0</v>
      </c>
      <c r="BE14" s="48"/>
      <c r="BF14" s="48"/>
      <c r="BG14" s="48"/>
      <c r="BH14" s="48"/>
      <c r="BI14" s="48"/>
      <c r="BJ14" s="48"/>
      <c r="BK14" s="48"/>
      <c r="BL14" s="48" t="n">
        <f aca="false">BA14-BK14-BI14-BJ14-BF14</f>
        <v>129.310066329056</v>
      </c>
      <c r="BM14" s="48" t="n">
        <f aca="false">BB14-BC14-BE14-BG14-BH14</f>
        <v>2082933.91485029</v>
      </c>
      <c r="BN14" s="4" t="n">
        <f aca="false">IF(AS14&lt;100,0,0)</f>
        <v>0</v>
      </c>
      <c r="BO14" s="4" t="n">
        <f aca="false">IF(AS14&lt;70,"",IF(AS14&lt;=300,AS14*0.2-20,))</f>
        <v>0</v>
      </c>
      <c r="BP14" s="4" t="n">
        <f aca="false">IF(AS14&lt;300.01,"",IF(AS14&lt;=1000,AS14*0.25-35,))</f>
        <v>97.6519503151935</v>
      </c>
      <c r="BQ14" s="4" t="str">
        <f aca="false">IF(AS14&lt;1000.01,"",IF(AS14&lt;=2000,AS14*0.3-85,))</f>
        <v/>
      </c>
      <c r="BR14" s="4" t="str">
        <f aca="false">IF(AS14&lt;2000.01,"",IF(AS14&lt;=3000,AS14*0.35-185,))</f>
        <v/>
      </c>
      <c r="BS14" s="4" t="str">
        <f aca="false">IF(AS14&lt;3000.01,"",IF(AS14&gt;3000,AS14*0.4-335,))</f>
        <v/>
      </c>
      <c r="BT14" s="55" t="n">
        <f aca="false">SUM(BN14:BS14)</f>
        <v>97.6519503151935</v>
      </c>
      <c r="BU14" s="1" t="s">
        <v>94</v>
      </c>
      <c r="BV14" s="1" t="s">
        <v>173</v>
      </c>
      <c r="BW14" s="1" t="s">
        <v>174</v>
      </c>
      <c r="BX14" s="1" t="s">
        <v>94</v>
      </c>
      <c r="BY14" s="1" t="s">
        <v>175</v>
      </c>
      <c r="BZ14" s="1" t="s">
        <v>176</v>
      </c>
      <c r="CA14" s="39" t="n">
        <v>12.18</v>
      </c>
      <c r="CB14" s="39" t="n">
        <v>2.5</v>
      </c>
      <c r="CC14" s="39" t="n">
        <v>0</v>
      </c>
      <c r="CD14" s="39" t="n">
        <f aca="false">CA14+CB14-CC14</f>
        <v>14.68</v>
      </c>
    </row>
    <row r="15" customFormat="false" ht="15.75" hidden="true" customHeight="true" outlineLevel="0" collapsed="false">
      <c r="B15" s="57"/>
      <c r="C15" s="41"/>
      <c r="D15" s="44"/>
      <c r="E15" s="43"/>
      <c r="F15" s="44"/>
      <c r="G15" s="44"/>
      <c r="H15" s="44"/>
      <c r="I15" s="44"/>
      <c r="J15" s="46"/>
      <c r="K15" s="46"/>
      <c r="L15" s="47"/>
      <c r="M15" s="61"/>
      <c r="N15" s="61"/>
      <c r="O15" s="61"/>
      <c r="P15" s="48"/>
      <c r="Q15" s="48"/>
      <c r="R15" s="48"/>
      <c r="S15" s="49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50"/>
      <c r="AH15" s="51"/>
      <c r="AI15" s="48"/>
      <c r="AJ15" s="49"/>
      <c r="AK15" s="52"/>
      <c r="AL15" s="48"/>
      <c r="AM15" s="48"/>
      <c r="AN15" s="48"/>
      <c r="AO15" s="48"/>
      <c r="AP15" s="48"/>
      <c r="AQ15" s="48"/>
      <c r="AR15" s="54"/>
      <c r="AS15" s="49"/>
      <c r="AT15" s="48"/>
      <c r="AU15" s="48"/>
      <c r="AV15" s="48"/>
      <c r="AW15" s="48"/>
      <c r="AX15" s="48"/>
      <c r="AY15" s="49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"/>
      <c r="BO15" s="4"/>
      <c r="BP15" s="4"/>
      <c r="BQ15" s="4"/>
      <c r="BR15" s="4"/>
      <c r="BS15" s="4"/>
      <c r="BT15" s="3"/>
    </row>
    <row r="16" customFormat="false" ht="15.75" hidden="true" customHeight="true" outlineLevel="0" collapsed="false">
      <c r="B16" s="57"/>
      <c r="C16" s="41"/>
      <c r="D16" s="44"/>
      <c r="E16" s="43"/>
      <c r="F16" s="44"/>
      <c r="G16" s="44"/>
      <c r="H16" s="44"/>
      <c r="I16" s="44"/>
      <c r="J16" s="46"/>
      <c r="K16" s="46"/>
      <c r="L16" s="47"/>
      <c r="M16" s="46"/>
      <c r="N16" s="46"/>
      <c r="O16" s="46"/>
      <c r="P16" s="48"/>
      <c r="Q16" s="48"/>
      <c r="R16" s="48"/>
      <c r="S16" s="49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50"/>
      <c r="AG16" s="50"/>
      <c r="AH16" s="51"/>
      <c r="AI16" s="48"/>
      <c r="AJ16" s="49"/>
      <c r="AK16" s="52"/>
      <c r="AL16" s="48"/>
      <c r="AM16" s="48"/>
      <c r="AN16" s="53"/>
      <c r="AO16" s="53"/>
      <c r="AP16" s="53"/>
      <c r="AQ16" s="48"/>
      <c r="AR16" s="54"/>
      <c r="AS16" s="49"/>
      <c r="AT16" s="48"/>
      <c r="AU16" s="48"/>
      <c r="AV16" s="48"/>
      <c r="AW16" s="48"/>
      <c r="AX16" s="48"/>
      <c r="AY16" s="49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"/>
      <c r="BO16" s="4"/>
      <c r="BP16" s="4"/>
      <c r="BQ16" s="4"/>
      <c r="BR16" s="4"/>
      <c r="BS16" s="4"/>
      <c r="BT16" s="55"/>
    </row>
    <row r="17" customFormat="false" ht="15.75" hidden="true" customHeight="true" outlineLevel="0" collapsed="false">
      <c r="B17" s="57"/>
      <c r="C17" s="62"/>
      <c r="D17" s="44"/>
      <c r="E17" s="43"/>
      <c r="F17" s="44"/>
      <c r="G17" s="44"/>
      <c r="H17" s="44"/>
      <c r="I17" s="44"/>
      <c r="J17" s="46"/>
      <c r="K17" s="46"/>
      <c r="L17" s="47"/>
      <c r="M17" s="61"/>
      <c r="N17" s="61"/>
      <c r="O17" s="61"/>
      <c r="P17" s="48"/>
      <c r="Q17" s="48"/>
      <c r="R17" s="48"/>
      <c r="S17" s="49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50"/>
      <c r="AH17" s="51"/>
      <c r="AI17" s="48"/>
      <c r="AJ17" s="49"/>
      <c r="AK17" s="52"/>
      <c r="AL17" s="48"/>
      <c r="AM17" s="48"/>
      <c r="AN17" s="48"/>
      <c r="AO17" s="48"/>
      <c r="AP17" s="48"/>
      <c r="AQ17" s="48"/>
      <c r="AR17" s="54"/>
      <c r="AS17" s="49"/>
      <c r="AT17" s="48"/>
      <c r="AU17" s="48"/>
      <c r="AV17" s="48"/>
      <c r="AW17" s="48"/>
      <c r="AX17" s="48"/>
      <c r="AY17" s="49"/>
      <c r="AZ17" s="48"/>
      <c r="BA17" s="48"/>
      <c r="BB17" s="48"/>
      <c r="BC17" s="48"/>
      <c r="BD17" s="48"/>
      <c r="BE17" s="48"/>
      <c r="BF17" s="48"/>
      <c r="BG17" s="48"/>
      <c r="BH17" s="48"/>
      <c r="BI17" s="63"/>
      <c r="BJ17" s="48"/>
      <c r="BK17" s="48"/>
      <c r="BL17" s="48"/>
      <c r="BM17" s="48"/>
      <c r="BN17" s="4"/>
      <c r="BO17" s="4"/>
      <c r="BP17" s="4"/>
      <c r="BQ17" s="4"/>
      <c r="BR17" s="4"/>
      <c r="BS17" s="4"/>
      <c r="BT17" s="3"/>
    </row>
    <row r="18" customFormat="false" ht="15.75" hidden="true" customHeight="true" outlineLevel="0" collapsed="false">
      <c r="B18" s="57"/>
      <c r="C18" s="62"/>
      <c r="D18" s="44"/>
      <c r="E18" s="43"/>
      <c r="F18" s="44"/>
      <c r="G18" s="44"/>
      <c r="H18" s="44"/>
      <c r="I18" s="44"/>
      <c r="J18" s="46"/>
      <c r="K18" s="46"/>
      <c r="L18" s="64"/>
      <c r="M18" s="61"/>
      <c r="N18" s="61"/>
      <c r="O18" s="61"/>
      <c r="P18" s="48"/>
      <c r="Q18" s="48"/>
      <c r="R18" s="48"/>
      <c r="S18" s="49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50"/>
      <c r="AH18" s="48"/>
      <c r="AI18" s="48"/>
      <c r="AJ18" s="49"/>
      <c r="AK18" s="52"/>
      <c r="AL18" s="48"/>
      <c r="AM18" s="48"/>
      <c r="AN18" s="48"/>
      <c r="AO18" s="48"/>
      <c r="AP18" s="48"/>
      <c r="AQ18" s="48"/>
      <c r="AR18" s="54"/>
      <c r="AS18" s="49"/>
      <c r="AT18" s="48"/>
      <c r="AU18" s="48"/>
      <c r="AV18" s="48"/>
      <c r="AW18" s="48"/>
      <c r="AX18" s="48"/>
      <c r="AY18" s="49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"/>
      <c r="BO18" s="4"/>
      <c r="BP18" s="4"/>
      <c r="BQ18" s="4"/>
      <c r="BR18" s="4"/>
      <c r="BS18" s="4"/>
      <c r="BT18" s="55"/>
    </row>
    <row r="19" customFormat="false" ht="15.75" hidden="true" customHeight="true" outlineLevel="0" collapsed="false">
      <c r="B19" s="57"/>
      <c r="C19" s="62"/>
      <c r="D19" s="44"/>
      <c r="E19" s="43"/>
      <c r="F19" s="44"/>
      <c r="G19" s="44"/>
      <c r="H19" s="44"/>
      <c r="I19" s="44"/>
      <c r="J19" s="46"/>
      <c r="K19" s="46"/>
      <c r="L19" s="47"/>
      <c r="M19" s="46"/>
      <c r="N19" s="46"/>
      <c r="O19" s="46"/>
      <c r="P19" s="48"/>
      <c r="Q19" s="48"/>
      <c r="R19" s="48"/>
      <c r="S19" s="49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50"/>
      <c r="AG19" s="50"/>
      <c r="AH19" s="51"/>
      <c r="AI19" s="48"/>
      <c r="AJ19" s="49"/>
      <c r="AK19" s="52"/>
      <c r="AL19" s="48"/>
      <c r="AM19" s="48"/>
      <c r="AN19" s="53"/>
      <c r="AO19" s="53"/>
      <c r="AP19" s="53"/>
      <c r="AQ19" s="48"/>
      <c r="AR19" s="54"/>
      <c r="AS19" s="49"/>
      <c r="AT19" s="48"/>
      <c r="AU19" s="48"/>
      <c r="AV19" s="48"/>
      <c r="AW19" s="48"/>
      <c r="AX19" s="48"/>
      <c r="AY19" s="49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"/>
      <c r="BO19" s="4"/>
      <c r="BP19" s="4"/>
      <c r="BQ19" s="4"/>
      <c r="BR19" s="4"/>
      <c r="BS19" s="4"/>
      <c r="BT19" s="55"/>
    </row>
    <row r="20" customFormat="false" ht="15.75" hidden="true" customHeight="true" outlineLevel="0" collapsed="false">
      <c r="B20" s="57"/>
      <c r="C20" s="62"/>
      <c r="D20" s="44"/>
      <c r="E20" s="43"/>
      <c r="F20" s="44"/>
      <c r="G20" s="44"/>
      <c r="H20" s="44"/>
      <c r="I20" s="44"/>
      <c r="J20" s="46"/>
      <c r="K20" s="46"/>
      <c r="L20" s="47"/>
      <c r="M20" s="46"/>
      <c r="N20" s="46"/>
      <c r="O20" s="46"/>
      <c r="P20" s="48"/>
      <c r="Q20" s="48"/>
      <c r="R20" s="48"/>
      <c r="S20" s="49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50"/>
      <c r="AG20" s="50"/>
      <c r="AH20" s="51"/>
      <c r="AI20" s="48"/>
      <c r="AJ20" s="49"/>
      <c r="AK20" s="52"/>
      <c r="AL20" s="48"/>
      <c r="AM20" s="48"/>
      <c r="AN20" s="53"/>
      <c r="AO20" s="53"/>
      <c r="AP20" s="53"/>
      <c r="AQ20" s="48"/>
      <c r="AR20" s="54"/>
      <c r="AS20" s="49"/>
      <c r="AT20" s="48"/>
      <c r="AU20" s="48"/>
      <c r="AV20" s="48"/>
      <c r="AW20" s="48"/>
      <c r="AX20" s="48"/>
      <c r="AY20" s="49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"/>
      <c r="BO20" s="4"/>
      <c r="BP20" s="4"/>
      <c r="BQ20" s="4"/>
      <c r="BR20" s="4"/>
      <c r="BS20" s="4"/>
      <c r="BT20" s="55"/>
    </row>
    <row r="21" customFormat="false" ht="15.75" hidden="true" customHeight="true" outlineLevel="0" collapsed="false">
      <c r="B21" s="57"/>
      <c r="C21" s="62"/>
      <c r="D21" s="44"/>
      <c r="E21" s="43"/>
      <c r="F21" s="44"/>
      <c r="G21" s="44"/>
      <c r="H21" s="44"/>
      <c r="I21" s="44"/>
      <c r="J21" s="46"/>
      <c r="K21" s="46"/>
      <c r="L21" s="47"/>
      <c r="M21" s="46"/>
      <c r="N21" s="46"/>
      <c r="O21" s="46"/>
      <c r="P21" s="48"/>
      <c r="Q21" s="48"/>
      <c r="R21" s="48"/>
      <c r="S21" s="49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50"/>
      <c r="AG21" s="50"/>
      <c r="AH21" s="51"/>
      <c r="AI21" s="48"/>
      <c r="AJ21" s="49"/>
      <c r="AK21" s="52"/>
      <c r="AL21" s="48"/>
      <c r="AM21" s="48"/>
      <c r="AN21" s="53"/>
      <c r="AO21" s="53"/>
      <c r="AP21" s="53"/>
      <c r="AQ21" s="48"/>
      <c r="AR21" s="54"/>
      <c r="AS21" s="49"/>
      <c r="AT21" s="48"/>
      <c r="AU21" s="48"/>
      <c r="AV21" s="48"/>
      <c r="AW21" s="48"/>
      <c r="AX21" s="48"/>
      <c r="AY21" s="49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"/>
      <c r="BO21" s="4"/>
      <c r="BP21" s="4"/>
      <c r="BQ21" s="4"/>
      <c r="BR21" s="4"/>
      <c r="BS21" s="4"/>
      <c r="BT21" s="55"/>
    </row>
    <row r="22" customFormat="false" ht="15.75" hidden="true" customHeight="true" outlineLevel="0" collapsed="false">
      <c r="B22" s="57"/>
      <c r="C22" s="62"/>
      <c r="D22" s="44"/>
      <c r="E22" s="43"/>
      <c r="F22" s="44"/>
      <c r="G22" s="44"/>
      <c r="H22" s="44"/>
      <c r="I22" s="44"/>
      <c r="J22" s="46"/>
      <c r="K22" s="46"/>
      <c r="L22" s="47"/>
      <c r="M22" s="46"/>
      <c r="N22" s="46"/>
      <c r="O22" s="46"/>
      <c r="P22" s="48"/>
      <c r="Q22" s="48"/>
      <c r="R22" s="48"/>
      <c r="S22" s="49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50"/>
      <c r="AG22" s="50"/>
      <c r="AH22" s="51"/>
      <c r="AI22" s="48"/>
      <c r="AJ22" s="49"/>
      <c r="AK22" s="52"/>
      <c r="AL22" s="48"/>
      <c r="AM22" s="48"/>
      <c r="AN22" s="53"/>
      <c r="AO22" s="53"/>
      <c r="AP22" s="53"/>
      <c r="AQ22" s="48"/>
      <c r="AR22" s="54"/>
      <c r="AS22" s="49"/>
      <c r="AT22" s="48"/>
      <c r="AU22" s="48"/>
      <c r="AV22" s="48"/>
      <c r="AW22" s="48"/>
      <c r="AX22" s="48"/>
      <c r="AY22" s="49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"/>
      <c r="BO22" s="4"/>
      <c r="BP22" s="4"/>
      <c r="BQ22" s="4"/>
      <c r="BR22" s="4"/>
      <c r="BS22" s="4"/>
      <c r="BT22" s="55"/>
    </row>
    <row r="23" customFormat="false" ht="15.75" hidden="true" customHeight="true" outlineLevel="0" collapsed="false">
      <c r="B23" s="57"/>
      <c r="C23" s="62"/>
      <c r="D23" s="44"/>
      <c r="E23" s="43"/>
      <c r="F23" s="44"/>
      <c r="G23" s="44"/>
      <c r="H23" s="44"/>
      <c r="I23" s="44"/>
      <c r="J23" s="46"/>
      <c r="K23" s="46"/>
      <c r="L23" s="47"/>
      <c r="M23" s="46"/>
      <c r="N23" s="46"/>
      <c r="O23" s="46"/>
      <c r="P23" s="48"/>
      <c r="Q23" s="48"/>
      <c r="R23" s="48"/>
      <c r="S23" s="49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50"/>
      <c r="AG23" s="50"/>
      <c r="AH23" s="51"/>
      <c r="AI23" s="48"/>
      <c r="AJ23" s="49"/>
      <c r="AK23" s="52"/>
      <c r="AL23" s="48"/>
      <c r="AM23" s="48"/>
      <c r="AN23" s="53"/>
      <c r="AO23" s="53"/>
      <c r="AP23" s="53"/>
      <c r="AQ23" s="48"/>
      <c r="AR23" s="54"/>
      <c r="AS23" s="49"/>
      <c r="AT23" s="48"/>
      <c r="AU23" s="48"/>
      <c r="AV23" s="48"/>
      <c r="AW23" s="48"/>
      <c r="AX23" s="48"/>
      <c r="AY23" s="49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"/>
      <c r="BO23" s="4"/>
      <c r="BP23" s="4"/>
      <c r="BQ23" s="4"/>
      <c r="BR23" s="4"/>
      <c r="BS23" s="4"/>
      <c r="BT23" s="55"/>
    </row>
    <row r="24" customFormat="false" ht="15.75" hidden="true" customHeight="true" outlineLevel="0" collapsed="false">
      <c r="B24" s="57"/>
      <c r="C24" s="62"/>
      <c r="D24" s="44"/>
      <c r="E24" s="43"/>
      <c r="F24" s="44"/>
      <c r="G24" s="44"/>
      <c r="H24" s="44"/>
      <c r="I24" s="44"/>
      <c r="J24" s="46"/>
      <c r="K24" s="46"/>
      <c r="L24" s="47"/>
      <c r="M24" s="46"/>
      <c r="N24" s="46"/>
      <c r="O24" s="46"/>
      <c r="P24" s="48"/>
      <c r="Q24" s="48"/>
      <c r="R24" s="48"/>
      <c r="S24" s="49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50"/>
      <c r="AG24" s="50"/>
      <c r="AH24" s="51"/>
      <c r="AI24" s="48"/>
      <c r="AJ24" s="49"/>
      <c r="AK24" s="52"/>
      <c r="AL24" s="48"/>
      <c r="AM24" s="48"/>
      <c r="AN24" s="53"/>
      <c r="AO24" s="53"/>
      <c r="AP24" s="53"/>
      <c r="AQ24" s="48"/>
      <c r="AR24" s="54"/>
      <c r="AS24" s="49"/>
      <c r="AT24" s="48"/>
      <c r="AU24" s="48"/>
      <c r="AV24" s="48"/>
      <c r="AW24" s="48"/>
      <c r="AX24" s="48"/>
      <c r="AY24" s="49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"/>
      <c r="BO24" s="4"/>
      <c r="BP24" s="4"/>
      <c r="BQ24" s="4"/>
      <c r="BR24" s="4"/>
      <c r="BS24" s="4"/>
      <c r="BT24" s="55"/>
    </row>
    <row r="25" customFormat="false" ht="15.75" hidden="true" customHeight="true" outlineLevel="0" collapsed="false">
      <c r="B25" s="57"/>
      <c r="C25" s="62"/>
      <c r="D25" s="44"/>
      <c r="E25" s="43"/>
      <c r="F25" s="44"/>
      <c r="G25" s="44"/>
      <c r="H25" s="44"/>
      <c r="I25" s="44"/>
      <c r="J25" s="46"/>
      <c r="K25" s="46"/>
      <c r="L25" s="47"/>
      <c r="M25" s="46"/>
      <c r="N25" s="46"/>
      <c r="O25" s="46"/>
      <c r="P25" s="48"/>
      <c r="Q25" s="48"/>
      <c r="R25" s="48"/>
      <c r="S25" s="49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50"/>
      <c r="AG25" s="50"/>
      <c r="AH25" s="51"/>
      <c r="AI25" s="48"/>
      <c r="AJ25" s="49"/>
      <c r="AK25" s="52"/>
      <c r="AL25" s="48"/>
      <c r="AM25" s="48"/>
      <c r="AN25" s="53"/>
      <c r="AO25" s="53"/>
      <c r="AP25" s="53"/>
      <c r="AQ25" s="48"/>
      <c r="AR25" s="54"/>
      <c r="AS25" s="49"/>
      <c r="AT25" s="48"/>
      <c r="AU25" s="48"/>
      <c r="AV25" s="48"/>
      <c r="AW25" s="48"/>
      <c r="AX25" s="48"/>
      <c r="AY25" s="49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"/>
      <c r="BO25" s="4"/>
      <c r="BP25" s="4"/>
      <c r="BQ25" s="4"/>
      <c r="BR25" s="4"/>
      <c r="BS25" s="4"/>
      <c r="BT25" s="55"/>
    </row>
    <row r="26" customFormat="false" ht="15.75" hidden="true" customHeight="true" outlineLevel="0" collapsed="false">
      <c r="B26" s="57"/>
      <c r="C26" s="62"/>
      <c r="D26" s="44"/>
      <c r="E26" s="43"/>
      <c r="F26" s="44"/>
      <c r="G26" s="44"/>
      <c r="H26" s="44"/>
      <c r="I26" s="44"/>
      <c r="J26" s="46"/>
      <c r="K26" s="46"/>
      <c r="L26" s="47"/>
      <c r="M26" s="46"/>
      <c r="N26" s="46"/>
      <c r="O26" s="46"/>
      <c r="P26" s="48"/>
      <c r="Q26" s="48"/>
      <c r="R26" s="48"/>
      <c r="S26" s="49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50"/>
      <c r="AG26" s="50"/>
      <c r="AH26" s="51"/>
      <c r="AI26" s="48"/>
      <c r="AJ26" s="49"/>
      <c r="AK26" s="52"/>
      <c r="AL26" s="48"/>
      <c r="AM26" s="48"/>
      <c r="AN26" s="53"/>
      <c r="AO26" s="53"/>
      <c r="AP26" s="53"/>
      <c r="AQ26" s="48"/>
      <c r="AR26" s="54"/>
      <c r="AS26" s="49"/>
      <c r="AT26" s="48"/>
      <c r="AU26" s="48"/>
      <c r="AV26" s="48"/>
      <c r="AW26" s="48"/>
      <c r="AX26" s="48"/>
      <c r="AY26" s="49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"/>
      <c r="BO26" s="4"/>
      <c r="BP26" s="4"/>
      <c r="BQ26" s="4"/>
      <c r="BR26" s="4"/>
      <c r="BS26" s="4"/>
      <c r="BT26" s="55"/>
    </row>
    <row r="27" customFormat="false" ht="15.75" hidden="true" customHeight="true" outlineLevel="0" collapsed="false">
      <c r="B27" s="57"/>
      <c r="C27" s="62"/>
      <c r="D27" s="44"/>
      <c r="E27" s="43"/>
      <c r="F27" s="44"/>
      <c r="G27" s="44"/>
      <c r="H27" s="44"/>
      <c r="I27" s="44"/>
      <c r="J27" s="46"/>
      <c r="K27" s="46"/>
      <c r="L27" s="47"/>
      <c r="M27" s="46"/>
      <c r="N27" s="46"/>
      <c r="O27" s="46"/>
      <c r="P27" s="48"/>
      <c r="Q27" s="48"/>
      <c r="R27" s="48"/>
      <c r="S27" s="49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50"/>
      <c r="AG27" s="50"/>
      <c r="AH27" s="51"/>
      <c r="AI27" s="48"/>
      <c r="AJ27" s="49"/>
      <c r="AK27" s="52"/>
      <c r="AL27" s="48"/>
      <c r="AM27" s="48"/>
      <c r="AN27" s="53"/>
      <c r="AO27" s="53"/>
      <c r="AP27" s="53"/>
      <c r="AQ27" s="48"/>
      <c r="AR27" s="54"/>
      <c r="AS27" s="49"/>
      <c r="AT27" s="48"/>
      <c r="AU27" s="48"/>
      <c r="AV27" s="48"/>
      <c r="AW27" s="48"/>
      <c r="AX27" s="48"/>
      <c r="AY27" s="49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"/>
      <c r="BO27" s="4"/>
      <c r="BP27" s="4"/>
      <c r="BQ27" s="4"/>
      <c r="BR27" s="4"/>
      <c r="BS27" s="4"/>
      <c r="BT27" s="55"/>
    </row>
    <row r="28" customFormat="false" ht="15.75" hidden="true" customHeight="true" outlineLevel="0" collapsed="false">
      <c r="B28" s="57"/>
      <c r="C28" s="62"/>
      <c r="D28" s="44"/>
      <c r="E28" s="43"/>
      <c r="F28" s="44"/>
      <c r="G28" s="44"/>
      <c r="H28" s="44"/>
      <c r="I28" s="44"/>
      <c r="J28" s="46"/>
      <c r="K28" s="46"/>
      <c r="L28" s="47"/>
      <c r="M28" s="46"/>
      <c r="N28" s="46"/>
      <c r="O28" s="46"/>
      <c r="P28" s="48"/>
      <c r="Q28" s="48"/>
      <c r="R28" s="48"/>
      <c r="S28" s="49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50"/>
      <c r="AG28" s="50"/>
      <c r="AH28" s="51"/>
      <c r="AI28" s="48"/>
      <c r="AJ28" s="49"/>
      <c r="AK28" s="52"/>
      <c r="AL28" s="48"/>
      <c r="AM28" s="48"/>
      <c r="AN28" s="53"/>
      <c r="AO28" s="53"/>
      <c r="AP28" s="53"/>
      <c r="AQ28" s="48"/>
      <c r="AR28" s="54"/>
      <c r="AS28" s="49"/>
      <c r="AT28" s="48"/>
      <c r="AU28" s="48"/>
      <c r="AV28" s="48"/>
      <c r="AW28" s="48"/>
      <c r="AX28" s="48"/>
      <c r="AY28" s="49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"/>
      <c r="BO28" s="4"/>
      <c r="BP28" s="4"/>
      <c r="BQ28" s="4"/>
      <c r="BR28" s="4"/>
      <c r="BS28" s="4"/>
      <c r="BT28" s="55"/>
    </row>
    <row r="29" customFormat="false" ht="15.75" hidden="true" customHeight="true" outlineLevel="0" collapsed="false">
      <c r="B29" s="57"/>
      <c r="C29" s="62"/>
      <c r="D29" s="44"/>
      <c r="E29" s="43"/>
      <c r="F29" s="44"/>
      <c r="G29" s="44"/>
      <c r="H29" s="44"/>
      <c r="I29" s="44"/>
      <c r="J29" s="46"/>
      <c r="K29" s="46"/>
      <c r="L29" s="47"/>
      <c r="M29" s="46"/>
      <c r="N29" s="46"/>
      <c r="O29" s="46"/>
      <c r="P29" s="48"/>
      <c r="Q29" s="48"/>
      <c r="R29" s="48"/>
      <c r="S29" s="49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50"/>
      <c r="AG29" s="50"/>
      <c r="AH29" s="51"/>
      <c r="AI29" s="48"/>
      <c r="AJ29" s="49"/>
      <c r="AK29" s="52"/>
      <c r="AL29" s="48"/>
      <c r="AM29" s="48"/>
      <c r="AN29" s="53"/>
      <c r="AO29" s="53"/>
      <c r="AP29" s="53"/>
      <c r="AQ29" s="48"/>
      <c r="AR29" s="54"/>
      <c r="AS29" s="49"/>
      <c r="AT29" s="48"/>
      <c r="AU29" s="48"/>
      <c r="AV29" s="48"/>
      <c r="AW29" s="48"/>
      <c r="AX29" s="48"/>
      <c r="AY29" s="49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"/>
      <c r="BO29" s="4"/>
      <c r="BP29" s="4"/>
      <c r="BQ29" s="4"/>
      <c r="BR29" s="4"/>
      <c r="BS29" s="4"/>
      <c r="BT29" s="55"/>
    </row>
    <row r="30" customFormat="false" ht="15.75" hidden="true" customHeight="true" outlineLevel="0" collapsed="false">
      <c r="B30" s="57"/>
      <c r="C30" s="62"/>
      <c r="D30" s="44"/>
      <c r="E30" s="43"/>
      <c r="F30" s="44"/>
      <c r="G30" s="44"/>
      <c r="H30" s="44"/>
      <c r="I30" s="44"/>
      <c r="J30" s="46"/>
      <c r="K30" s="46"/>
      <c r="L30" s="47"/>
      <c r="M30" s="46"/>
      <c r="N30" s="46"/>
      <c r="O30" s="46"/>
      <c r="P30" s="48"/>
      <c r="Q30" s="48"/>
      <c r="R30" s="48"/>
      <c r="S30" s="49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50"/>
      <c r="AG30" s="50"/>
      <c r="AH30" s="51"/>
      <c r="AI30" s="48"/>
      <c r="AJ30" s="49"/>
      <c r="AK30" s="52"/>
      <c r="AL30" s="48"/>
      <c r="AM30" s="48"/>
      <c r="AN30" s="53"/>
      <c r="AO30" s="53"/>
      <c r="AP30" s="53"/>
      <c r="AQ30" s="48"/>
      <c r="AR30" s="54"/>
      <c r="AS30" s="49"/>
      <c r="AT30" s="48"/>
      <c r="AU30" s="48"/>
      <c r="AV30" s="48"/>
      <c r="AW30" s="48"/>
      <c r="AX30" s="48"/>
      <c r="AY30" s="49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"/>
      <c r="BO30" s="4"/>
      <c r="BP30" s="4"/>
      <c r="BQ30" s="4"/>
      <c r="BR30" s="4"/>
      <c r="BS30" s="4"/>
      <c r="BT30" s="55"/>
    </row>
    <row r="31" customFormat="false" ht="15.75" hidden="true" customHeight="true" outlineLevel="0" collapsed="false">
      <c r="B31" s="57"/>
      <c r="C31" s="62"/>
      <c r="D31" s="44"/>
      <c r="E31" s="43"/>
      <c r="F31" s="44"/>
      <c r="G31" s="44"/>
      <c r="H31" s="44"/>
      <c r="I31" s="44"/>
      <c r="J31" s="46"/>
      <c r="K31" s="46"/>
      <c r="L31" s="47"/>
      <c r="M31" s="46"/>
      <c r="N31" s="46"/>
      <c r="O31" s="46"/>
      <c r="P31" s="48"/>
      <c r="Q31" s="48"/>
      <c r="R31" s="48"/>
      <c r="S31" s="49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50"/>
      <c r="AG31" s="50"/>
      <c r="AH31" s="51"/>
      <c r="AI31" s="48"/>
      <c r="AJ31" s="49"/>
      <c r="AK31" s="52"/>
      <c r="AL31" s="48"/>
      <c r="AM31" s="48"/>
      <c r="AN31" s="53"/>
      <c r="AO31" s="53"/>
      <c r="AP31" s="53"/>
      <c r="AQ31" s="48"/>
      <c r="AR31" s="54"/>
      <c r="AS31" s="49"/>
      <c r="AT31" s="48"/>
      <c r="AU31" s="48"/>
      <c r="AV31" s="48"/>
      <c r="AW31" s="48"/>
      <c r="AX31" s="48"/>
      <c r="AY31" s="49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"/>
      <c r="BO31" s="4"/>
      <c r="BP31" s="4"/>
      <c r="BQ31" s="4"/>
      <c r="BR31" s="4"/>
      <c r="BS31" s="4"/>
      <c r="BT31" s="55"/>
    </row>
    <row r="32" customFormat="false" ht="15.75" hidden="true" customHeight="true" outlineLevel="0" collapsed="false">
      <c r="B32" s="57"/>
      <c r="C32" s="62"/>
      <c r="D32" s="44"/>
      <c r="E32" s="43"/>
      <c r="F32" s="44"/>
      <c r="G32" s="44"/>
      <c r="H32" s="44"/>
      <c r="I32" s="44"/>
      <c r="J32" s="46"/>
      <c r="K32" s="46"/>
      <c r="L32" s="47"/>
      <c r="M32" s="46"/>
      <c r="N32" s="46"/>
      <c r="O32" s="46"/>
      <c r="P32" s="48"/>
      <c r="Q32" s="48"/>
      <c r="R32" s="48"/>
      <c r="S32" s="49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50"/>
      <c r="AG32" s="50"/>
      <c r="AH32" s="51"/>
      <c r="AI32" s="48"/>
      <c r="AJ32" s="49"/>
      <c r="AK32" s="52"/>
      <c r="AL32" s="48"/>
      <c r="AM32" s="48"/>
      <c r="AN32" s="53"/>
      <c r="AO32" s="53"/>
      <c r="AP32" s="53"/>
      <c r="AQ32" s="48"/>
      <c r="AR32" s="54"/>
      <c r="AS32" s="49"/>
      <c r="AT32" s="48"/>
      <c r="AU32" s="48"/>
      <c r="AV32" s="48"/>
      <c r="AW32" s="48"/>
      <c r="AX32" s="48"/>
      <c r="AY32" s="49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"/>
      <c r="BO32" s="4"/>
      <c r="BP32" s="4"/>
      <c r="BQ32" s="4"/>
      <c r="BR32" s="4"/>
      <c r="BS32" s="4"/>
      <c r="BT32" s="55"/>
    </row>
    <row r="33" customFormat="false" ht="15.75" hidden="true" customHeight="true" outlineLevel="0" collapsed="false">
      <c r="B33" s="57"/>
      <c r="C33" s="62"/>
      <c r="D33" s="44"/>
      <c r="E33" s="43"/>
      <c r="F33" s="44"/>
      <c r="G33" s="44"/>
      <c r="H33" s="44"/>
      <c r="I33" s="44"/>
      <c r="J33" s="46"/>
      <c r="K33" s="46"/>
      <c r="L33" s="47"/>
      <c r="M33" s="46"/>
      <c r="N33" s="46"/>
      <c r="O33" s="46"/>
      <c r="P33" s="48"/>
      <c r="Q33" s="48"/>
      <c r="R33" s="48"/>
      <c r="S33" s="49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50"/>
      <c r="AG33" s="50"/>
      <c r="AH33" s="51"/>
      <c r="AI33" s="48"/>
      <c r="AJ33" s="49"/>
      <c r="AK33" s="52"/>
      <c r="AL33" s="48"/>
      <c r="AM33" s="48"/>
      <c r="AN33" s="53"/>
      <c r="AO33" s="53"/>
      <c r="AP33" s="53"/>
      <c r="AQ33" s="48"/>
      <c r="AR33" s="54"/>
      <c r="AS33" s="49"/>
      <c r="AT33" s="48"/>
      <c r="AU33" s="48"/>
      <c r="AV33" s="48"/>
      <c r="AW33" s="48"/>
      <c r="AX33" s="48"/>
      <c r="AY33" s="49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"/>
      <c r="BO33" s="4"/>
      <c r="BP33" s="4"/>
      <c r="BQ33" s="4"/>
      <c r="BR33" s="4"/>
      <c r="BS33" s="4"/>
      <c r="BT33" s="55"/>
    </row>
    <row r="34" customFormat="false" ht="15.75" hidden="true" customHeight="true" outlineLevel="0" collapsed="false">
      <c r="B34" s="57"/>
      <c r="C34" s="62"/>
      <c r="D34" s="44"/>
      <c r="E34" s="43"/>
      <c r="F34" s="44"/>
      <c r="G34" s="44"/>
      <c r="H34" s="44"/>
      <c r="I34" s="44"/>
      <c r="J34" s="46"/>
      <c r="K34" s="46"/>
      <c r="L34" s="47"/>
      <c r="M34" s="46"/>
      <c r="N34" s="46"/>
      <c r="O34" s="46"/>
      <c r="P34" s="48"/>
      <c r="Q34" s="48"/>
      <c r="R34" s="48"/>
      <c r="S34" s="49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50"/>
      <c r="AG34" s="50"/>
      <c r="AH34" s="51"/>
      <c r="AI34" s="48"/>
      <c r="AJ34" s="49"/>
      <c r="AK34" s="52"/>
      <c r="AL34" s="48"/>
      <c r="AM34" s="48"/>
      <c r="AN34" s="53"/>
      <c r="AO34" s="53"/>
      <c r="AP34" s="53"/>
      <c r="AQ34" s="48"/>
      <c r="AR34" s="54"/>
      <c r="AS34" s="49"/>
      <c r="AT34" s="48"/>
      <c r="AU34" s="48"/>
      <c r="AV34" s="48"/>
      <c r="AW34" s="48"/>
      <c r="AX34" s="48"/>
      <c r="AY34" s="49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"/>
      <c r="BO34" s="4"/>
      <c r="BP34" s="4"/>
      <c r="BQ34" s="4"/>
      <c r="BR34" s="4"/>
      <c r="BS34" s="4"/>
      <c r="BT34" s="55"/>
    </row>
    <row r="35" customFormat="false" ht="15.75" hidden="true" customHeight="true" outlineLevel="0" collapsed="false">
      <c r="B35" s="57"/>
      <c r="C35" s="62"/>
      <c r="D35" s="44"/>
      <c r="E35" s="43"/>
      <c r="F35" s="44"/>
      <c r="G35" s="44"/>
      <c r="H35" s="44"/>
      <c r="I35" s="44"/>
      <c r="J35" s="46"/>
      <c r="K35" s="46"/>
      <c r="L35" s="47"/>
      <c r="M35" s="46"/>
      <c r="N35" s="46"/>
      <c r="O35" s="46"/>
      <c r="P35" s="48"/>
      <c r="Q35" s="48"/>
      <c r="R35" s="48"/>
      <c r="S35" s="49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50"/>
      <c r="AG35" s="50"/>
      <c r="AH35" s="51"/>
      <c r="AI35" s="48"/>
      <c r="AJ35" s="49"/>
      <c r="AK35" s="52"/>
      <c r="AL35" s="48"/>
      <c r="AM35" s="48"/>
      <c r="AN35" s="53"/>
      <c r="AO35" s="53"/>
      <c r="AP35" s="53"/>
      <c r="AQ35" s="48"/>
      <c r="AR35" s="54"/>
      <c r="AS35" s="49"/>
      <c r="AT35" s="48"/>
      <c r="AU35" s="48"/>
      <c r="AV35" s="48"/>
      <c r="AW35" s="48"/>
      <c r="AX35" s="48"/>
      <c r="AY35" s="49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"/>
      <c r="BO35" s="4"/>
      <c r="BP35" s="4"/>
      <c r="BQ35" s="4"/>
      <c r="BR35" s="4"/>
      <c r="BS35" s="4"/>
      <c r="BT35" s="55"/>
    </row>
    <row r="36" customFormat="false" ht="15.75" hidden="true" customHeight="true" outlineLevel="0" collapsed="false">
      <c r="B36" s="57"/>
      <c r="C36" s="62"/>
      <c r="D36" s="44"/>
      <c r="E36" s="43"/>
      <c r="F36" s="44"/>
      <c r="G36" s="44"/>
      <c r="H36" s="44"/>
      <c r="I36" s="44"/>
      <c r="J36" s="46"/>
      <c r="K36" s="46"/>
      <c r="L36" s="47"/>
      <c r="M36" s="46"/>
      <c r="N36" s="46"/>
      <c r="O36" s="46"/>
      <c r="P36" s="48"/>
      <c r="Q36" s="48"/>
      <c r="R36" s="48"/>
      <c r="S36" s="49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50"/>
      <c r="AG36" s="50"/>
      <c r="AH36" s="51"/>
      <c r="AI36" s="48"/>
      <c r="AJ36" s="49"/>
      <c r="AK36" s="52"/>
      <c r="AL36" s="48"/>
      <c r="AM36" s="48"/>
      <c r="AN36" s="53"/>
      <c r="AO36" s="53"/>
      <c r="AP36" s="53"/>
      <c r="AQ36" s="48"/>
      <c r="AR36" s="54"/>
      <c r="AS36" s="49"/>
      <c r="AT36" s="48"/>
      <c r="AU36" s="48"/>
      <c r="AV36" s="48"/>
      <c r="AW36" s="48"/>
      <c r="AX36" s="48"/>
      <c r="AY36" s="49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"/>
      <c r="BO36" s="4"/>
      <c r="BP36" s="4"/>
      <c r="BQ36" s="4"/>
      <c r="BR36" s="4"/>
      <c r="BS36" s="4"/>
      <c r="BT36" s="55"/>
    </row>
    <row r="37" customFormat="false" ht="15.75" hidden="true" customHeight="true" outlineLevel="0" collapsed="false">
      <c r="B37" s="57"/>
      <c r="C37" s="62"/>
      <c r="D37" s="44"/>
      <c r="E37" s="43"/>
      <c r="F37" s="44"/>
      <c r="G37" s="44"/>
      <c r="H37" s="44"/>
      <c r="I37" s="44"/>
      <c r="J37" s="46"/>
      <c r="K37" s="46"/>
      <c r="L37" s="47"/>
      <c r="M37" s="46"/>
      <c r="N37" s="46"/>
      <c r="O37" s="46"/>
      <c r="P37" s="48"/>
      <c r="Q37" s="48"/>
      <c r="R37" s="48"/>
      <c r="S37" s="49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50"/>
      <c r="AG37" s="50"/>
      <c r="AH37" s="51"/>
      <c r="AI37" s="48"/>
      <c r="AJ37" s="49"/>
      <c r="AK37" s="52"/>
      <c r="AL37" s="48"/>
      <c r="AM37" s="48"/>
      <c r="AN37" s="53"/>
      <c r="AO37" s="53"/>
      <c r="AP37" s="53"/>
      <c r="AQ37" s="48"/>
      <c r="AR37" s="54"/>
      <c r="AS37" s="49"/>
      <c r="AT37" s="48"/>
      <c r="AU37" s="48"/>
      <c r="AV37" s="48"/>
      <c r="AW37" s="48"/>
      <c r="AX37" s="48"/>
      <c r="AY37" s="49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"/>
      <c r="BO37" s="4"/>
      <c r="BP37" s="4"/>
      <c r="BQ37" s="4"/>
      <c r="BR37" s="4"/>
      <c r="BS37" s="4"/>
      <c r="BT37" s="55"/>
    </row>
    <row r="38" customFormat="false" ht="15.75" hidden="true" customHeight="true" outlineLevel="0" collapsed="false">
      <c r="B38" s="57"/>
      <c r="C38" s="62"/>
      <c r="D38" s="44"/>
      <c r="E38" s="43"/>
      <c r="F38" s="44"/>
      <c r="G38" s="44"/>
      <c r="H38" s="44"/>
      <c r="I38" s="44"/>
      <c r="J38" s="46"/>
      <c r="K38" s="46"/>
      <c r="L38" s="47"/>
      <c r="M38" s="46"/>
      <c r="N38" s="46"/>
      <c r="O38" s="46"/>
      <c r="P38" s="48"/>
      <c r="Q38" s="48"/>
      <c r="R38" s="48"/>
      <c r="S38" s="49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50"/>
      <c r="AG38" s="50"/>
      <c r="AH38" s="51"/>
      <c r="AI38" s="48"/>
      <c r="AJ38" s="49"/>
      <c r="AK38" s="52"/>
      <c r="AL38" s="48"/>
      <c r="AM38" s="48"/>
      <c r="AN38" s="53"/>
      <c r="AO38" s="53"/>
      <c r="AP38" s="53"/>
      <c r="AQ38" s="48"/>
      <c r="AR38" s="54"/>
      <c r="AS38" s="49"/>
      <c r="AT38" s="48"/>
      <c r="AU38" s="48"/>
      <c r="AV38" s="48"/>
      <c r="AW38" s="48"/>
      <c r="AX38" s="48"/>
      <c r="AY38" s="49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"/>
      <c r="BO38" s="4"/>
      <c r="BP38" s="4"/>
      <c r="BQ38" s="4"/>
      <c r="BR38" s="4"/>
      <c r="BS38" s="4"/>
      <c r="BT38" s="55"/>
    </row>
    <row r="39" customFormat="false" ht="15.75" hidden="true" customHeight="true" outlineLevel="0" collapsed="false">
      <c r="B39" s="57"/>
      <c r="C39" s="62"/>
      <c r="D39" s="44"/>
      <c r="E39" s="43"/>
      <c r="F39" s="44"/>
      <c r="G39" s="44"/>
      <c r="H39" s="44"/>
      <c r="I39" s="44"/>
      <c r="J39" s="46"/>
      <c r="K39" s="46"/>
      <c r="L39" s="47"/>
      <c r="M39" s="46"/>
      <c r="N39" s="46"/>
      <c r="O39" s="46"/>
      <c r="P39" s="48"/>
      <c r="Q39" s="48"/>
      <c r="R39" s="48"/>
      <c r="S39" s="49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50"/>
      <c r="AG39" s="50"/>
      <c r="AH39" s="51"/>
      <c r="AI39" s="48"/>
      <c r="AJ39" s="49"/>
      <c r="AK39" s="52"/>
      <c r="AL39" s="48"/>
      <c r="AM39" s="48"/>
      <c r="AN39" s="53"/>
      <c r="AO39" s="53"/>
      <c r="AP39" s="53"/>
      <c r="AQ39" s="48"/>
      <c r="AR39" s="54"/>
      <c r="AS39" s="49"/>
      <c r="AT39" s="48"/>
      <c r="AU39" s="48"/>
      <c r="AV39" s="48"/>
      <c r="AW39" s="48"/>
      <c r="AX39" s="48"/>
      <c r="AY39" s="49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"/>
      <c r="BO39" s="4"/>
      <c r="BP39" s="4"/>
      <c r="BQ39" s="4"/>
      <c r="BR39" s="4"/>
      <c r="BS39" s="4"/>
      <c r="BT39" s="55"/>
      <c r="BW39" s="59"/>
    </row>
    <row r="40" customFormat="false" ht="15.75" hidden="true" customHeight="true" outlineLevel="0" collapsed="false">
      <c r="B40" s="57"/>
      <c r="C40" s="62"/>
      <c r="D40" s="44"/>
      <c r="E40" s="43"/>
      <c r="F40" s="44"/>
      <c r="G40" s="44"/>
      <c r="H40" s="44"/>
      <c r="I40" s="44"/>
      <c r="J40" s="46"/>
      <c r="K40" s="46"/>
      <c r="L40" s="47"/>
      <c r="M40" s="46"/>
      <c r="N40" s="46"/>
      <c r="O40" s="46"/>
      <c r="P40" s="48"/>
      <c r="Q40" s="48"/>
      <c r="R40" s="48"/>
      <c r="S40" s="49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50"/>
      <c r="AG40" s="50"/>
      <c r="AH40" s="51"/>
      <c r="AI40" s="48"/>
      <c r="AJ40" s="49"/>
      <c r="AK40" s="52"/>
      <c r="AL40" s="48"/>
      <c r="AM40" s="48"/>
      <c r="AN40" s="53"/>
      <c r="AO40" s="53"/>
      <c r="AP40" s="53"/>
      <c r="AQ40" s="48"/>
      <c r="AR40" s="54"/>
      <c r="AS40" s="49"/>
      <c r="AT40" s="48"/>
      <c r="AU40" s="48"/>
      <c r="AV40" s="48"/>
      <c r="AW40" s="48"/>
      <c r="AX40" s="48"/>
      <c r="AY40" s="49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"/>
      <c r="BO40" s="4"/>
      <c r="BP40" s="4"/>
      <c r="BQ40" s="4"/>
      <c r="BR40" s="4"/>
      <c r="BS40" s="4"/>
      <c r="BT40" s="55"/>
    </row>
    <row r="41" customFormat="false" ht="15.75" hidden="true" customHeight="true" outlineLevel="0" collapsed="false">
      <c r="B41" s="57"/>
      <c r="C41" s="62"/>
      <c r="D41" s="44"/>
      <c r="E41" s="43"/>
      <c r="F41" s="44"/>
      <c r="G41" s="44"/>
      <c r="H41" s="44"/>
      <c r="I41" s="44"/>
      <c r="J41" s="46"/>
      <c r="K41" s="46"/>
      <c r="L41" s="47"/>
      <c r="M41" s="46"/>
      <c r="N41" s="46"/>
      <c r="O41" s="46"/>
      <c r="P41" s="48"/>
      <c r="Q41" s="48"/>
      <c r="R41" s="48"/>
      <c r="S41" s="49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50"/>
      <c r="AG41" s="50"/>
      <c r="AH41" s="51"/>
      <c r="AI41" s="48"/>
      <c r="AJ41" s="49"/>
      <c r="AK41" s="52"/>
      <c r="AL41" s="48"/>
      <c r="AM41" s="48"/>
      <c r="AN41" s="53"/>
      <c r="AO41" s="53"/>
      <c r="AP41" s="53"/>
      <c r="AQ41" s="48"/>
      <c r="AR41" s="54"/>
      <c r="AS41" s="49"/>
      <c r="AT41" s="48"/>
      <c r="AU41" s="48"/>
      <c r="AV41" s="48"/>
      <c r="AW41" s="48"/>
      <c r="AX41" s="48"/>
      <c r="AY41" s="49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"/>
      <c r="BO41" s="4"/>
      <c r="BP41" s="4"/>
      <c r="BQ41" s="4"/>
      <c r="BR41" s="4"/>
      <c r="BS41" s="4"/>
      <c r="BT41" s="55"/>
    </row>
    <row r="42" customFormat="false" ht="15.75" hidden="true" customHeight="true" outlineLevel="0" collapsed="false">
      <c r="B42" s="57"/>
      <c r="C42" s="62"/>
      <c r="D42" s="44"/>
      <c r="E42" s="43"/>
      <c r="F42" s="44"/>
      <c r="G42" s="44"/>
      <c r="H42" s="44"/>
      <c r="I42" s="44"/>
      <c r="J42" s="46"/>
      <c r="K42" s="46"/>
      <c r="L42" s="47"/>
      <c r="M42" s="46"/>
      <c r="N42" s="46"/>
      <c r="O42" s="46"/>
      <c r="P42" s="48"/>
      <c r="Q42" s="48"/>
      <c r="R42" s="48"/>
      <c r="S42" s="49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50"/>
      <c r="AG42" s="50"/>
      <c r="AH42" s="51"/>
      <c r="AI42" s="48"/>
      <c r="AJ42" s="49"/>
      <c r="AK42" s="52"/>
      <c r="AL42" s="48"/>
      <c r="AM42" s="48"/>
      <c r="AN42" s="53"/>
      <c r="AO42" s="53"/>
      <c r="AP42" s="53"/>
      <c r="AQ42" s="48"/>
      <c r="AR42" s="54"/>
      <c r="AS42" s="49"/>
      <c r="AT42" s="48"/>
      <c r="AU42" s="48"/>
      <c r="AV42" s="48"/>
      <c r="AW42" s="48"/>
      <c r="AX42" s="48"/>
      <c r="AY42" s="49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"/>
      <c r="BO42" s="4"/>
      <c r="BP42" s="4"/>
      <c r="BQ42" s="4"/>
      <c r="BR42" s="4"/>
      <c r="BS42" s="4"/>
      <c r="BT42" s="55"/>
    </row>
    <row r="43" customFormat="false" ht="15.75" hidden="true" customHeight="true" outlineLevel="0" collapsed="false">
      <c r="B43" s="57"/>
      <c r="C43" s="62"/>
      <c r="D43" s="44"/>
      <c r="E43" s="43"/>
      <c r="F43" s="44"/>
      <c r="G43" s="44"/>
      <c r="H43" s="44"/>
      <c r="I43" s="44"/>
      <c r="J43" s="46"/>
      <c r="K43" s="46"/>
      <c r="L43" s="47"/>
      <c r="M43" s="46"/>
      <c r="N43" s="46"/>
      <c r="O43" s="46"/>
      <c r="P43" s="48"/>
      <c r="Q43" s="48"/>
      <c r="R43" s="48"/>
      <c r="S43" s="49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50"/>
      <c r="AG43" s="50"/>
      <c r="AH43" s="51"/>
      <c r="AI43" s="48"/>
      <c r="AJ43" s="49"/>
      <c r="AK43" s="52"/>
      <c r="AL43" s="48"/>
      <c r="AM43" s="48"/>
      <c r="AN43" s="53"/>
      <c r="AO43" s="53"/>
      <c r="AP43" s="53"/>
      <c r="AQ43" s="48"/>
      <c r="AR43" s="54"/>
      <c r="AS43" s="49"/>
      <c r="AT43" s="48"/>
      <c r="AU43" s="48"/>
      <c r="AV43" s="48"/>
      <c r="AW43" s="48"/>
      <c r="AX43" s="48"/>
      <c r="AY43" s="49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"/>
      <c r="BO43" s="4"/>
      <c r="BP43" s="4"/>
      <c r="BQ43" s="4"/>
      <c r="BR43" s="4"/>
      <c r="BS43" s="4"/>
      <c r="BT43" s="55"/>
    </row>
    <row r="44" customFormat="false" ht="15.75" hidden="true" customHeight="true" outlineLevel="0" collapsed="false">
      <c r="B44" s="57"/>
      <c r="C44" s="62"/>
      <c r="D44" s="44"/>
      <c r="E44" s="43"/>
      <c r="F44" s="44"/>
      <c r="G44" s="44"/>
      <c r="H44" s="44"/>
      <c r="I44" s="44"/>
      <c r="J44" s="46"/>
      <c r="K44" s="46"/>
      <c r="L44" s="47"/>
      <c r="M44" s="46"/>
      <c r="N44" s="46"/>
      <c r="O44" s="46"/>
      <c r="P44" s="48"/>
      <c r="Q44" s="48"/>
      <c r="R44" s="48"/>
      <c r="S44" s="49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50"/>
      <c r="AG44" s="50"/>
      <c r="AH44" s="51"/>
      <c r="AI44" s="48"/>
      <c r="AJ44" s="49"/>
      <c r="AK44" s="52"/>
      <c r="AL44" s="48"/>
      <c r="AM44" s="48"/>
      <c r="AN44" s="53"/>
      <c r="AO44" s="53"/>
      <c r="AP44" s="53"/>
      <c r="AQ44" s="48"/>
      <c r="AR44" s="54"/>
      <c r="AS44" s="49"/>
      <c r="AT44" s="48"/>
      <c r="AU44" s="48"/>
      <c r="AV44" s="48"/>
      <c r="AW44" s="48"/>
      <c r="AX44" s="48"/>
      <c r="AY44" s="49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"/>
      <c r="BO44" s="4"/>
      <c r="BP44" s="4"/>
      <c r="BQ44" s="4"/>
      <c r="BR44" s="4"/>
      <c r="BS44" s="4"/>
      <c r="BT44" s="55"/>
    </row>
    <row r="45" customFormat="false" ht="15.75" hidden="true" customHeight="true" outlineLevel="0" collapsed="false">
      <c r="B45" s="57"/>
      <c r="C45" s="62"/>
      <c r="D45" s="44"/>
      <c r="E45" s="43"/>
      <c r="F45" s="44"/>
      <c r="G45" s="44"/>
      <c r="H45" s="44"/>
      <c r="I45" s="44"/>
      <c r="J45" s="46"/>
      <c r="K45" s="46"/>
      <c r="L45" s="47"/>
      <c r="M45" s="46"/>
      <c r="N45" s="46"/>
      <c r="O45" s="46"/>
      <c r="P45" s="48"/>
      <c r="Q45" s="48"/>
      <c r="R45" s="48"/>
      <c r="S45" s="49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50"/>
      <c r="AG45" s="50"/>
      <c r="AH45" s="51"/>
      <c r="AI45" s="48"/>
      <c r="AJ45" s="49"/>
      <c r="AK45" s="52"/>
      <c r="AL45" s="48"/>
      <c r="AM45" s="48"/>
      <c r="AN45" s="53"/>
      <c r="AO45" s="53"/>
      <c r="AP45" s="53"/>
      <c r="AQ45" s="48"/>
      <c r="AR45" s="54"/>
      <c r="AS45" s="49"/>
      <c r="AT45" s="48"/>
      <c r="AU45" s="48"/>
      <c r="AV45" s="48"/>
      <c r="AW45" s="48"/>
      <c r="AX45" s="48"/>
      <c r="AY45" s="49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"/>
      <c r="BO45" s="4"/>
      <c r="BP45" s="4"/>
      <c r="BQ45" s="4"/>
      <c r="BR45" s="4"/>
      <c r="BS45" s="4"/>
      <c r="BT45" s="55"/>
    </row>
    <row r="46" customFormat="false" ht="15.75" hidden="true" customHeight="true" outlineLevel="0" collapsed="false">
      <c r="B46" s="57"/>
      <c r="C46" s="62"/>
      <c r="D46" s="44"/>
      <c r="E46" s="43"/>
      <c r="F46" s="44"/>
      <c r="G46" s="44"/>
      <c r="H46" s="44"/>
      <c r="I46" s="44"/>
      <c r="J46" s="46"/>
      <c r="K46" s="46"/>
      <c r="L46" s="47"/>
      <c r="M46" s="46"/>
      <c r="N46" s="46"/>
      <c r="O46" s="46"/>
      <c r="P46" s="48"/>
      <c r="Q46" s="48"/>
      <c r="R46" s="48"/>
      <c r="S46" s="49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65"/>
      <c r="AG46" s="50"/>
      <c r="AH46" s="51"/>
      <c r="AI46" s="48"/>
      <c r="AJ46" s="49"/>
      <c r="AK46" s="52"/>
      <c r="AL46" s="48"/>
      <c r="AM46" s="48"/>
      <c r="AN46" s="53"/>
      <c r="AO46" s="53"/>
      <c r="AP46" s="66"/>
      <c r="AQ46" s="48"/>
      <c r="AR46" s="54"/>
      <c r="AS46" s="49"/>
      <c r="AT46" s="48"/>
      <c r="AU46" s="48"/>
      <c r="AV46" s="48"/>
      <c r="AW46" s="48"/>
      <c r="AX46" s="48"/>
      <c r="AY46" s="49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67"/>
      <c r="BL46" s="48"/>
      <c r="BM46" s="48"/>
      <c r="BN46" s="4"/>
      <c r="BO46" s="4"/>
      <c r="BP46" s="4"/>
      <c r="BQ46" s="4"/>
      <c r="BR46" s="4"/>
      <c r="BS46" s="4"/>
      <c r="BT46" s="55"/>
    </row>
    <row r="47" customFormat="false" ht="15.75" hidden="true" customHeight="true" outlineLevel="0" collapsed="false">
      <c r="B47" s="40"/>
      <c r="C47" s="62"/>
      <c r="D47" s="44"/>
      <c r="E47" s="43"/>
      <c r="F47" s="44"/>
      <c r="G47" s="44"/>
      <c r="H47" s="44"/>
      <c r="I47" s="44"/>
      <c r="J47" s="46"/>
      <c r="K47" s="46"/>
      <c r="L47" s="68"/>
      <c r="M47" s="69"/>
      <c r="N47" s="69"/>
      <c r="O47" s="69"/>
      <c r="P47" s="48"/>
      <c r="Q47" s="48"/>
      <c r="R47" s="48"/>
      <c r="S47" s="49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65"/>
      <c r="AG47" s="50"/>
      <c r="AH47" s="51"/>
      <c r="AI47" s="48"/>
      <c r="AJ47" s="49"/>
      <c r="AK47" s="52"/>
      <c r="AL47" s="48"/>
      <c r="AM47" s="48"/>
      <c r="AN47" s="53"/>
      <c r="AO47" s="53"/>
      <c r="AP47" s="66"/>
      <c r="AQ47" s="48"/>
      <c r="AR47" s="54"/>
      <c r="AS47" s="49"/>
      <c r="AT47" s="48"/>
      <c r="AU47" s="48"/>
      <c r="AV47" s="48"/>
      <c r="AW47" s="48"/>
      <c r="AX47" s="48"/>
      <c r="AY47" s="49"/>
      <c r="AZ47" s="48"/>
      <c r="BA47" s="48"/>
      <c r="BB47" s="48"/>
      <c r="BC47" s="48"/>
      <c r="BD47" s="48"/>
      <c r="BE47" s="67"/>
      <c r="BF47" s="67"/>
      <c r="BG47" s="67"/>
      <c r="BH47" s="67"/>
      <c r="BI47" s="67"/>
      <c r="BJ47" s="67"/>
      <c r="BK47" s="67"/>
      <c r="BL47" s="48"/>
      <c r="BM47" s="48"/>
      <c r="BN47" s="4"/>
      <c r="BO47" s="4"/>
      <c r="BP47" s="4"/>
      <c r="BQ47" s="4"/>
      <c r="BR47" s="4"/>
      <c r="BS47" s="4"/>
      <c r="BT47" s="55"/>
    </row>
    <row r="48" customFormat="false" ht="15.75" hidden="true" customHeight="true" outlineLevel="0" collapsed="false">
      <c r="B48" s="70"/>
      <c r="C48" s="71"/>
      <c r="D48" s="72"/>
      <c r="E48" s="43"/>
      <c r="F48" s="44"/>
      <c r="G48" s="72"/>
      <c r="H48" s="44"/>
      <c r="I48" s="72"/>
      <c r="J48" s="46"/>
      <c r="K48" s="46"/>
      <c r="L48" s="68"/>
      <c r="M48" s="46"/>
      <c r="N48" s="46"/>
      <c r="O48" s="46"/>
      <c r="P48" s="48"/>
      <c r="Q48" s="48"/>
      <c r="R48" s="48"/>
      <c r="S48" s="49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65"/>
      <c r="AG48" s="50"/>
      <c r="AH48" s="51"/>
      <c r="AI48" s="48"/>
      <c r="AJ48" s="49"/>
      <c r="AK48" s="52"/>
      <c r="AL48" s="48"/>
      <c r="AM48" s="48"/>
      <c r="AN48" s="53"/>
      <c r="AO48" s="53"/>
      <c r="AP48" s="66"/>
      <c r="AQ48" s="48"/>
      <c r="AR48" s="54"/>
      <c r="AS48" s="49"/>
      <c r="AT48" s="48"/>
      <c r="AU48" s="67"/>
      <c r="AV48" s="48"/>
      <c r="AW48" s="48"/>
      <c r="AX48" s="48"/>
      <c r="AY48" s="49"/>
      <c r="AZ48" s="48"/>
      <c r="BA48" s="48"/>
      <c r="BB48" s="48"/>
      <c r="BC48" s="67"/>
      <c r="BD48" s="67"/>
      <c r="BE48" s="67"/>
      <c r="BF48" s="67"/>
      <c r="BG48" s="67"/>
      <c r="BH48" s="67"/>
      <c r="BI48" s="67"/>
      <c r="BJ48" s="67"/>
      <c r="BK48" s="67"/>
      <c r="BL48" s="48"/>
      <c r="BM48" s="48"/>
      <c r="BN48" s="4"/>
      <c r="BO48" s="4"/>
      <c r="BP48" s="4"/>
      <c r="BQ48" s="4"/>
      <c r="BR48" s="4"/>
      <c r="BS48" s="4"/>
      <c r="BT48" s="55"/>
    </row>
    <row r="49" customFormat="false" ht="15.75" hidden="true" customHeight="true" outlineLevel="0" collapsed="false">
      <c r="A49" s="39"/>
      <c r="B49" s="40"/>
      <c r="C49" s="62"/>
      <c r="D49" s="44"/>
      <c r="E49" s="43"/>
      <c r="F49" s="44"/>
      <c r="G49" s="44"/>
      <c r="H49" s="44"/>
      <c r="I49" s="44"/>
      <c r="J49" s="46"/>
      <c r="K49" s="46"/>
      <c r="L49" s="68"/>
      <c r="M49" s="46"/>
      <c r="N49" s="46"/>
      <c r="O49" s="46"/>
      <c r="P49" s="48"/>
      <c r="Q49" s="48"/>
      <c r="R49" s="48"/>
      <c r="S49" s="49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65"/>
      <c r="AG49" s="50"/>
      <c r="AH49" s="51"/>
      <c r="AI49" s="48"/>
      <c r="AJ49" s="49"/>
      <c r="AK49" s="52"/>
      <c r="AL49" s="48"/>
      <c r="AM49" s="48"/>
      <c r="AN49" s="53"/>
      <c r="AO49" s="53"/>
      <c r="AP49" s="66"/>
      <c r="AQ49" s="48"/>
      <c r="AR49" s="54"/>
      <c r="AS49" s="49"/>
      <c r="AT49" s="48"/>
      <c r="AU49" s="67"/>
      <c r="AV49" s="48"/>
      <c r="AW49" s="48"/>
      <c r="AX49" s="48"/>
      <c r="AY49" s="49"/>
      <c r="AZ49" s="48"/>
      <c r="BA49" s="48"/>
      <c r="BB49" s="48"/>
      <c r="BC49" s="67"/>
      <c r="BD49" s="67"/>
      <c r="BE49" s="67"/>
      <c r="BF49" s="67"/>
      <c r="BG49" s="67"/>
      <c r="BH49" s="67"/>
      <c r="BI49" s="67"/>
      <c r="BJ49" s="67"/>
      <c r="BK49" s="67"/>
      <c r="BL49" s="48"/>
      <c r="BM49" s="48"/>
      <c r="BN49" s="4"/>
      <c r="BO49" s="4"/>
      <c r="BP49" s="4"/>
      <c r="BQ49" s="4"/>
      <c r="BR49" s="4"/>
      <c r="BS49" s="4"/>
      <c r="BT49" s="55"/>
    </row>
    <row r="50" customFormat="false" ht="15.75" hidden="true" customHeight="true" outlineLevel="0" collapsed="false">
      <c r="A50" s="39"/>
      <c r="B50" s="40"/>
      <c r="C50" s="62"/>
      <c r="D50" s="44"/>
      <c r="E50" s="43"/>
      <c r="F50" s="44"/>
      <c r="G50" s="44"/>
      <c r="H50" s="44"/>
      <c r="I50" s="44"/>
      <c r="J50" s="46"/>
      <c r="K50" s="46"/>
      <c r="L50" s="68"/>
      <c r="M50" s="46"/>
      <c r="N50" s="46"/>
      <c r="O50" s="46"/>
      <c r="P50" s="48"/>
      <c r="Q50" s="48"/>
      <c r="R50" s="48"/>
      <c r="S50" s="49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65"/>
      <c r="AG50" s="50"/>
      <c r="AH50" s="51"/>
      <c r="AI50" s="48"/>
      <c r="AJ50" s="49"/>
      <c r="AK50" s="52"/>
      <c r="AL50" s="48"/>
      <c r="AM50" s="48"/>
      <c r="AN50" s="53"/>
      <c r="AO50" s="53"/>
      <c r="AP50" s="66"/>
      <c r="AQ50" s="48"/>
      <c r="AR50" s="54"/>
      <c r="AS50" s="49"/>
      <c r="AT50" s="48"/>
      <c r="AU50" s="67"/>
      <c r="AV50" s="48"/>
      <c r="AW50" s="48"/>
      <c r="AX50" s="48"/>
      <c r="AY50" s="49"/>
      <c r="AZ50" s="48"/>
      <c r="BA50" s="48"/>
      <c r="BB50" s="48"/>
      <c r="BC50" s="67"/>
      <c r="BD50" s="67"/>
      <c r="BE50" s="67"/>
      <c r="BF50" s="67"/>
      <c r="BG50" s="67"/>
      <c r="BH50" s="67"/>
      <c r="BI50" s="67"/>
      <c r="BJ50" s="67"/>
      <c r="BK50" s="67"/>
      <c r="BL50" s="48"/>
      <c r="BM50" s="48"/>
      <c r="BN50" s="4"/>
      <c r="BO50" s="4"/>
      <c r="BP50" s="4"/>
      <c r="BQ50" s="4"/>
      <c r="BR50" s="4"/>
      <c r="BS50" s="4"/>
      <c r="BT50" s="55"/>
    </row>
    <row r="51" customFormat="false" ht="15.75" hidden="true" customHeight="true" outlineLevel="0" collapsed="false">
      <c r="A51" s="39"/>
      <c r="B51" s="40"/>
      <c r="C51" s="62"/>
      <c r="D51" s="44"/>
      <c r="E51" s="43"/>
      <c r="F51" s="44"/>
      <c r="G51" s="44"/>
      <c r="H51" s="44"/>
      <c r="I51" s="44"/>
      <c r="J51" s="46"/>
      <c r="K51" s="46"/>
      <c r="L51" s="68"/>
      <c r="M51" s="46"/>
      <c r="N51" s="46"/>
      <c r="O51" s="46"/>
      <c r="P51" s="48"/>
      <c r="Q51" s="48"/>
      <c r="R51" s="48"/>
      <c r="S51" s="49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65"/>
      <c r="AG51" s="50"/>
      <c r="AH51" s="51"/>
      <c r="AI51" s="48"/>
      <c r="AJ51" s="49"/>
      <c r="AK51" s="52"/>
      <c r="AL51" s="48"/>
      <c r="AM51" s="48"/>
      <c r="AN51" s="53"/>
      <c r="AO51" s="53"/>
      <c r="AP51" s="66"/>
      <c r="AQ51" s="48"/>
      <c r="AR51" s="54"/>
      <c r="AS51" s="49"/>
      <c r="AT51" s="48"/>
      <c r="AU51" s="67"/>
      <c r="AV51" s="48"/>
      <c r="AW51" s="48"/>
      <c r="AX51" s="48"/>
      <c r="AY51" s="49"/>
      <c r="AZ51" s="48"/>
      <c r="BA51" s="48"/>
      <c r="BB51" s="48"/>
      <c r="BC51" s="67"/>
      <c r="BD51" s="67"/>
      <c r="BE51" s="67"/>
      <c r="BF51" s="67"/>
      <c r="BG51" s="67"/>
      <c r="BH51" s="67"/>
      <c r="BI51" s="67"/>
      <c r="BJ51" s="67"/>
      <c r="BK51" s="67"/>
      <c r="BL51" s="48"/>
      <c r="BM51" s="48"/>
      <c r="BN51" s="4"/>
      <c r="BO51" s="4"/>
      <c r="BP51" s="4"/>
      <c r="BQ51" s="4"/>
      <c r="BR51" s="4"/>
      <c r="BS51" s="4"/>
      <c r="BT51" s="55"/>
    </row>
    <row r="52" customFormat="false" ht="15.75" hidden="true" customHeight="true" outlineLevel="0" collapsed="false">
      <c r="A52" s="39"/>
      <c r="B52" s="40"/>
      <c r="C52" s="62"/>
      <c r="D52" s="44"/>
      <c r="E52" s="43"/>
      <c r="F52" s="44"/>
      <c r="G52" s="44"/>
      <c r="H52" s="44"/>
      <c r="I52" s="44"/>
      <c r="J52" s="46"/>
      <c r="K52" s="46"/>
      <c r="L52" s="68"/>
      <c r="M52" s="46"/>
      <c r="N52" s="46"/>
      <c r="O52" s="46"/>
      <c r="P52" s="48"/>
      <c r="Q52" s="48"/>
      <c r="R52" s="48"/>
      <c r="S52" s="49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65"/>
      <c r="AG52" s="50"/>
      <c r="AH52" s="51"/>
      <c r="AI52" s="48"/>
      <c r="AJ52" s="49"/>
      <c r="AK52" s="52"/>
      <c r="AL52" s="48"/>
      <c r="AM52" s="48"/>
      <c r="AN52" s="53"/>
      <c r="AO52" s="53"/>
      <c r="AP52" s="66"/>
      <c r="AQ52" s="48"/>
      <c r="AR52" s="54"/>
      <c r="AS52" s="49"/>
      <c r="AT52" s="48"/>
      <c r="AU52" s="67"/>
      <c r="AV52" s="48"/>
      <c r="AW52" s="48"/>
      <c r="AX52" s="48"/>
      <c r="AY52" s="49"/>
      <c r="AZ52" s="48"/>
      <c r="BA52" s="48"/>
      <c r="BB52" s="48"/>
      <c r="BC52" s="67"/>
      <c r="BD52" s="67"/>
      <c r="BE52" s="67"/>
      <c r="BF52" s="67"/>
      <c r="BG52" s="67"/>
      <c r="BH52" s="67"/>
      <c r="BI52" s="67"/>
      <c r="BJ52" s="67"/>
      <c r="BK52" s="67"/>
      <c r="BL52" s="48"/>
      <c r="BM52" s="48"/>
      <c r="BN52" s="4"/>
      <c r="BO52" s="4"/>
      <c r="BP52" s="4"/>
      <c r="BQ52" s="4"/>
      <c r="BR52" s="4"/>
      <c r="BS52" s="4"/>
      <c r="BT52" s="55"/>
    </row>
    <row r="53" customFormat="false" ht="15.75" hidden="true" customHeight="true" outlineLevel="0" collapsed="false">
      <c r="A53" s="39"/>
      <c r="B53" s="40"/>
      <c r="C53" s="62"/>
      <c r="D53" s="44"/>
      <c r="E53" s="43"/>
      <c r="F53" s="44"/>
      <c r="G53" s="44"/>
      <c r="H53" s="44"/>
      <c r="I53" s="44"/>
      <c r="J53" s="46"/>
      <c r="K53" s="46"/>
      <c r="L53" s="68"/>
      <c r="M53" s="46"/>
      <c r="N53" s="46"/>
      <c r="O53" s="46"/>
      <c r="P53" s="48"/>
      <c r="Q53" s="48"/>
      <c r="R53" s="48"/>
      <c r="S53" s="49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65"/>
      <c r="AG53" s="50"/>
      <c r="AH53" s="51"/>
      <c r="AI53" s="48"/>
      <c r="AJ53" s="49"/>
      <c r="AK53" s="52"/>
      <c r="AL53" s="48"/>
      <c r="AM53" s="48"/>
      <c r="AN53" s="53"/>
      <c r="AO53" s="53"/>
      <c r="AP53" s="66"/>
      <c r="AQ53" s="48"/>
      <c r="AR53" s="54"/>
      <c r="AS53" s="49"/>
      <c r="AT53" s="48"/>
      <c r="AU53" s="67"/>
      <c r="AV53" s="48"/>
      <c r="AW53" s="48"/>
      <c r="AX53" s="48"/>
      <c r="AY53" s="49"/>
      <c r="AZ53" s="48"/>
      <c r="BA53" s="48"/>
      <c r="BB53" s="48"/>
      <c r="BC53" s="67"/>
      <c r="BD53" s="67"/>
      <c r="BE53" s="67"/>
      <c r="BF53" s="67"/>
      <c r="BG53" s="67"/>
      <c r="BH53" s="67"/>
      <c r="BI53" s="67"/>
      <c r="BJ53" s="67"/>
      <c r="BK53" s="67"/>
      <c r="BL53" s="48"/>
      <c r="BM53" s="48"/>
      <c r="BN53" s="4"/>
      <c r="BO53" s="4"/>
      <c r="BP53" s="4"/>
      <c r="BQ53" s="4"/>
      <c r="BR53" s="4"/>
      <c r="BS53" s="4"/>
      <c r="BT53" s="55"/>
    </row>
    <row r="54" customFormat="false" ht="15.75" hidden="true" customHeight="true" outlineLevel="0" collapsed="false">
      <c r="A54" s="39"/>
      <c r="B54" s="40"/>
      <c r="C54" s="62"/>
      <c r="D54" s="44"/>
      <c r="E54" s="43"/>
      <c r="F54" s="44"/>
      <c r="G54" s="44"/>
      <c r="H54" s="44"/>
      <c r="I54" s="44"/>
      <c r="J54" s="46"/>
      <c r="K54" s="46"/>
      <c r="L54" s="68"/>
      <c r="M54" s="46"/>
      <c r="N54" s="46"/>
      <c r="O54" s="46"/>
      <c r="P54" s="48"/>
      <c r="Q54" s="48"/>
      <c r="R54" s="48"/>
      <c r="S54" s="49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65"/>
      <c r="AG54" s="50"/>
      <c r="AH54" s="51"/>
      <c r="AI54" s="48"/>
      <c r="AJ54" s="49"/>
      <c r="AK54" s="52"/>
      <c r="AL54" s="48"/>
      <c r="AM54" s="48"/>
      <c r="AN54" s="53"/>
      <c r="AO54" s="53"/>
      <c r="AP54" s="66"/>
      <c r="AQ54" s="48"/>
      <c r="AR54" s="54"/>
      <c r="AS54" s="49"/>
      <c r="AT54" s="48"/>
      <c r="AU54" s="67"/>
      <c r="AV54" s="48"/>
      <c r="AW54" s="48"/>
      <c r="AX54" s="48"/>
      <c r="AY54" s="49"/>
      <c r="AZ54" s="48"/>
      <c r="BA54" s="48"/>
      <c r="BB54" s="48"/>
      <c r="BC54" s="67"/>
      <c r="BD54" s="67"/>
      <c r="BE54" s="67"/>
      <c r="BF54" s="67"/>
      <c r="BG54" s="67"/>
      <c r="BH54" s="67"/>
      <c r="BI54" s="67"/>
      <c r="BJ54" s="67"/>
      <c r="BK54" s="67"/>
      <c r="BL54" s="48"/>
      <c r="BM54" s="48"/>
      <c r="BN54" s="4"/>
      <c r="BO54" s="4"/>
      <c r="BP54" s="4"/>
      <c r="BQ54" s="4"/>
      <c r="BR54" s="4"/>
      <c r="BS54" s="4"/>
      <c r="BT54" s="55"/>
    </row>
    <row r="55" customFormat="false" ht="15.75" hidden="true" customHeight="true" outlineLevel="0" collapsed="false">
      <c r="A55" s="39"/>
      <c r="B55" s="40"/>
      <c r="C55" s="62"/>
      <c r="D55" s="44"/>
      <c r="E55" s="43"/>
      <c r="F55" s="44"/>
      <c r="G55" s="44"/>
      <c r="H55" s="44"/>
      <c r="I55" s="44"/>
      <c r="J55" s="46"/>
      <c r="K55" s="46"/>
      <c r="L55" s="73"/>
      <c r="M55" s="74"/>
      <c r="N55" s="74"/>
      <c r="O55" s="74"/>
      <c r="P55" s="48"/>
      <c r="Q55" s="48"/>
      <c r="R55" s="48"/>
      <c r="S55" s="49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65"/>
      <c r="AG55" s="50"/>
      <c r="AH55" s="51"/>
      <c r="AI55" s="48"/>
      <c r="AJ55" s="49"/>
      <c r="AK55" s="52"/>
      <c r="AL55" s="48"/>
      <c r="AM55" s="48"/>
      <c r="AN55" s="53"/>
      <c r="AO55" s="53"/>
      <c r="AP55" s="66"/>
      <c r="AQ55" s="48"/>
      <c r="AR55" s="54"/>
      <c r="AS55" s="49"/>
      <c r="AT55" s="48"/>
      <c r="AU55" s="67"/>
      <c r="AV55" s="48"/>
      <c r="AW55" s="48"/>
      <c r="AX55" s="48"/>
      <c r="AY55" s="49"/>
      <c r="AZ55" s="48"/>
      <c r="BA55" s="48"/>
      <c r="BB55" s="48"/>
      <c r="BC55" s="67"/>
      <c r="BD55" s="67"/>
      <c r="BE55" s="67"/>
      <c r="BF55" s="67"/>
      <c r="BG55" s="67"/>
      <c r="BH55" s="67"/>
      <c r="BI55" s="67"/>
      <c r="BJ55" s="67"/>
      <c r="BK55" s="67"/>
      <c r="BL55" s="48"/>
      <c r="BM55" s="48"/>
      <c r="BN55" s="4"/>
      <c r="BO55" s="4"/>
      <c r="BP55" s="4"/>
      <c r="BQ55" s="4"/>
      <c r="BR55" s="4"/>
      <c r="BS55" s="4"/>
      <c r="BT55" s="55"/>
    </row>
    <row r="56" customFormat="false" ht="16.5" hidden="false" customHeight="true" outlineLevel="0" collapsed="false">
      <c r="C56" s="75" t="s">
        <v>177</v>
      </c>
      <c r="D56" s="76"/>
      <c r="E56" s="76"/>
      <c r="F56" s="76"/>
      <c r="G56" s="76"/>
      <c r="H56" s="76"/>
      <c r="I56" s="76"/>
      <c r="J56" s="27"/>
      <c r="K56" s="27"/>
      <c r="L56" s="27"/>
      <c r="M56" s="27"/>
      <c r="N56" s="27"/>
      <c r="O56" s="27"/>
      <c r="P56" s="77" t="n">
        <f aca="false">SUM(P4:P55)</f>
        <v>5260.89471153846</v>
      </c>
      <c r="Q56" s="77" t="n">
        <f aca="false">SUM(Q4:Q55)</f>
        <v>1578.26841346154</v>
      </c>
      <c r="R56" s="77" t="n">
        <f aca="false">SUM(R4:R55)</f>
        <v>25507992.406279</v>
      </c>
      <c r="S56" s="77" t="n">
        <f aca="false">SUM(S4:S55)</f>
        <v>36439989.1518271</v>
      </c>
      <c r="T56" s="77" t="n">
        <f aca="false">SUM(T4:T55)</f>
        <v>1315.22367788462</v>
      </c>
      <c r="U56" s="77" t="n">
        <f aca="false">SUM(U4:U55)</f>
        <v>197.635884615385</v>
      </c>
      <c r="V56" s="77" t="n">
        <f aca="false">SUM(V4:V55)</f>
        <v>2.60644230769231</v>
      </c>
      <c r="W56" s="77" t="n">
        <f aca="false">SUM(W4:W55)</f>
        <v>10000</v>
      </c>
      <c r="X56" s="77" t="n">
        <f aca="false">SUM(X4:X55)</f>
        <v>2000</v>
      </c>
      <c r="Y56" s="77" t="n">
        <f aca="false">SUM(Y4:Y55)</f>
        <v>0</v>
      </c>
      <c r="Z56" s="77" t="n">
        <f aca="false">SUM(Z4:Z55)</f>
        <v>25.9110576923077</v>
      </c>
      <c r="AA56" s="77" t="n">
        <f aca="false">SUM(AA4:AA55)</f>
        <v>0</v>
      </c>
      <c r="AB56" s="77" t="n">
        <f aca="false">SUM(AB4:AB55)</f>
        <v>10</v>
      </c>
      <c r="AC56" s="77" t="n">
        <f aca="false">SUM(AC4:AC55)</f>
        <v>0</v>
      </c>
      <c r="AD56" s="77" t="n">
        <f aca="false">SUM(AD4:AD55)</f>
        <v>0</v>
      </c>
      <c r="AE56" s="77" t="n">
        <f aca="false">SUM(AE4:AE55)</f>
        <v>0</v>
      </c>
      <c r="AF56" s="77" t="n">
        <f aca="false">SUM(AF4:AF55)</f>
        <v>0</v>
      </c>
      <c r="AG56" s="77" t="n">
        <f aca="false">SUM(AG4:AG55)</f>
        <v>3.30722366279172</v>
      </c>
      <c r="AH56" s="77" t="n">
        <f aca="false">SUM(AH4:AH55)</f>
        <v>47128455.1364409</v>
      </c>
      <c r="AI56" s="77" t="n">
        <f aca="false">SUM(AI4:AI55)</f>
        <v>2040.68153221154</v>
      </c>
      <c r="AJ56" s="77" t="n">
        <f aca="false">SUM(AJ4:AJ55)</f>
        <v>32993518.5955087</v>
      </c>
      <c r="AK56" s="77" t="n">
        <f aca="false">SUM(AK4:AK55)</f>
        <v>256528.305</v>
      </c>
      <c r="AL56" s="77" t="n">
        <f aca="false">SUM(AL4:AL55)</f>
        <v>11.1106103586759</v>
      </c>
      <c r="AM56" s="77" t="n">
        <f aca="false">SUM(AM4:AM55)</f>
        <v>179569.8135</v>
      </c>
      <c r="AN56" s="77" t="n">
        <f aca="false">SUM(AN4:AN55)</f>
        <v>0</v>
      </c>
      <c r="AO56" s="77" t="n">
        <f aca="false">SUM(AO4:AO55)</f>
        <v>109319.967455481</v>
      </c>
      <c r="AP56" s="77" t="n">
        <f aca="false">SUM(AP4:AP55)</f>
        <v>0</v>
      </c>
      <c r="AQ56" s="77" t="n">
        <f aca="false">SUM(AQ4:AQ55)</f>
        <v>2029.57092185286</v>
      </c>
      <c r="AR56" s="77" t="n">
        <f aca="false">SUM(AR4:AR55)</f>
        <v>32704628.8145532</v>
      </c>
      <c r="AS56" s="77" t="n">
        <f aca="false">SUM(AS4:AS55)</f>
        <v>6751.18617965225</v>
      </c>
      <c r="AT56" s="77" t="n">
        <f aca="false">SUM(AT4:AT55)</f>
        <v>1306.28731509221</v>
      </c>
      <c r="AU56" s="77" t="n">
        <f aca="false">SUM(AU4:AU55)</f>
        <v>0</v>
      </c>
      <c r="AV56" s="77" t="n">
        <f aca="false">SUM(AV4:AV55)</f>
        <v>1306.28731509221</v>
      </c>
      <c r="AW56" s="77" t="n">
        <f aca="false">SUM(AW4:AW55)</f>
        <v>392.687878649081</v>
      </c>
      <c r="AX56" s="77" t="n">
        <f aca="false">SUM(AX4:AX55)</f>
        <v>11.7806363594724</v>
      </c>
      <c r="AY56" s="77" t="n">
        <f aca="false">SUM(AY4:AY55)</f>
        <v>6328116.29552029</v>
      </c>
      <c r="AZ56" s="77" t="n">
        <f aca="false">SUM(AZ4:AZ55)</f>
        <v>189843.488865609</v>
      </c>
      <c r="BA56" s="77" t="n">
        <f aca="false">SUM(BA4:BA55)</f>
        <v>1625.10240684431</v>
      </c>
      <c r="BB56" s="77" t="n">
        <f aca="false">SUM(BB4:BB55)</f>
        <v>26186669.0301673</v>
      </c>
      <c r="BC56" s="77" t="n">
        <f aca="false">SUM(BC4:BC55)</f>
        <v>31051.59</v>
      </c>
      <c r="BD56" s="77" t="n">
        <f aca="false">SUM(BD4:BD55)</f>
        <v>0</v>
      </c>
      <c r="BE56" s="77" t="n">
        <f aca="false">SUM(BE4:BE55)</f>
        <v>0</v>
      </c>
      <c r="BF56" s="77"/>
      <c r="BG56" s="77" t="n">
        <f aca="false">SUM(BG4:BG55)</f>
        <v>0</v>
      </c>
      <c r="BH56" s="77"/>
      <c r="BI56" s="77"/>
      <c r="BJ56" s="77" t="n">
        <f aca="false">SUM(BJ4:BJ55)</f>
        <v>0</v>
      </c>
      <c r="BK56" s="77" t="n">
        <f aca="false">SUM(BK4:BK55)</f>
        <v>10</v>
      </c>
      <c r="BL56" s="77" t="n">
        <f aca="false">SUM(BL4:BL55)</f>
        <v>1615.10240684431</v>
      </c>
      <c r="BM56" s="77" t="n">
        <f aca="false">SUM(BM4:BM55)</f>
        <v>26155617.4401673</v>
      </c>
      <c r="BN56" s="77" t="n">
        <f aca="false">SUM(BN4:BN55)</f>
        <v>0</v>
      </c>
      <c r="BO56" s="77" t="n">
        <f aca="false">SUM(BO4:BO55)</f>
        <v>0</v>
      </c>
      <c r="BP56" s="77" t="n">
        <f aca="false">SUM(BP4:BP55)</f>
        <v>1070.34269401732</v>
      </c>
      <c r="BQ56" s="77" t="n">
        <f aca="false">SUM(BQ4:BQ55)</f>
        <v>235.944621074892</v>
      </c>
      <c r="BR56" s="77" t="n">
        <f aca="false">SUM(BR4:BR55)</f>
        <v>0</v>
      </c>
      <c r="BS56" s="77" t="n">
        <f aca="false">SUM(BS4:BS55)</f>
        <v>0</v>
      </c>
      <c r="BT56" s="77" t="n">
        <f aca="false">SUM(BT4:BT55)</f>
        <v>1306.28731509221</v>
      </c>
      <c r="CA56" s="78" t="n">
        <f aca="false">SUM(CA4:CA55)</f>
        <v>131.82</v>
      </c>
      <c r="CB56" s="78" t="n">
        <f aca="false">SUM(CB4:CB55)</f>
        <v>27.5</v>
      </c>
      <c r="CC56" s="78" t="n">
        <f aca="false">SUM(CC4:CC55)</f>
        <v>15</v>
      </c>
      <c r="CD56" s="78" t="n">
        <f aca="false">SUM(CD4:CD55)</f>
        <v>144.32</v>
      </c>
    </row>
    <row r="57" customFormat="false" ht="15.75" hidden="false" customHeight="true" outlineLevel="0" collapsed="false"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customFormat="false" ht="15" hidden="false" customHeight="false" outlineLevel="0" collapsed="false">
      <c r="T58" s="3"/>
      <c r="V58" s="3"/>
    </row>
    <row r="61" customFormat="false" ht="15" hidden="false" customHeight="false" outlineLevel="0" collapsed="false">
      <c r="E61" s="79"/>
    </row>
  </sheetData>
  <mergeCells count="14">
    <mergeCell ref="P2:S2"/>
    <mergeCell ref="T2:V2"/>
    <mergeCell ref="W2:X2"/>
    <mergeCell ref="AH2:AJ2"/>
    <mergeCell ref="AK2:AO2"/>
    <mergeCell ref="AQ2:AR2"/>
    <mergeCell ref="AW2:AX2"/>
    <mergeCell ref="AY2:AZ2"/>
    <mergeCell ref="BA2:BB2"/>
    <mergeCell ref="BC2:BK2"/>
    <mergeCell ref="BL2:BM2"/>
    <mergeCell ref="BU2:BW2"/>
    <mergeCell ref="BX2:BZ2"/>
    <mergeCell ref="CA2:CD2"/>
  </mergeCells>
  <conditionalFormatting sqref="BU4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R58" activeCellId="0" sqref="R5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23.29"/>
    <col collapsed="false" customWidth="true" hidden="false" outlineLevel="0" max="3" min="3" style="1" width="1.14"/>
    <col collapsed="false" customWidth="true" hidden="false" outlineLevel="0" max="4" min="4" style="1" width="28"/>
    <col collapsed="false" customWidth="true" hidden="false" outlineLevel="0" max="5" min="5" style="1" width="5.71"/>
    <col collapsed="false" customWidth="true" hidden="false" outlineLevel="0" max="6" min="6" style="1" width="10.85"/>
    <col collapsed="false" customWidth="true" hidden="false" outlineLevel="0" max="7" min="7" style="1" width="15.14"/>
    <col collapsed="false" customWidth="true" hidden="false" outlineLevel="0" max="8" min="8" style="1" width="1.14"/>
    <col collapsed="false" customWidth="true" hidden="false" outlineLevel="0" max="9" min="9" style="1" width="18.14"/>
    <col collapsed="false" customWidth="true" hidden="false" outlineLevel="0" max="10" min="10" style="1" width="10.57"/>
    <col collapsed="false" customWidth="true" hidden="false" outlineLevel="0" max="11" min="11" style="1" width="15.29"/>
    <col collapsed="false" customWidth="true" hidden="true" outlineLevel="0" max="13" min="12" style="1" width="12.29"/>
    <col collapsed="false" customWidth="true" hidden="true" outlineLevel="0" max="14" min="14" style="1" width="13.29"/>
    <col collapsed="false" customWidth="true" hidden="true" outlineLevel="0" max="15" min="15" style="1" width="9.14"/>
  </cols>
  <sheetData>
    <row r="1" customFormat="false" ht="21" hidden="false" customHeight="true" outlineLevel="0" collapsed="false">
      <c r="A1" s="80" t="s">
        <v>178</v>
      </c>
      <c r="B1" s="80"/>
      <c r="C1" s="80"/>
      <c r="D1" s="80"/>
      <c r="E1" s="80"/>
      <c r="F1" s="80"/>
      <c r="G1" s="80"/>
      <c r="H1" s="80"/>
      <c r="I1" s="80"/>
      <c r="J1" s="80"/>
      <c r="K1" s="80"/>
      <c r="M1" s="81" t="s">
        <v>1</v>
      </c>
      <c r="N1" s="81" t="n">
        <v>6926.5764</v>
      </c>
    </row>
    <row r="2" customFormat="false" ht="21" hidden="false" customHeight="true" outlineLevel="0" collapsed="false">
      <c r="A2" s="82" t="s">
        <v>179</v>
      </c>
      <c r="B2" s="82"/>
      <c r="C2" s="83"/>
      <c r="D2" s="84" t="s">
        <v>180</v>
      </c>
      <c r="E2" s="85" t="s">
        <v>181</v>
      </c>
      <c r="F2" s="86" t="s">
        <v>182</v>
      </c>
      <c r="G2" s="86"/>
      <c r="H2" s="87"/>
      <c r="I2" s="88" t="s">
        <v>183</v>
      </c>
      <c r="J2" s="86" t="s">
        <v>184</v>
      </c>
      <c r="K2" s="86"/>
      <c r="M2" s="59" t="s">
        <v>185</v>
      </c>
      <c r="N2" s="1" t="n">
        <v>73</v>
      </c>
      <c r="O2" s="1" t="str">
        <f aca="false">CONCATENATE(M2,N2)</f>
        <v>CA73</v>
      </c>
    </row>
    <row r="3" customFormat="false" ht="21" hidden="false" customHeight="true" outlineLevel="0" collapsed="false">
      <c r="A3" s="89" t="e">
        <f aca="false">VLOOKUP(B4,Paysheet!$A$4:$CD$55,COLUMN(Paysheet!B5),FALSE())</f>
        <v>#N/A</v>
      </c>
      <c r="B3" s="90" t="e">
        <f aca="false">VLOOKUP(B4,Paysheet!$A$4:$CD$55,COLUMN(Paysheet!C5),FALSE())</f>
        <v>#N/A</v>
      </c>
      <c r="C3" s="91"/>
      <c r="D3" s="84"/>
      <c r="E3" s="60"/>
      <c r="F3" s="85" t="s">
        <v>186</v>
      </c>
      <c r="G3" s="92" t="s">
        <v>22</v>
      </c>
      <c r="H3" s="93"/>
      <c r="I3" s="88"/>
      <c r="J3" s="94" t="s">
        <v>23</v>
      </c>
      <c r="K3" s="95" t="s">
        <v>22</v>
      </c>
      <c r="M3" s="96" t="s">
        <v>185</v>
      </c>
      <c r="N3" s="1" t="n">
        <v>76</v>
      </c>
      <c r="O3" s="1" t="str">
        <f aca="false">CONCATENATE(M3,N3)</f>
        <v>CA76</v>
      </c>
    </row>
    <row r="4" customFormat="false" ht="21" hidden="false" customHeight="true" outlineLevel="0" collapsed="false">
      <c r="A4" s="97" t="s">
        <v>187</v>
      </c>
      <c r="B4" s="98" t="str">
        <f aca="false">O2</f>
        <v>CA73</v>
      </c>
      <c r="C4" s="99"/>
      <c r="D4" s="100" t="s">
        <v>188</v>
      </c>
      <c r="E4" s="101" t="e">
        <f aca="false">VLOOKUP(B4,Paysheet!$A$4:$CD$55,COLUMN(Paysheet!L6),FALSE())</f>
        <v>#N/A</v>
      </c>
      <c r="F4" s="102" t="e">
        <f aca="false">VLOOKUP(B4,Paysheet!$A$4:$CD$55,COLUMN(Paysheet!Q6),FALSE())</f>
        <v>#N/A</v>
      </c>
      <c r="G4" s="103" t="e">
        <f aca="false">VLOOKUP(B4,Paysheet!$A$4:$CD$55,COLUMN(Paysheet!R6),FALSE())</f>
        <v>#N/A</v>
      </c>
      <c r="H4" s="104"/>
      <c r="I4" s="105" t="s">
        <v>189</v>
      </c>
      <c r="J4" s="105" t="e">
        <f aca="false">VLOOKUP(B4,Paysheet!$A$4:$CD$55,COLUMN(Paysheet!AW6),FALSE())</f>
        <v>#N/A</v>
      </c>
      <c r="K4" s="103" t="e">
        <f aca="false">VLOOKUP(B4,Paysheet!$A$4:$CD$55,COLUMN(Paysheet!AY6),FALSE())</f>
        <v>#N/A</v>
      </c>
      <c r="M4" s="96" t="s">
        <v>185</v>
      </c>
      <c r="N4" s="1" t="n">
        <v>0</v>
      </c>
      <c r="O4" s="1" t="str">
        <f aca="false">CONCATENATE(M4,N4)</f>
        <v>CA0</v>
      </c>
    </row>
    <row r="5" customFormat="false" ht="21" hidden="false" customHeight="true" outlineLevel="0" collapsed="false">
      <c r="A5" s="97" t="s">
        <v>35</v>
      </c>
      <c r="B5" s="106" t="e">
        <f aca="false">VLOOKUP(B4,Paysheet!$A$4:$CD$55,COLUMN(Paysheet!K7),FALSE())</f>
        <v>#N/A</v>
      </c>
      <c r="C5" s="99"/>
      <c r="D5" s="107" t="s">
        <v>190</v>
      </c>
      <c r="E5" s="108"/>
      <c r="F5" s="102" t="e">
        <f aca="false">VLOOKUP(B4,Paysheet!$A$4:$CD$55,COLUMN(Paysheet!T7),FALSE())*0.3</f>
        <v>#N/A</v>
      </c>
      <c r="G5" s="102" t="e">
        <f aca="false">VLOOKUP(B4,Paysheet!$A$4:$CD$55,COLUMN(Paysheet!T7),FALSE())*0.7*N1</f>
        <v>#N/A</v>
      </c>
      <c r="H5" s="109"/>
      <c r="I5" s="102" t="s">
        <v>63</v>
      </c>
      <c r="J5" s="102" t="e">
        <f aca="false">VLOOKUP(B4,Paysheet!$A$4:$CD$55,COLUMN(Paysheet!AX7),FALSE())</f>
        <v>#N/A</v>
      </c>
      <c r="K5" s="110" t="e">
        <f aca="false">VLOOKUP(B4,Paysheet!$A$4:$CD$55,COLUMN(Paysheet!AZ7),FALSE())</f>
        <v>#N/A</v>
      </c>
    </row>
    <row r="6" customFormat="false" ht="21" hidden="false" customHeight="true" outlineLevel="0" collapsed="false">
      <c r="A6" s="97" t="s">
        <v>191</v>
      </c>
      <c r="B6" s="106" t="e">
        <f aca="false">VLOOKUP(B4,Paysheet!$A$4:$CD$55,COLUMN(Paysheet!D8),FALSE())</f>
        <v>#N/A</v>
      </c>
      <c r="C6" s="99"/>
      <c r="D6" s="107" t="s">
        <v>192</v>
      </c>
      <c r="E6" s="101"/>
      <c r="F6" s="102" t="e">
        <f aca="false">VLOOKUP(B4,Paysheet!$A$4:$CD$55,COLUMN(Paysheet!Z8),FALSE())*0.3</f>
        <v>#N/A</v>
      </c>
      <c r="G6" s="110"/>
      <c r="H6" s="109"/>
      <c r="I6" s="102" t="s">
        <v>56</v>
      </c>
      <c r="J6" s="102" t="e">
        <f aca="false">VLOOKUP(B4,Paysheet!$A$4:$CD$55,COLUMN(Paysheet!AL8),FALSE())</f>
        <v>#N/A</v>
      </c>
      <c r="K6" s="110" t="e">
        <f aca="false">VLOOKUP(B4,Paysheet!$A$4:$CD$55,COLUMN(Paysheet!AM8),FALSE())</f>
        <v>#N/A</v>
      </c>
      <c r="N6" s="3"/>
    </row>
    <row r="7" customFormat="false" ht="21" hidden="false" customHeight="true" outlineLevel="0" collapsed="false">
      <c r="A7" s="97" t="s">
        <v>193</v>
      </c>
      <c r="B7" s="106" t="s">
        <v>194</v>
      </c>
      <c r="C7" s="99"/>
      <c r="D7" s="107" t="s">
        <v>195</v>
      </c>
      <c r="E7" s="101"/>
      <c r="F7" s="102" t="e">
        <f aca="false">VLOOKUP(B4,Paysheet!$A$4:$CD$55,COLUMN(Paysheet!Y9),FALSE())</f>
        <v>#N/A</v>
      </c>
      <c r="G7" s="102"/>
      <c r="H7" s="109"/>
      <c r="I7" s="102" t="s">
        <v>60</v>
      </c>
      <c r="J7" s="102"/>
      <c r="K7" s="110" t="e">
        <f aca="false">VLOOKUP(B4,Paysheet!$A$4:$CD$55,COLUMN(Paysheet!AO9),FALSE())</f>
        <v>#N/A</v>
      </c>
      <c r="N7" s="3"/>
    </row>
    <row r="8" customFormat="false" ht="21" hidden="false" customHeight="true" outlineLevel="0" collapsed="false">
      <c r="A8" s="97" t="s">
        <v>32</v>
      </c>
      <c r="B8" s="106" t="e">
        <f aca="false">VLOOKUP(B4,Paysheet!$A$4:$CD$55,COLUMN(Paysheet!H10),FALSE())</f>
        <v>#N/A</v>
      </c>
      <c r="C8" s="99"/>
      <c r="D8" s="107" t="s">
        <v>196</v>
      </c>
      <c r="E8" s="108"/>
      <c r="F8" s="102"/>
      <c r="G8" s="110"/>
      <c r="H8" s="109"/>
      <c r="I8" s="102" t="s">
        <v>197</v>
      </c>
      <c r="J8" s="102" t="e">
        <f aca="false">VLOOKUP(B4,Paysheet!$A$4:$CD$55,COLUMN(Paysheet!BI10),FALSE())</f>
        <v>#N/A</v>
      </c>
      <c r="K8" s="110"/>
      <c r="N8" s="3"/>
    </row>
    <row r="9" customFormat="false" ht="21" hidden="false" customHeight="true" outlineLevel="0" collapsed="false">
      <c r="A9" s="97" t="s">
        <v>31</v>
      </c>
      <c r="B9" s="106" t="e">
        <f aca="false">VLOOKUP(B4,Paysheet!$A$4:$CD$55,COLUMN(Paysheet!G11),FALSE())</f>
        <v>#N/A</v>
      </c>
      <c r="C9" s="99"/>
      <c r="D9" s="107" t="s">
        <v>198</v>
      </c>
      <c r="E9" s="108"/>
      <c r="F9" s="102"/>
      <c r="G9" s="110"/>
      <c r="H9" s="109"/>
      <c r="I9" s="111" t="s">
        <v>199</v>
      </c>
      <c r="J9" s="102" t="e">
        <f aca="false">VLOOKUP(B4,Paysheet!$A$4:$CD$55,COLUMN(Paysheet!BF11),FALSE())</f>
        <v>#N/A</v>
      </c>
      <c r="K9" s="110" t="e">
        <f aca="false">VLOOKUP(B4,Paysheet!$A$4:$CD$55,COLUMN(Paysheet!BE11),FALSE())</f>
        <v>#N/A</v>
      </c>
      <c r="M9" s="3"/>
      <c r="N9" s="3"/>
    </row>
    <row r="10" customFormat="false" ht="20.25" hidden="false" customHeight="true" outlineLevel="0" collapsed="false">
      <c r="A10" s="97" t="s">
        <v>24</v>
      </c>
      <c r="B10" s="106" t="e">
        <f aca="false">VLOOKUP(B4,Paysheet!$A$4:$CD$55,COLUMN(Paysheet!CD12),FALSE())</f>
        <v>#N/A</v>
      </c>
      <c r="C10" s="99"/>
      <c r="D10" s="107" t="s">
        <v>200</v>
      </c>
      <c r="E10" s="108"/>
      <c r="F10" s="102"/>
      <c r="G10" s="102" t="e">
        <f aca="false">VLOOKUP(B4,Paysheet!$A$4:$CD$55,COLUMN(Paysheet!W12),FALSE())</f>
        <v>#N/A</v>
      </c>
      <c r="H10" s="112"/>
      <c r="I10" s="111" t="s">
        <v>64</v>
      </c>
      <c r="J10" s="102"/>
      <c r="K10" s="110" t="e">
        <f aca="false">VLOOKUP(B4,Paysheet!$A$4:$CD$55,COLUMN(Paysheet!BC12),FALSE())</f>
        <v>#N/A</v>
      </c>
      <c r="M10" s="3"/>
      <c r="N10" s="3"/>
    </row>
    <row r="11" customFormat="false" ht="21" hidden="false" customHeight="true" outlineLevel="0" collapsed="false">
      <c r="A11" s="97" t="s">
        <v>201</v>
      </c>
      <c r="B11" s="106" t="e">
        <f aca="false">VLOOKUP(B4,Paysheet!$A$4:$CD$55,COLUMN(Paysheet!I13),FALSE())</f>
        <v>#N/A</v>
      </c>
      <c r="C11" s="99"/>
      <c r="D11" s="107" t="s">
        <v>202</v>
      </c>
      <c r="E11" s="108"/>
      <c r="F11" s="102"/>
      <c r="G11" s="102" t="e">
        <f aca="false">VLOOKUP(B4,Paysheet!$A$4:$CD$55,COLUMN(Paysheet!X13),FALSE())</f>
        <v>#N/A</v>
      </c>
      <c r="H11" s="109"/>
      <c r="I11" s="111" t="s">
        <v>59</v>
      </c>
      <c r="J11" s="102"/>
      <c r="K11" s="110" t="e">
        <f aca="false">VLOOKUP(B4,Paysheet!$A$4:$CD$55,COLUMN(Paysheet!AN13),FALSE())</f>
        <v>#N/A</v>
      </c>
      <c r="M11" s="3" t="s">
        <v>203</v>
      </c>
      <c r="N11" s="3"/>
    </row>
    <row r="12" customFormat="false" ht="21" hidden="false" customHeight="true" outlineLevel="0" collapsed="false">
      <c r="A12" s="97" t="s">
        <v>30</v>
      </c>
      <c r="B12" s="106" t="e">
        <f aca="false">VLOOKUP(B4,Paysheet!$A$4:$CD$55,COLUMN(Paysheet!F14),FALSE())</f>
        <v>#N/A</v>
      </c>
      <c r="C12" s="113"/>
      <c r="D12" s="107" t="s">
        <v>204</v>
      </c>
      <c r="E12" s="108"/>
      <c r="F12" s="102" t="e">
        <f aca="false">VLOOKUP(B4,Paysheet!$A$4:$CD$55,COLUMN(Paysheet!U14),FALSE())*0.3</f>
        <v>#N/A</v>
      </c>
      <c r="G12" s="102" t="e">
        <f aca="false">VLOOKUP(B4,Paysheet!$A$4:$CD$55,COLUMN(Paysheet!U14),FALSE())*0.7*N1</f>
        <v>#N/A</v>
      </c>
      <c r="H12" s="109"/>
      <c r="I12" s="102" t="s">
        <v>205</v>
      </c>
      <c r="J12" s="102"/>
      <c r="K12" s="110" t="e">
        <f aca="false">VLOOKUP(B4,Paysheet!$A$4:$CD$55,COLUMN(Paysheet!BD14),FALSE())</f>
        <v>#N/A</v>
      </c>
      <c r="M12" s="3" t="s">
        <v>206</v>
      </c>
      <c r="N12" s="3" t="e">
        <f aca="false">F15-J15</f>
        <v>#N/A</v>
      </c>
    </row>
    <row r="13" customFormat="false" ht="21" hidden="false" customHeight="true" outlineLevel="0" collapsed="false">
      <c r="A13" s="114" t="s">
        <v>29</v>
      </c>
      <c r="B13" s="115" t="e">
        <f aca="false">VLOOKUP(B4,Paysheet!$A$4:$CD$55,COLUMN(Paysheet!E15),FALSE())</f>
        <v>#N/A</v>
      </c>
      <c r="C13" s="116"/>
      <c r="D13" s="117" t="s">
        <v>207</v>
      </c>
      <c r="E13" s="118"/>
      <c r="F13" s="102" t="e">
        <f aca="false">VLOOKUP(B4,Paysheet!$A$4:$CD$55,COLUMN(Paysheet!V15),FALSE())*0.3</f>
        <v>#N/A</v>
      </c>
      <c r="G13" s="102" t="e">
        <f aca="false">VLOOKUP(B4,Paysheet!$A$4:$CD$55,COLUMN(Paysheet!V15),FALSE())*0.7*N1</f>
        <v>#N/A</v>
      </c>
      <c r="H13" s="119"/>
      <c r="I13" s="120" t="s">
        <v>208</v>
      </c>
      <c r="J13" s="120" t="e">
        <f aca="false">VLOOKUP(B4,Paysheet!$A$4:$CD$55,COLUMN(Paysheet!BK15),FALSE())</f>
        <v>#N/A</v>
      </c>
      <c r="K13" s="121"/>
      <c r="M13" s="3" t="s">
        <v>209</v>
      </c>
      <c r="N13" s="3" t="e">
        <f aca="false">G15-K15</f>
        <v>#N/A</v>
      </c>
    </row>
    <row r="14" customFormat="false" ht="15.75" hidden="true" customHeight="true" outlineLevel="0" collapsed="false">
      <c r="A14" s="122"/>
      <c r="B14" s="122"/>
      <c r="C14" s="123"/>
      <c r="D14" s="123"/>
      <c r="E14" s="124"/>
      <c r="F14" s="125"/>
      <c r="G14" s="125"/>
      <c r="H14" s="126"/>
      <c r="I14" s="125"/>
      <c r="J14" s="125"/>
      <c r="K14" s="127"/>
    </row>
    <row r="15" customFormat="false" ht="15.75" hidden="false" customHeight="true" outlineLevel="0" collapsed="false">
      <c r="A15" s="128"/>
      <c r="B15" s="129"/>
      <c r="C15" s="130"/>
      <c r="D15" s="131" t="s">
        <v>210</v>
      </c>
      <c r="E15" s="132"/>
      <c r="F15" s="133" t="e">
        <f aca="false">SUM(F4:F14)</f>
        <v>#N/A</v>
      </c>
      <c r="G15" s="134" t="e">
        <f aca="false">SUM(G4:G14)</f>
        <v>#N/A</v>
      </c>
      <c r="H15" s="135"/>
      <c r="I15" s="134" t="s">
        <v>211</v>
      </c>
      <c r="J15" s="134" t="e">
        <f aca="false">SUM(J4:J14)</f>
        <v>#N/A</v>
      </c>
      <c r="K15" s="134" t="e">
        <f aca="false">SUM(K4:K14)</f>
        <v>#N/A</v>
      </c>
      <c r="M15" s="3"/>
      <c r="N15" s="3"/>
    </row>
    <row r="16" customFormat="false" ht="6" hidden="false" customHeight="true" outlineLevel="0" collapsed="false">
      <c r="A16" s="91"/>
      <c r="B16" s="91"/>
      <c r="C16" s="91"/>
      <c r="D16" s="136"/>
      <c r="E16" s="137"/>
      <c r="F16" s="138"/>
      <c r="G16" s="139"/>
      <c r="H16" s="139"/>
      <c r="I16" s="138"/>
      <c r="J16" s="140"/>
      <c r="K16" s="138"/>
      <c r="M16" s="3"/>
    </row>
    <row r="17" customFormat="false" ht="15.75" hidden="false" customHeight="true" outlineLevel="0" collapsed="false">
      <c r="A17" s="141" t="s">
        <v>212</v>
      </c>
      <c r="B17" s="142" t="e">
        <f aca="false">VLOOKUP(B4,Paysheet!$A$4:$CD$55,COLUMN(Paysheet!BU19),FALSE())</f>
        <v>#N/A</v>
      </c>
      <c r="C17" s="83"/>
      <c r="D17" s="90" t="e">
        <f aca="false">VLOOKUP(B4,Paysheet!$A$4:$CD$55,COLUMN(Paysheet!BW19),FALSE())</f>
        <v>#N/A</v>
      </c>
      <c r="E17" s="143"/>
      <c r="F17" s="144" t="s">
        <v>213</v>
      </c>
      <c r="G17" s="145"/>
      <c r="H17" s="146"/>
      <c r="I17" s="147" t="s">
        <v>214</v>
      </c>
      <c r="J17" s="148" t="s">
        <v>215</v>
      </c>
      <c r="K17" s="149" t="e">
        <f aca="false">VLOOKUP(B4,Paysheet!$A$4:$CD$55,COLUMN(Paysheet!BM6),FALSE())</f>
        <v>#N/A</v>
      </c>
      <c r="N17" s="3" t="e">
        <f aca="false">K17-N13</f>
        <v>#N/A</v>
      </c>
    </row>
    <row r="18" customFormat="false" ht="15.75" hidden="false" customHeight="true" outlineLevel="0" collapsed="false">
      <c r="A18" s="97" t="s">
        <v>216</v>
      </c>
      <c r="B18" s="150" t="e">
        <f aca="false">VLOOKUP(B4,Paysheet!$A$4:$CD$55,COLUMN(Paysheet!BX20),FALSE())</f>
        <v>#N/A</v>
      </c>
      <c r="C18" s="99"/>
      <c r="D18" s="106" t="e">
        <f aca="false">VLOOKUP(B4,Paysheet!$A$4:$CD$55,COLUMN(Paysheet!BZ20),FALSE())</f>
        <v>#N/A</v>
      </c>
      <c r="E18" s="151"/>
      <c r="F18" s="152" t="e">
        <f aca="false">VLOOKUP(B4,Paysheet!$A$4:$CD$55,COLUMN(Paysheet!AU19),FALSE())</f>
        <v>#N/A</v>
      </c>
      <c r="G18" s="153"/>
      <c r="H18" s="154"/>
      <c r="I18" s="147"/>
      <c r="J18" s="155" t="s">
        <v>23</v>
      </c>
      <c r="K18" s="156" t="e">
        <f aca="false">VLOOKUP(B4,Paysheet!$A$4:$CD$55,COLUMN(Paysheet!BL6),FALSE())</f>
        <v>#N/A</v>
      </c>
    </row>
    <row r="19" customFormat="false" ht="6" hidden="false" customHeight="true" outlineLevel="0" collapsed="false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M19" s="3"/>
    </row>
    <row r="20" customFormat="false" ht="51" hidden="false" customHeight="true" outlineLevel="0" collapsed="false"/>
    <row r="21" customFormat="false" ht="21" hidden="false" customHeight="true" outlineLevel="0" collapsed="false">
      <c r="A21" s="80" t="s">
        <v>178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customFormat="false" ht="15.75" hidden="false" customHeight="true" outlineLevel="0" collapsed="false">
      <c r="A22" s="82" t="s">
        <v>179</v>
      </c>
      <c r="B22" s="82"/>
      <c r="C22" s="83"/>
      <c r="D22" s="84" t="s">
        <v>180</v>
      </c>
      <c r="E22" s="85" t="s">
        <v>181</v>
      </c>
      <c r="F22" s="86" t="s">
        <v>182</v>
      </c>
      <c r="G22" s="86"/>
      <c r="H22" s="87"/>
      <c r="I22" s="88" t="s">
        <v>183</v>
      </c>
      <c r="J22" s="86" t="s">
        <v>184</v>
      </c>
      <c r="K22" s="86"/>
    </row>
    <row r="23" customFormat="false" ht="15.75" hidden="false" customHeight="true" outlineLevel="0" collapsed="false">
      <c r="A23" s="89" t="e">
        <f aca="false">VLOOKUP(B24,Paysheet!$A$4:$CD$55,COLUMN(Paysheet!B25),FALSE())</f>
        <v>#N/A</v>
      </c>
      <c r="B23" s="90" t="e">
        <f aca="false">VLOOKUP(B24,Paysheet!$A$4:$CD$55,COLUMN(Paysheet!C25),FALSE())</f>
        <v>#N/A</v>
      </c>
      <c r="C23" s="91"/>
      <c r="D23" s="84"/>
      <c r="E23" s="60"/>
      <c r="F23" s="85" t="s">
        <v>186</v>
      </c>
      <c r="G23" s="92" t="s">
        <v>22</v>
      </c>
      <c r="H23" s="93"/>
      <c r="I23" s="88"/>
      <c r="J23" s="94" t="s">
        <v>23</v>
      </c>
      <c r="K23" s="95" t="s">
        <v>22</v>
      </c>
    </row>
    <row r="24" customFormat="false" ht="15.75" hidden="false" customHeight="true" outlineLevel="0" collapsed="false">
      <c r="A24" s="97" t="s">
        <v>187</v>
      </c>
      <c r="B24" s="98" t="str">
        <f aca="false">O3</f>
        <v>CA76</v>
      </c>
      <c r="C24" s="99"/>
      <c r="D24" s="100" t="s">
        <v>188</v>
      </c>
      <c r="E24" s="101" t="e">
        <f aca="false">VLOOKUP(B24,Paysheet!$A$4:$CD$55,COLUMN(Paysheet!L26),FALSE())</f>
        <v>#N/A</v>
      </c>
      <c r="F24" s="102" t="e">
        <f aca="false">VLOOKUP(B24,Paysheet!$A$4:$CD$55,COLUMN(Paysheet!Q26),FALSE())</f>
        <v>#N/A</v>
      </c>
      <c r="G24" s="103" t="e">
        <f aca="false">VLOOKUP(B24,Paysheet!$A$4:$CD$55,COLUMN(Paysheet!R26),FALSE())</f>
        <v>#N/A</v>
      </c>
      <c r="H24" s="104"/>
      <c r="I24" s="105" t="s">
        <v>189</v>
      </c>
      <c r="J24" s="105" t="e">
        <f aca="false">VLOOKUP(B24,Paysheet!$A$4:$CD$55,COLUMN(Paysheet!AW26),FALSE())</f>
        <v>#N/A</v>
      </c>
      <c r="K24" s="103" t="e">
        <f aca="false">VLOOKUP(B24,Paysheet!$A$4:$CD$55,COLUMN(Paysheet!AY26),FALSE())</f>
        <v>#N/A</v>
      </c>
    </row>
    <row r="25" customFormat="false" ht="15.75" hidden="false" customHeight="true" outlineLevel="0" collapsed="false">
      <c r="A25" s="97" t="s">
        <v>35</v>
      </c>
      <c r="B25" s="106" t="e">
        <f aca="false">VLOOKUP(B24,Paysheet!$A$4:$CD$55,COLUMN(Paysheet!K27),FALSE())</f>
        <v>#N/A</v>
      </c>
      <c r="C25" s="99"/>
      <c r="D25" s="107" t="s">
        <v>190</v>
      </c>
      <c r="E25" s="108"/>
      <c r="F25" s="102" t="e">
        <f aca="false">VLOOKUP(B24,Paysheet!$A$4:$CD$55,COLUMN(Paysheet!T27),FALSE())*0.3</f>
        <v>#N/A</v>
      </c>
      <c r="G25" s="102" t="e">
        <f aca="false">VLOOKUP(B24,Paysheet!$A$4:$CD$55,COLUMN(Paysheet!T27),FALSE())*0.7*N1</f>
        <v>#N/A</v>
      </c>
      <c r="H25" s="109"/>
      <c r="I25" s="102" t="s">
        <v>63</v>
      </c>
      <c r="J25" s="102" t="e">
        <f aca="false">VLOOKUP(B24,Paysheet!$A$4:$CD$55,COLUMN(Paysheet!AX27),FALSE())</f>
        <v>#N/A</v>
      </c>
      <c r="K25" s="110" t="e">
        <f aca="false">VLOOKUP(B24,Paysheet!$A$4:$CD$55,COLUMN(Paysheet!AZ27),FALSE())</f>
        <v>#N/A</v>
      </c>
    </row>
    <row r="26" customFormat="false" ht="15.75" hidden="false" customHeight="true" outlineLevel="0" collapsed="false">
      <c r="A26" s="97" t="s">
        <v>191</v>
      </c>
      <c r="B26" s="106" t="e">
        <f aca="false">VLOOKUP(B24,Paysheet!$A$4:$CD$55,COLUMN(Paysheet!D28),FALSE())</f>
        <v>#N/A</v>
      </c>
      <c r="C26" s="99"/>
      <c r="D26" s="107" t="s">
        <v>192</v>
      </c>
      <c r="E26" s="101"/>
      <c r="F26" s="102" t="e">
        <f aca="false">VLOOKUP(B24,Paysheet!$A$4:$CD$55,COLUMN(Paysheet!Z28),FALSE())*0.3</f>
        <v>#N/A</v>
      </c>
      <c r="G26" s="110"/>
      <c r="H26" s="109"/>
      <c r="I26" s="102" t="s">
        <v>56</v>
      </c>
      <c r="J26" s="102" t="e">
        <f aca="false">VLOOKUP(B24,Paysheet!$A$4:$CD$55,COLUMN(Paysheet!AL28),FALSE())</f>
        <v>#N/A</v>
      </c>
      <c r="K26" s="110" t="e">
        <f aca="false">VLOOKUP(B24,Paysheet!$A$4:$CD$55,COLUMN(Paysheet!AM28),FALSE())</f>
        <v>#N/A</v>
      </c>
    </row>
    <row r="27" customFormat="false" ht="15.75" hidden="false" customHeight="true" outlineLevel="0" collapsed="false">
      <c r="A27" s="97" t="s">
        <v>193</v>
      </c>
      <c r="B27" s="106" t="s">
        <v>194</v>
      </c>
      <c r="C27" s="99"/>
      <c r="D27" s="107" t="s">
        <v>195</v>
      </c>
      <c r="E27" s="101"/>
      <c r="F27" s="102" t="e">
        <f aca="false">VLOOKUP(B24,Paysheet!$A$4:$CD$55,COLUMN(Paysheet!Y29),FALSE())</f>
        <v>#N/A</v>
      </c>
      <c r="G27" s="102"/>
      <c r="H27" s="109"/>
      <c r="I27" s="102" t="s">
        <v>60</v>
      </c>
      <c r="J27" s="102"/>
      <c r="K27" s="110" t="e">
        <f aca="false">VLOOKUP(B24,Paysheet!$A$4:$CD$55,COLUMN(Paysheet!AO29),FALSE())</f>
        <v>#N/A</v>
      </c>
    </row>
    <row r="28" customFormat="false" ht="15.75" hidden="false" customHeight="true" outlineLevel="0" collapsed="false">
      <c r="A28" s="97" t="s">
        <v>32</v>
      </c>
      <c r="B28" s="106" t="e">
        <f aca="false">VLOOKUP(B24,Paysheet!$A$4:$CD$55,COLUMN(Paysheet!H30),FALSE())</f>
        <v>#N/A</v>
      </c>
      <c r="C28" s="99"/>
      <c r="D28" s="107" t="s">
        <v>196</v>
      </c>
      <c r="E28" s="108"/>
      <c r="F28" s="102"/>
      <c r="G28" s="110"/>
      <c r="H28" s="109"/>
      <c r="I28" s="102" t="s">
        <v>197</v>
      </c>
      <c r="J28" s="102" t="e">
        <f aca="false">VLOOKUP(B24,Paysheet!$A$4:$CD$55,COLUMN(Paysheet!BI30),FALSE())</f>
        <v>#N/A</v>
      </c>
      <c r="K28" s="110"/>
    </row>
    <row r="29" customFormat="false" ht="15.75" hidden="false" customHeight="true" outlineLevel="0" collapsed="false">
      <c r="A29" s="97" t="s">
        <v>31</v>
      </c>
      <c r="B29" s="106" t="e">
        <f aca="false">VLOOKUP(B24,Paysheet!$A$4:$CD$55,COLUMN(Paysheet!G31),FALSE())</f>
        <v>#N/A</v>
      </c>
      <c r="C29" s="99"/>
      <c r="D29" s="107" t="s">
        <v>198</v>
      </c>
      <c r="E29" s="108"/>
      <c r="F29" s="102"/>
      <c r="G29" s="110"/>
      <c r="H29" s="109"/>
      <c r="I29" s="111" t="s">
        <v>199</v>
      </c>
      <c r="J29" s="102" t="e">
        <f aca="false">VLOOKUP(B24,Paysheet!$A$4:$CD$55,COLUMN(Paysheet!BF31),FALSE())</f>
        <v>#N/A</v>
      </c>
      <c r="K29" s="110" t="e">
        <f aca="false">VLOOKUP(B24,Paysheet!$A$4:$CD$55,COLUMN(Paysheet!BE31),FALSE())</f>
        <v>#N/A</v>
      </c>
    </row>
    <row r="30" customFormat="false" ht="15.75" hidden="false" customHeight="true" outlineLevel="0" collapsed="false">
      <c r="A30" s="97" t="s">
        <v>24</v>
      </c>
      <c r="B30" s="106" t="e">
        <f aca="false">VLOOKUP(B24,Paysheet!$A$4:$CD$55,COLUMN(Paysheet!CD32),FALSE())</f>
        <v>#N/A</v>
      </c>
      <c r="C30" s="99"/>
      <c r="D30" s="107" t="s">
        <v>200</v>
      </c>
      <c r="E30" s="108"/>
      <c r="F30" s="102"/>
      <c r="G30" s="102" t="e">
        <f aca="false">VLOOKUP(B24,Paysheet!$A$4:$CD$55,COLUMN(Paysheet!W32),FALSE())</f>
        <v>#N/A</v>
      </c>
      <c r="H30" s="112"/>
      <c r="I30" s="111" t="s">
        <v>64</v>
      </c>
      <c r="J30" s="102"/>
      <c r="K30" s="110" t="e">
        <f aca="false">VLOOKUP(B24,Paysheet!$A$4:$CD$55,COLUMN(Paysheet!BC32),FALSE())</f>
        <v>#N/A</v>
      </c>
    </row>
    <row r="31" customFormat="false" ht="15.75" hidden="false" customHeight="true" outlineLevel="0" collapsed="false">
      <c r="A31" s="97" t="s">
        <v>201</v>
      </c>
      <c r="B31" s="106" t="e">
        <f aca="false">VLOOKUP(B24,Paysheet!$A$4:$CD$55,COLUMN(Paysheet!I33),FALSE())</f>
        <v>#N/A</v>
      </c>
      <c r="C31" s="99"/>
      <c r="D31" s="107" t="s">
        <v>202</v>
      </c>
      <c r="E31" s="108"/>
      <c r="F31" s="102"/>
      <c r="G31" s="102" t="e">
        <f aca="false">VLOOKUP(B24,Paysheet!$A$4:$CD$55,COLUMN(Paysheet!X33),FALSE())</f>
        <v>#N/A</v>
      </c>
      <c r="H31" s="109"/>
      <c r="I31" s="111" t="s">
        <v>59</v>
      </c>
      <c r="J31" s="102"/>
      <c r="K31" s="110" t="e">
        <f aca="false">VLOOKUP(B24,Paysheet!$A$4:$CD$55,COLUMN(Paysheet!AN33),FALSE())</f>
        <v>#N/A</v>
      </c>
      <c r="M31" s="3" t="s">
        <v>203</v>
      </c>
      <c r="N31" s="3"/>
    </row>
    <row r="32" customFormat="false" ht="15.75" hidden="false" customHeight="true" outlineLevel="0" collapsed="false">
      <c r="A32" s="97" t="s">
        <v>30</v>
      </c>
      <c r="B32" s="106" t="e">
        <f aca="false">VLOOKUP(B24,Paysheet!$A$4:$CD$55,COLUMN(Paysheet!F34),FALSE())</f>
        <v>#N/A</v>
      </c>
      <c r="C32" s="113"/>
      <c r="D32" s="107" t="s">
        <v>204</v>
      </c>
      <c r="E32" s="108"/>
      <c r="F32" s="102" t="e">
        <f aca="false">VLOOKUP(B24,Paysheet!$A$4:$CD$55,COLUMN(Paysheet!U14),FALSE())*0.3</f>
        <v>#N/A</v>
      </c>
      <c r="G32" s="102" t="e">
        <f aca="false">VLOOKUP(B24,Paysheet!$A$4:$CD$55,COLUMN(Paysheet!U14),FALSE())*0.7*N1</f>
        <v>#N/A</v>
      </c>
      <c r="H32" s="109"/>
      <c r="I32" s="102" t="s">
        <v>205</v>
      </c>
      <c r="J32" s="102"/>
      <c r="K32" s="110" t="e">
        <f aca="false">VLOOKUP(B24,Paysheet!$A$4:$CD$55,COLUMN(Paysheet!BD34),FALSE())</f>
        <v>#N/A</v>
      </c>
      <c r="L32" s="3"/>
      <c r="M32" s="3" t="s">
        <v>206</v>
      </c>
      <c r="N32" s="3" t="e">
        <f aca="false">F35-J35</f>
        <v>#N/A</v>
      </c>
    </row>
    <row r="33" customFormat="false" ht="15.75" hidden="false" customHeight="true" outlineLevel="0" collapsed="false">
      <c r="A33" s="114" t="s">
        <v>29</v>
      </c>
      <c r="B33" s="115" t="e">
        <f aca="false">VLOOKUP(B24,Paysheet!$A$4:$CD$55,COLUMN(Paysheet!E35),FALSE())</f>
        <v>#N/A</v>
      </c>
      <c r="C33" s="116"/>
      <c r="D33" s="117" t="s">
        <v>207</v>
      </c>
      <c r="E33" s="118"/>
      <c r="F33" s="102" t="e">
        <f aca="false">VLOOKUP(B24,Paysheet!$A$4:$CD$55,COLUMN(Paysheet!V15),FALSE())*0.3</f>
        <v>#N/A</v>
      </c>
      <c r="G33" s="102" t="e">
        <f aca="false">VLOOKUP(B24,Paysheet!$A$4:$CD$55,COLUMN(Paysheet!V15),FALSE())*0.7*N1</f>
        <v>#N/A</v>
      </c>
      <c r="H33" s="119"/>
      <c r="I33" s="120" t="s">
        <v>208</v>
      </c>
      <c r="J33" s="120" t="e">
        <f aca="false">VLOOKUP(B24,Paysheet!$A$4:$CD$55,COLUMN(Paysheet!BK35),FALSE())</f>
        <v>#N/A</v>
      </c>
      <c r="K33" s="121"/>
      <c r="L33" s="3"/>
      <c r="M33" s="3" t="s">
        <v>209</v>
      </c>
      <c r="N33" s="3" t="e">
        <f aca="false">G35-K35</f>
        <v>#N/A</v>
      </c>
    </row>
    <row r="34" customFormat="false" ht="6" hidden="true" customHeight="true" outlineLevel="0" collapsed="false">
      <c r="A34" s="122"/>
      <c r="B34" s="122"/>
      <c r="C34" s="123"/>
      <c r="D34" s="123"/>
      <c r="E34" s="124"/>
      <c r="F34" s="125"/>
      <c r="G34" s="125"/>
      <c r="H34" s="126"/>
      <c r="I34" s="125"/>
      <c r="J34" s="125"/>
      <c r="K34" s="127"/>
    </row>
    <row r="35" customFormat="false" ht="15.75" hidden="false" customHeight="true" outlineLevel="0" collapsed="false">
      <c r="A35" s="128"/>
      <c r="B35" s="129"/>
      <c r="C35" s="130"/>
      <c r="D35" s="131" t="s">
        <v>210</v>
      </c>
      <c r="E35" s="132"/>
      <c r="F35" s="133" t="e">
        <f aca="false">SUM(F24:F34)</f>
        <v>#N/A</v>
      </c>
      <c r="G35" s="134" t="e">
        <f aca="false">SUM(G24:G34)</f>
        <v>#N/A</v>
      </c>
      <c r="H35" s="135"/>
      <c r="I35" s="134" t="s">
        <v>211</v>
      </c>
      <c r="J35" s="134" t="e">
        <f aca="false">SUM(J24:J34)</f>
        <v>#N/A</v>
      </c>
      <c r="K35" s="134" t="e">
        <f aca="false">SUM(K24:K34)</f>
        <v>#N/A</v>
      </c>
      <c r="M35" s="3"/>
    </row>
    <row r="36" customFormat="false" ht="6" hidden="false" customHeight="true" outlineLevel="0" collapsed="false">
      <c r="A36" s="91"/>
      <c r="B36" s="91"/>
      <c r="C36" s="91"/>
      <c r="D36" s="136"/>
      <c r="E36" s="137"/>
      <c r="F36" s="138"/>
      <c r="G36" s="139"/>
      <c r="H36" s="139"/>
      <c r="I36" s="138"/>
      <c r="J36" s="140"/>
      <c r="K36" s="138"/>
    </row>
    <row r="37" customFormat="false" ht="15.75" hidden="false" customHeight="true" outlineLevel="0" collapsed="false">
      <c r="A37" s="141" t="s">
        <v>212</v>
      </c>
      <c r="B37" s="142" t="e">
        <f aca="false">VLOOKUP(B24,Paysheet!$A$4:$CD$55,COLUMN(Paysheet!BU39),FALSE())</f>
        <v>#N/A</v>
      </c>
      <c r="C37" s="83"/>
      <c r="D37" s="90" t="e">
        <f aca="false">VLOOKUP(B24,Paysheet!$A$4:$CD$55,COLUMN(Paysheet!BW39),FALSE())</f>
        <v>#N/A</v>
      </c>
      <c r="E37" s="143"/>
      <c r="F37" s="144" t="s">
        <v>213</v>
      </c>
      <c r="G37" s="145"/>
      <c r="H37" s="146"/>
      <c r="I37" s="147" t="s">
        <v>214</v>
      </c>
      <c r="J37" s="148" t="s">
        <v>215</v>
      </c>
      <c r="K37" s="149" t="e">
        <f aca="false">VLOOKUP(B24,Paysheet!$A$4:$CD$55,COLUMN(Paysheet!BM26),FALSE())</f>
        <v>#N/A</v>
      </c>
      <c r="M37" s="3"/>
    </row>
    <row r="38" customFormat="false" ht="15.75" hidden="false" customHeight="true" outlineLevel="0" collapsed="false">
      <c r="A38" s="97" t="s">
        <v>216</v>
      </c>
      <c r="B38" s="150" t="e">
        <f aca="false">VLOOKUP(B24,Paysheet!$A$4:$CD$55,COLUMN(Paysheet!BX40),FALSE())</f>
        <v>#N/A</v>
      </c>
      <c r="C38" s="99"/>
      <c r="D38" s="106" t="e">
        <f aca="false">VLOOKUP(B24,Paysheet!$A$4:$CD$55,COLUMN(Paysheet!BZ40),FALSE())</f>
        <v>#N/A</v>
      </c>
      <c r="E38" s="151"/>
      <c r="F38" s="152" t="e">
        <f aca="false">VLOOKUP(B24,Paysheet!$A$4:$CD$55,COLUMN(Paysheet!AU39),FALSE())</f>
        <v>#N/A</v>
      </c>
      <c r="G38" s="153"/>
      <c r="H38" s="154"/>
      <c r="I38" s="147"/>
      <c r="J38" s="155" t="s">
        <v>23</v>
      </c>
      <c r="K38" s="156" t="e">
        <f aca="false">VLOOKUP(B24,Paysheet!$A$4:$CD$55,COLUMN(Paysheet!BL26),FALSE())</f>
        <v>#N/A</v>
      </c>
      <c r="N38" s="3" t="e">
        <f aca="false">K37-N33</f>
        <v>#N/A</v>
      </c>
    </row>
    <row r="39" customFormat="false" ht="6" hidden="false" customHeight="tru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</row>
    <row r="40" customFormat="false" ht="51" hidden="false" customHeight="true" outlineLevel="0" collapsed="false"/>
    <row r="41" customFormat="false" ht="21" hidden="false" customHeight="true" outlineLevel="0" collapsed="false">
      <c r="A41" s="80" t="s">
        <v>178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</row>
    <row r="42" customFormat="false" ht="15.75" hidden="false" customHeight="true" outlineLevel="0" collapsed="false">
      <c r="A42" s="82" t="s">
        <v>179</v>
      </c>
      <c r="B42" s="82"/>
      <c r="C42" s="83"/>
      <c r="D42" s="84" t="s">
        <v>180</v>
      </c>
      <c r="E42" s="85" t="s">
        <v>181</v>
      </c>
      <c r="F42" s="86" t="s">
        <v>182</v>
      </c>
      <c r="G42" s="86"/>
      <c r="H42" s="87"/>
      <c r="I42" s="88" t="s">
        <v>183</v>
      </c>
      <c r="J42" s="86" t="s">
        <v>184</v>
      </c>
      <c r="K42" s="86"/>
    </row>
    <row r="43" customFormat="false" ht="15.75" hidden="false" customHeight="true" outlineLevel="0" collapsed="false">
      <c r="A43" s="89" t="e">
        <f aca="false">VLOOKUP(B44,Paysheet!$A$4:$CD$55,COLUMN(Paysheet!B45),FALSE())</f>
        <v>#N/A</v>
      </c>
      <c r="B43" s="90" t="e">
        <f aca="false">VLOOKUP(B44,Paysheet!$A$4:$CD$55,COLUMN(Paysheet!C45),FALSE())</f>
        <v>#N/A</v>
      </c>
      <c r="C43" s="91"/>
      <c r="D43" s="84"/>
      <c r="E43" s="60"/>
      <c r="F43" s="85" t="s">
        <v>186</v>
      </c>
      <c r="G43" s="92" t="s">
        <v>22</v>
      </c>
      <c r="H43" s="93"/>
      <c r="I43" s="88"/>
      <c r="J43" s="94" t="s">
        <v>23</v>
      </c>
      <c r="K43" s="95" t="s">
        <v>22</v>
      </c>
    </row>
    <row r="44" customFormat="false" ht="15.75" hidden="false" customHeight="true" outlineLevel="0" collapsed="false">
      <c r="A44" s="97" t="s">
        <v>187</v>
      </c>
      <c r="B44" s="98" t="str">
        <f aca="false">O4</f>
        <v>CA0</v>
      </c>
      <c r="C44" s="99"/>
      <c r="D44" s="100" t="s">
        <v>188</v>
      </c>
      <c r="E44" s="101" t="e">
        <f aca="false">VLOOKUP(B44,Paysheet!$A$4:$CD$55,COLUMN(Paysheet!L46),FALSE())</f>
        <v>#N/A</v>
      </c>
      <c r="F44" s="102" t="e">
        <f aca="false">VLOOKUP(B44,Paysheet!$A$4:$CD$55,COLUMN(Paysheet!Q46),FALSE())</f>
        <v>#N/A</v>
      </c>
      <c r="G44" s="103" t="e">
        <f aca="false">VLOOKUP(B44,Paysheet!$A$4:$CD$55,COLUMN(Paysheet!R46),FALSE())</f>
        <v>#N/A</v>
      </c>
      <c r="H44" s="104"/>
      <c r="I44" s="105" t="s">
        <v>189</v>
      </c>
      <c r="J44" s="105" t="e">
        <f aca="false">VLOOKUP(B44,Paysheet!$A$4:$CD$55,COLUMN(Paysheet!AW46),FALSE())</f>
        <v>#N/A</v>
      </c>
      <c r="K44" s="103" t="e">
        <f aca="false">VLOOKUP(B44,Paysheet!$A$4:$CD$55,COLUMN(Paysheet!AY46),FALSE())</f>
        <v>#N/A</v>
      </c>
    </row>
    <row r="45" customFormat="false" ht="15.75" hidden="false" customHeight="true" outlineLevel="0" collapsed="false">
      <c r="A45" s="97" t="s">
        <v>35</v>
      </c>
      <c r="B45" s="106" t="e">
        <f aca="false">VLOOKUP(B44,Paysheet!$A$4:$CD$55,COLUMN(Paysheet!K47),FALSE())</f>
        <v>#N/A</v>
      </c>
      <c r="C45" s="99"/>
      <c r="D45" s="107" t="s">
        <v>190</v>
      </c>
      <c r="E45" s="108"/>
      <c r="F45" s="102" t="e">
        <f aca="false">VLOOKUP(B44,Paysheet!$A$4:$CD$55,COLUMN(Paysheet!T47),FALSE())*0.3</f>
        <v>#N/A</v>
      </c>
      <c r="G45" s="102" t="e">
        <f aca="false">VLOOKUP(B44,Paysheet!$A$4:$CD$55,COLUMN(Paysheet!T47),FALSE())*0.7*N1</f>
        <v>#N/A</v>
      </c>
      <c r="H45" s="109"/>
      <c r="I45" s="102" t="s">
        <v>63</v>
      </c>
      <c r="J45" s="102" t="e">
        <f aca="false">VLOOKUP(B44,Paysheet!$A$4:$CD$55,COLUMN(Paysheet!AX47),FALSE())</f>
        <v>#N/A</v>
      </c>
      <c r="K45" s="110" t="e">
        <f aca="false">VLOOKUP(B44,Paysheet!$A$4:$CD$55,COLUMN(Paysheet!AZ47),FALSE())</f>
        <v>#N/A</v>
      </c>
    </row>
    <row r="46" customFormat="false" ht="15.75" hidden="false" customHeight="true" outlineLevel="0" collapsed="false">
      <c r="A46" s="97" t="s">
        <v>191</v>
      </c>
      <c r="B46" s="106" t="e">
        <f aca="false">VLOOKUP(B44,Paysheet!$A$4:$CD$55,COLUMN(Paysheet!D48),FALSE())</f>
        <v>#N/A</v>
      </c>
      <c r="C46" s="99"/>
      <c r="D46" s="107" t="s">
        <v>192</v>
      </c>
      <c r="E46" s="101"/>
      <c r="F46" s="102" t="e">
        <f aca="false">VLOOKUP(B44,Paysheet!$A$4:$CD$55,COLUMN(Paysheet!Z48),FALSE())*0.3</f>
        <v>#N/A</v>
      </c>
      <c r="G46" s="102" t="e">
        <f aca="false">VLOOKUP(B44,Paysheet!$A$4:$CD$55,COLUMN(Paysheet!Z48),FALSE())*0.7*N1</f>
        <v>#N/A</v>
      </c>
      <c r="H46" s="109"/>
      <c r="I46" s="102" t="s">
        <v>56</v>
      </c>
      <c r="J46" s="102" t="e">
        <f aca="false">VLOOKUP(B44,Paysheet!$A$4:$CD$55,COLUMN(Paysheet!AL48),FALSE())</f>
        <v>#N/A</v>
      </c>
      <c r="K46" s="110" t="e">
        <f aca="false">VLOOKUP(B44,Paysheet!$A$4:$CD$55,COLUMN(Paysheet!AM48),FALSE())</f>
        <v>#N/A</v>
      </c>
    </row>
    <row r="47" customFormat="false" ht="15.75" hidden="false" customHeight="true" outlineLevel="0" collapsed="false">
      <c r="A47" s="97" t="s">
        <v>193</v>
      </c>
      <c r="B47" s="106" t="s">
        <v>194</v>
      </c>
      <c r="C47" s="99"/>
      <c r="D47" s="107" t="s">
        <v>195</v>
      </c>
      <c r="E47" s="101"/>
      <c r="F47" s="102" t="e">
        <f aca="false">VLOOKUP(B44,Paysheet!$A$4:$CD$55,COLUMN(Paysheet!Y49),FALSE())*0.3</f>
        <v>#N/A</v>
      </c>
      <c r="G47" s="102" t="e">
        <f aca="false">VLOOKUP(B44,Paysheet!$A$4:$CD$55,COLUMN(Paysheet!Y49),FALSE())*0.3</f>
        <v>#N/A</v>
      </c>
      <c r="H47" s="109"/>
      <c r="I47" s="102" t="s">
        <v>60</v>
      </c>
      <c r="J47" s="102"/>
      <c r="K47" s="110" t="e">
        <f aca="false">VLOOKUP(B44,Paysheet!$A$4:$CD$55,COLUMN(Paysheet!AO49),FALSE())</f>
        <v>#N/A</v>
      </c>
    </row>
    <row r="48" customFormat="false" ht="15.75" hidden="false" customHeight="true" outlineLevel="0" collapsed="false">
      <c r="A48" s="97" t="s">
        <v>32</v>
      </c>
      <c r="B48" s="106" t="e">
        <f aca="false">VLOOKUP(B44,Paysheet!$A$4:$CD$55,COLUMN(Paysheet!H50),FALSE())</f>
        <v>#N/A</v>
      </c>
      <c r="C48" s="99"/>
      <c r="D48" s="107" t="s">
        <v>196</v>
      </c>
      <c r="E48" s="108"/>
      <c r="F48" s="102"/>
      <c r="G48" s="110"/>
      <c r="H48" s="109"/>
      <c r="I48" s="102" t="s">
        <v>197</v>
      </c>
      <c r="J48" s="102" t="e">
        <f aca="false">VLOOKUP(B44,Paysheet!$A$4:$CD$55,COLUMN(Paysheet!BI50),FALSE())</f>
        <v>#N/A</v>
      </c>
      <c r="K48" s="110"/>
    </row>
    <row r="49" customFormat="false" ht="15.75" hidden="false" customHeight="true" outlineLevel="0" collapsed="false">
      <c r="A49" s="97" t="s">
        <v>31</v>
      </c>
      <c r="B49" s="106" t="e">
        <f aca="false">VLOOKUP(B44,Paysheet!$A$4:$CD$55,COLUMN(Paysheet!G51),FALSE())</f>
        <v>#N/A</v>
      </c>
      <c r="C49" s="99"/>
      <c r="D49" s="107" t="s">
        <v>198</v>
      </c>
      <c r="E49" s="108"/>
      <c r="F49" s="102"/>
      <c r="G49" s="110"/>
      <c r="H49" s="109"/>
      <c r="I49" s="111" t="s">
        <v>199</v>
      </c>
      <c r="J49" s="102" t="e">
        <f aca="false">VLOOKUP(B44,Paysheet!$A$4:$CD$55,COLUMN(Paysheet!BF51),FALSE())</f>
        <v>#N/A</v>
      </c>
      <c r="K49" s="110" t="e">
        <f aca="false">VLOOKUP(B44,Paysheet!$A$4:$CD$55,COLUMN(Paysheet!BE51),FALSE())</f>
        <v>#N/A</v>
      </c>
    </row>
    <row r="50" customFormat="false" ht="15.75" hidden="false" customHeight="true" outlineLevel="0" collapsed="false">
      <c r="A50" s="97" t="s">
        <v>24</v>
      </c>
      <c r="B50" s="106" t="e">
        <f aca="false">VLOOKUP(B44,Paysheet!$A$4:$CD$55,COLUMN(Paysheet!CD52),FALSE())</f>
        <v>#N/A</v>
      </c>
      <c r="C50" s="99"/>
      <c r="D50" s="107" t="s">
        <v>200</v>
      </c>
      <c r="E50" s="108"/>
      <c r="F50" s="102"/>
      <c r="G50" s="102" t="e">
        <f aca="false">VLOOKUP(B44,Paysheet!$A$4:$CD$55,COLUMN(Paysheet!W52),FALSE())</f>
        <v>#N/A</v>
      </c>
      <c r="H50" s="112"/>
      <c r="I50" s="111" t="s">
        <v>64</v>
      </c>
      <c r="J50" s="102"/>
      <c r="K50" s="110" t="e">
        <f aca="false">VLOOKUP(B44,Paysheet!$A$4:$CD$55,COLUMN(Paysheet!BC52),FALSE())</f>
        <v>#N/A</v>
      </c>
    </row>
    <row r="51" customFormat="false" ht="15.75" hidden="false" customHeight="true" outlineLevel="0" collapsed="false">
      <c r="A51" s="97" t="s">
        <v>201</v>
      </c>
      <c r="B51" s="106" t="e">
        <f aca="false">VLOOKUP(B44,Paysheet!$A$4:$CD$55,COLUMN(Paysheet!I53),FALSE())</f>
        <v>#N/A</v>
      </c>
      <c r="C51" s="99"/>
      <c r="D51" s="107" t="s">
        <v>202</v>
      </c>
      <c r="E51" s="108"/>
      <c r="F51" s="102"/>
      <c r="G51" s="102" t="e">
        <f aca="false">VLOOKUP(B44,Paysheet!$A$4:$CD$55,COLUMN(Paysheet!X53),FALSE())</f>
        <v>#N/A</v>
      </c>
      <c r="H51" s="109"/>
      <c r="I51" s="111" t="s">
        <v>59</v>
      </c>
      <c r="J51" s="102"/>
      <c r="K51" s="110" t="e">
        <f aca="false">VLOOKUP(B44,Paysheet!$A$4:$CD$55,COLUMN(Paysheet!AN53),FALSE())</f>
        <v>#N/A</v>
      </c>
      <c r="L51" s="3"/>
      <c r="M51" s="3" t="s">
        <v>203</v>
      </c>
      <c r="N51" s="3"/>
    </row>
    <row r="52" customFormat="false" ht="15.75" hidden="false" customHeight="true" outlineLevel="0" collapsed="false">
      <c r="A52" s="97" t="s">
        <v>30</v>
      </c>
      <c r="B52" s="106" t="e">
        <f aca="false">VLOOKUP(B44,Paysheet!$A$4:$CD$55,COLUMN(Paysheet!F54),FALSE())</f>
        <v>#N/A</v>
      </c>
      <c r="C52" s="113"/>
      <c r="D52" s="107" t="s">
        <v>204</v>
      </c>
      <c r="E52" s="108"/>
      <c r="F52" s="102" t="e">
        <f aca="false">VLOOKUP(B44,Paysheet!$A$4:$CD$55,COLUMN(Paysheet!U14),FALSE())*0.3</f>
        <v>#N/A</v>
      </c>
      <c r="G52" s="102" t="e">
        <f aca="false">VLOOKUP(B44,Paysheet!$A$4:$CD$55,COLUMN(Paysheet!U14),FALSE())*0.7*N1</f>
        <v>#N/A</v>
      </c>
      <c r="H52" s="109"/>
      <c r="I52" s="102" t="s">
        <v>205</v>
      </c>
      <c r="J52" s="102"/>
      <c r="K52" s="110" t="e">
        <f aca="false">VLOOKUP(B44,Paysheet!$A$4:$CD$55,COLUMN(Paysheet!BD54),FALSE())</f>
        <v>#N/A</v>
      </c>
      <c r="L52" s="3"/>
      <c r="M52" s="3" t="s">
        <v>206</v>
      </c>
      <c r="N52" s="3" t="e">
        <f aca="false">F55-J55</f>
        <v>#N/A</v>
      </c>
    </row>
    <row r="53" customFormat="false" ht="15.75" hidden="false" customHeight="true" outlineLevel="0" collapsed="false">
      <c r="A53" s="114" t="s">
        <v>29</v>
      </c>
      <c r="B53" s="115" t="e">
        <f aca="false">VLOOKUP(B44,Paysheet!$A$4:$CD$55,COLUMN(Paysheet!E55),FALSE())</f>
        <v>#N/A</v>
      </c>
      <c r="C53" s="116"/>
      <c r="D53" s="117" t="s">
        <v>207</v>
      </c>
      <c r="E53" s="118"/>
      <c r="F53" s="120" t="e">
        <f aca="false">VLOOKUP(B44,Paysheet!$A$4:$CD$55,COLUMN(Paysheet!V15),FALSE())*0.3</f>
        <v>#N/A</v>
      </c>
      <c r="G53" s="121" t="e">
        <f aca="false">VLOOKUP(B44,Paysheet!$A$4:$CD$55,COLUMN(Paysheet!V15),FALSE())*0.7*N1</f>
        <v>#N/A</v>
      </c>
      <c r="H53" s="119"/>
      <c r="I53" s="120" t="s">
        <v>208</v>
      </c>
      <c r="J53" s="120" t="e">
        <f aca="false">VLOOKUP(B44,Paysheet!$A$4:$CD$55,COLUMN(Paysheet!BK55),FALSE())</f>
        <v>#N/A</v>
      </c>
      <c r="K53" s="121"/>
      <c r="L53" s="3"/>
      <c r="M53" s="3" t="s">
        <v>209</v>
      </c>
      <c r="N53" s="3" t="e">
        <f aca="false">G55-K55</f>
        <v>#N/A</v>
      </c>
    </row>
    <row r="54" customFormat="false" ht="15.75" hidden="true" customHeight="true" outlineLevel="0" collapsed="false">
      <c r="A54" s="122"/>
      <c r="B54" s="122"/>
      <c r="C54" s="123"/>
      <c r="D54" s="123"/>
      <c r="E54" s="124"/>
      <c r="F54" s="125"/>
      <c r="G54" s="125"/>
      <c r="H54" s="126"/>
      <c r="I54" s="125"/>
      <c r="J54" s="125"/>
      <c r="K54" s="127"/>
    </row>
    <row r="55" customFormat="false" ht="15.75" hidden="false" customHeight="true" outlineLevel="0" collapsed="false">
      <c r="A55" s="128"/>
      <c r="B55" s="129"/>
      <c r="C55" s="130"/>
      <c r="D55" s="131" t="s">
        <v>210</v>
      </c>
      <c r="E55" s="132"/>
      <c r="F55" s="133" t="e">
        <f aca="false">SUM(F44:F54)</f>
        <v>#N/A</v>
      </c>
      <c r="G55" s="134" t="e">
        <f aca="false">SUM(G44:G54)</f>
        <v>#N/A</v>
      </c>
      <c r="H55" s="135"/>
      <c r="I55" s="134" t="s">
        <v>211</v>
      </c>
      <c r="J55" s="134" t="e">
        <f aca="false">SUM(J44:J54)</f>
        <v>#N/A</v>
      </c>
      <c r="K55" s="134" t="e">
        <f aca="false">SUM(K44:K54)</f>
        <v>#N/A</v>
      </c>
      <c r="L55" s="3"/>
      <c r="M55" s="3"/>
    </row>
    <row r="56" customFormat="false" ht="6" hidden="false" customHeight="true" outlineLevel="0" collapsed="false">
      <c r="A56" s="91"/>
      <c r="B56" s="91"/>
      <c r="C56" s="91"/>
      <c r="D56" s="136"/>
      <c r="E56" s="137"/>
      <c r="F56" s="138"/>
      <c r="G56" s="139"/>
      <c r="H56" s="139"/>
      <c r="I56" s="138"/>
      <c r="J56" s="140"/>
      <c r="K56" s="138"/>
    </row>
    <row r="57" customFormat="false" ht="15.75" hidden="false" customHeight="true" outlineLevel="0" collapsed="false">
      <c r="A57" s="141" t="s">
        <v>212</v>
      </c>
      <c r="B57" s="142" t="e">
        <f aca="false">VLOOKUP(B44,Paysheet!$A$4:$CD$55,COLUMN(Paysheet!BU59),FALSE())</f>
        <v>#N/A</v>
      </c>
      <c r="C57" s="83"/>
      <c r="D57" s="90" t="e">
        <f aca="false">VLOOKUP(B44,Paysheet!$A$4:$CD$55,COLUMN(Paysheet!BW59),FALSE())</f>
        <v>#N/A</v>
      </c>
      <c r="E57" s="143"/>
      <c r="F57" s="144" t="s">
        <v>213</v>
      </c>
      <c r="G57" s="145"/>
      <c r="H57" s="146"/>
      <c r="I57" s="147" t="s">
        <v>214</v>
      </c>
      <c r="J57" s="148" t="s">
        <v>215</v>
      </c>
      <c r="K57" s="149" t="e">
        <f aca="false">VLOOKUP(B44,Paysheet!$A$4:$CD$55,COLUMN(Paysheet!BM46),FALSE())</f>
        <v>#N/A</v>
      </c>
      <c r="L57" s="3"/>
    </row>
    <row r="58" customFormat="false" ht="15.75" hidden="false" customHeight="true" outlineLevel="0" collapsed="false">
      <c r="A58" s="97" t="s">
        <v>216</v>
      </c>
      <c r="B58" s="150" t="e">
        <f aca="false">VLOOKUP(B44,Paysheet!$A$4:$CD$55,COLUMN(Paysheet!BX60),FALSE())</f>
        <v>#N/A</v>
      </c>
      <c r="C58" s="99"/>
      <c r="D58" s="106" t="e">
        <f aca="false">VLOOKUP(B44,Paysheet!$A$4:$CD$55,COLUMN(Paysheet!BZ60),FALSE())</f>
        <v>#N/A</v>
      </c>
      <c r="E58" s="151"/>
      <c r="F58" s="152" t="e">
        <f aca="false">VLOOKUP(B44,Paysheet!$A$4:$CD$55,COLUMN(Paysheet!AU59),FALSE())</f>
        <v>#N/A</v>
      </c>
      <c r="G58" s="153"/>
      <c r="H58" s="154"/>
      <c r="I58" s="147"/>
      <c r="J58" s="155" t="s">
        <v>23</v>
      </c>
      <c r="K58" s="156" t="e">
        <f aca="false">VLOOKUP(B44,Paysheet!$A$4:$CD$55,COLUMN(Paysheet!BL46),FALSE())</f>
        <v>#N/A</v>
      </c>
    </row>
    <row r="59" customFormat="false" ht="6" hidden="false" customHeight="tru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</row>
    <row r="61" customFormat="false" ht="15" hidden="false" customHeight="false" outlineLevel="0" collapsed="false">
      <c r="K61" s="3"/>
      <c r="L61" s="3"/>
    </row>
    <row r="62" customFormat="false" ht="15" hidden="false" customHeight="false" outlineLevel="0" collapsed="false">
      <c r="L62" s="3"/>
    </row>
    <row r="63" customFormat="false" ht="15" hidden="false" customHeight="false" outlineLevel="0" collapsed="false">
      <c r="L63" s="3"/>
    </row>
  </sheetData>
  <mergeCells count="21">
    <mergeCell ref="A1:K1"/>
    <mergeCell ref="A2:B2"/>
    <mergeCell ref="D2:D3"/>
    <mergeCell ref="F2:G2"/>
    <mergeCell ref="I2:I3"/>
    <mergeCell ref="J2:K2"/>
    <mergeCell ref="I17:I18"/>
    <mergeCell ref="A21:K21"/>
    <mergeCell ref="A22:B22"/>
    <mergeCell ref="D22:D23"/>
    <mergeCell ref="F22:G22"/>
    <mergeCell ref="I22:I23"/>
    <mergeCell ref="J22:K22"/>
    <mergeCell ref="I37:I38"/>
    <mergeCell ref="A41:K41"/>
    <mergeCell ref="A42:B42"/>
    <mergeCell ref="D42:D43"/>
    <mergeCell ref="F42:G42"/>
    <mergeCell ref="I42:I43"/>
    <mergeCell ref="J42:K42"/>
    <mergeCell ref="I57:I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.57"/>
    <col collapsed="false" customWidth="true" hidden="false" outlineLevel="0" max="3" min="3" style="1" width="18"/>
    <col collapsed="false" customWidth="true" hidden="false" outlineLevel="0" max="4" min="4" style="1" width="17.57"/>
    <col collapsed="false" customWidth="true" hidden="true" outlineLevel="0" max="5" min="5" style="1" width="11.29"/>
    <col collapsed="false" customWidth="true" hidden="true" outlineLevel="0" max="6" min="6" style="1" width="15"/>
    <col collapsed="false" customWidth="true" hidden="true" outlineLevel="0" max="7" min="7" style="1" width="16.85"/>
    <col collapsed="false" customWidth="true" hidden="true" outlineLevel="0" max="8" min="8" style="1" width="14.71"/>
    <col collapsed="false" customWidth="true" hidden="true" outlineLevel="0" max="9" min="9" style="1" width="11.43"/>
    <col collapsed="false" customWidth="true" hidden="true" outlineLevel="0" max="10" min="10" style="1" width="11.85"/>
    <col collapsed="false" customWidth="true" hidden="true" outlineLevel="0" max="11" min="11" style="1" width="17.29"/>
    <col collapsed="false" customWidth="true" hidden="true" outlineLevel="0" max="12" min="12" style="1" width="13.42"/>
    <col collapsed="false" customWidth="true" hidden="false" outlineLevel="0" max="13" min="13" style="4" width="12.57"/>
    <col collapsed="false" customWidth="true" hidden="false" outlineLevel="0" max="14" min="14" style="4" width="13.29"/>
    <col collapsed="false" customWidth="true" hidden="false" outlineLevel="0" max="15" min="15" style="1" width="13.71"/>
    <col collapsed="false" customWidth="true" hidden="false" outlineLevel="0" max="16" min="16" style="1" width="14.57"/>
    <col collapsed="false" customWidth="true" hidden="false" outlineLevel="0" max="18" min="18" style="1" width="14.14"/>
  </cols>
  <sheetData>
    <row r="1" customFormat="false" ht="18.75" hidden="false" customHeight="true" outlineLevel="0" collapsed="false">
      <c r="B1" s="157" t="s">
        <v>217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</row>
    <row r="2" customFormat="false" ht="18.75" hidden="false" customHeight="true" outlineLevel="0" collapsed="false">
      <c r="B2" s="158" t="s">
        <v>218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9" t="s">
        <v>219</v>
      </c>
      <c r="N2" s="159"/>
      <c r="O2" s="160" t="s">
        <v>177</v>
      </c>
      <c r="P2" s="160"/>
      <c r="Q2" s="1" t="s">
        <v>23</v>
      </c>
      <c r="R2" s="1" t="s">
        <v>209</v>
      </c>
    </row>
    <row r="3" customFormat="false" ht="15" hidden="false" customHeight="false" outlineLevel="0" collapsed="false">
      <c r="B3" s="39"/>
      <c r="C3" s="26" t="s">
        <v>26</v>
      </c>
      <c r="D3" s="26" t="s">
        <v>27</v>
      </c>
      <c r="E3" s="26" t="s">
        <v>220</v>
      </c>
      <c r="F3" s="26" t="s">
        <v>221</v>
      </c>
      <c r="G3" s="26" t="s">
        <v>81</v>
      </c>
      <c r="H3" s="26" t="s">
        <v>222</v>
      </c>
      <c r="I3" s="26" t="s">
        <v>220</v>
      </c>
      <c r="J3" s="26" t="s">
        <v>221</v>
      </c>
      <c r="K3" s="26" t="s">
        <v>81</v>
      </c>
      <c r="L3" s="26" t="s">
        <v>222</v>
      </c>
      <c r="M3" s="161" t="s">
        <v>23</v>
      </c>
      <c r="N3" s="161" t="s">
        <v>22</v>
      </c>
      <c r="O3" s="162" t="s">
        <v>23</v>
      </c>
      <c r="P3" s="162" t="s">
        <v>22</v>
      </c>
      <c r="Q3" s="3"/>
      <c r="R3" s="3"/>
    </row>
    <row r="4" customFormat="false" ht="15.75" hidden="false" customHeight="true" outlineLevel="0" collapsed="false">
      <c r="A4" s="1" t="n">
        <v>1</v>
      </c>
      <c r="B4" s="39" t="str">
        <f aca="false">Paysheet!A4</f>
        <v>AES-E050</v>
      </c>
      <c r="C4" s="40" t="str">
        <f aca="false">Paysheet!B4</f>
        <v>Clever </v>
      </c>
      <c r="D4" s="41" t="str">
        <f aca="false">Paysheet!C4</f>
        <v>Chakabva</v>
      </c>
      <c r="E4" s="163" t="str">
        <f aca="false">Paysheet!BU4</f>
        <v>FBC</v>
      </c>
      <c r="F4" s="39" t="str">
        <f aca="false">Paysheet!BV4</f>
        <v>Gweru</v>
      </c>
      <c r="G4" s="39" t="str">
        <f aca="false">Paysheet!BW4</f>
        <v>2212772367295</v>
      </c>
      <c r="H4" s="163" t="n">
        <f aca="false">Paysheet!BM4</f>
        <v>3976514.3673731</v>
      </c>
      <c r="I4" s="163" t="str">
        <f aca="false">Paysheet!BX4</f>
        <v>FBC</v>
      </c>
      <c r="J4" s="39" t="str">
        <f aca="false">Paysheet!BY4</f>
        <v>Gweru</v>
      </c>
      <c r="K4" s="39" t="str">
        <f aca="false">Paysheet!BZ4</f>
        <v>1220508908844</v>
      </c>
      <c r="L4" s="163" t="n">
        <f aca="false">Paysheet!BL4</f>
        <v>248.214265286322</v>
      </c>
      <c r="M4" s="48" t="n">
        <v>175.73</v>
      </c>
      <c r="N4" s="48" t="n">
        <v>687057.09</v>
      </c>
      <c r="O4" s="163" t="n">
        <f aca="false">L4+M4</f>
        <v>423.944265286322</v>
      </c>
      <c r="P4" s="163" t="n">
        <f aca="false">H4+N4</f>
        <v>4663571.4573731</v>
      </c>
      <c r="Q4" s="3" t="n">
        <f aca="false">437.78-O4</f>
        <v>13.8357347136781</v>
      </c>
      <c r="R4" s="3" t="n">
        <f aca="false">1518321.1-P4</f>
        <v>-3145250.3573731</v>
      </c>
    </row>
    <row r="5" customFormat="false" ht="15.75" hidden="false" customHeight="true" outlineLevel="0" collapsed="false">
      <c r="A5" s="1" t="n">
        <v>2</v>
      </c>
      <c r="B5" s="39" t="str">
        <f aca="false">Paysheet!A5</f>
        <v>AES-E052</v>
      </c>
      <c r="C5" s="40" t="str">
        <f aca="false">Paysheet!B5</f>
        <v>Tatenda </v>
      </c>
      <c r="D5" s="41" t="str">
        <f aca="false">Paysheet!C5</f>
        <v>Masuku</v>
      </c>
      <c r="E5" s="163" t="str">
        <f aca="false">Paysheet!BU5</f>
        <v>FBC</v>
      </c>
      <c r="F5" s="39" t="str">
        <f aca="false">Paysheet!BV5</f>
        <v>Gweru</v>
      </c>
      <c r="G5" s="39" t="str">
        <f aca="false">Paysheet!BW5</f>
        <v>8658583780750</v>
      </c>
      <c r="H5" s="163" t="n">
        <f aca="false">Paysheet!BM5</f>
        <v>2082933.91485029</v>
      </c>
      <c r="I5" s="163" t="str">
        <f aca="false">Paysheet!BX5</f>
        <v>FBC</v>
      </c>
      <c r="J5" s="39" t="str">
        <f aca="false">Paysheet!BY5</f>
        <v>Gweru</v>
      </c>
      <c r="K5" s="39" t="str">
        <f aca="false">Paysheet!BZ5</f>
        <v>5753027522713</v>
      </c>
      <c r="L5" s="163" t="n">
        <f aca="false">Paysheet!BL5</f>
        <v>129.310066329056</v>
      </c>
      <c r="M5" s="48" t="n">
        <v>80.56</v>
      </c>
      <c r="N5" s="48" t="n">
        <v>323181.65</v>
      </c>
      <c r="O5" s="163" t="n">
        <f aca="false">L5+M5</f>
        <v>209.870066329056</v>
      </c>
      <c r="P5" s="163" t="n">
        <f aca="false">H5+N5</f>
        <v>2406115.56485029</v>
      </c>
      <c r="Q5" s="3" t="n">
        <f aca="false">211.24-O5</f>
        <v>1.36993367094442</v>
      </c>
      <c r="R5" s="3" t="n">
        <f aca="false">764848.8-P5</f>
        <v>-1641266.76485029</v>
      </c>
    </row>
    <row r="6" customFormat="false" ht="15.75" hidden="false" customHeight="true" outlineLevel="0" collapsed="false">
      <c r="A6" s="1" t="n">
        <v>3</v>
      </c>
      <c r="B6" s="39" t="str">
        <f aca="false">Paysheet!A6</f>
        <v>AES-E051</v>
      </c>
      <c r="C6" s="40" t="str">
        <f aca="false">Paysheet!B6</f>
        <v>Kupakwashe</v>
      </c>
      <c r="D6" s="41" t="str">
        <f aca="false">Paysheet!C6</f>
        <v>Matongo</v>
      </c>
      <c r="E6" s="163" t="str">
        <f aca="false">Paysheet!BU6</f>
        <v>FBC</v>
      </c>
      <c r="F6" s="39" t="str">
        <f aca="false">Paysheet!BV6</f>
        <v>Gweru</v>
      </c>
      <c r="G6" s="39" t="str">
        <f aca="false">Paysheet!BW6</f>
        <v>6670509580791</v>
      </c>
      <c r="H6" s="163" t="n">
        <f aca="false">Paysheet!BM6</f>
        <v>2017307.80504102</v>
      </c>
      <c r="I6" s="163" t="str">
        <f aca="false">Paysheet!BX6</f>
        <v>FBC</v>
      </c>
      <c r="J6" s="39" t="str">
        <f aca="false">Paysheet!BY6</f>
        <v>Gweru</v>
      </c>
      <c r="K6" s="39" t="str">
        <f aca="false">Paysheet!BZ6</f>
        <v>5320100212640</v>
      </c>
      <c r="L6" s="163" t="n">
        <f aca="false">Paysheet!BL6</f>
        <v>115.215038936666</v>
      </c>
      <c r="M6" s="48" t="n">
        <v>73.43</v>
      </c>
      <c r="N6" s="48" t="n">
        <v>292266.66</v>
      </c>
      <c r="O6" s="163" t="n">
        <f aca="false">L6+M6</f>
        <v>188.645038936666</v>
      </c>
      <c r="P6" s="163" t="n">
        <f aca="false">H6+N6</f>
        <v>2309574.46504102</v>
      </c>
      <c r="Q6" s="3" t="n">
        <f aca="false">172.64-O6</f>
        <v>-16.0050389366656</v>
      </c>
      <c r="R6" s="3" t="n">
        <f aca="false">672416-85-P6</f>
        <v>-1637243.46504102</v>
      </c>
    </row>
    <row r="7" customFormat="false" ht="15.75" hidden="false" customHeight="true" outlineLevel="0" collapsed="false">
      <c r="A7" s="1" t="n">
        <v>4</v>
      </c>
      <c r="B7" s="39" t="str">
        <f aca="false">Paysheet!A7</f>
        <v>AES-E053</v>
      </c>
      <c r="C7" s="40" t="str">
        <f aca="false">Paysheet!B7</f>
        <v>Panashe</v>
      </c>
      <c r="D7" s="41" t="str">
        <f aca="false">Paysheet!C7</f>
        <v>Gorejena</v>
      </c>
      <c r="E7" s="163" t="str">
        <f aca="false">Paysheet!BU7</f>
        <v>NMB</v>
      </c>
      <c r="F7" s="39" t="str">
        <f aca="false">Paysheet!BV7</f>
        <v>Gweru</v>
      </c>
      <c r="G7" s="39" t="str">
        <f aca="false">Paysheet!BW7</f>
        <v>9176546035391</v>
      </c>
      <c r="H7" s="163" t="n">
        <f aca="false">Paysheet!BM7</f>
        <v>2361219.26610647</v>
      </c>
      <c r="I7" s="163" t="str">
        <f aca="false">Paysheet!BX7</f>
        <v>FBC</v>
      </c>
      <c r="J7" s="39" t="str">
        <f aca="false">Paysheet!BY7</f>
        <v>Gweru</v>
      </c>
      <c r="K7" s="39" t="str">
        <f aca="false">Paysheet!BZ7</f>
        <v>7668659091022</v>
      </c>
      <c r="L7" s="163" t="n">
        <f aca="false">Paysheet!BL7</f>
        <v>146.585887763366</v>
      </c>
      <c r="M7" s="48" t="n">
        <v>108.44</v>
      </c>
      <c r="N7" s="48" t="n">
        <v>429459.23</v>
      </c>
      <c r="O7" s="163" t="n">
        <f aca="false">L7+M7</f>
        <v>255.025887763366</v>
      </c>
      <c r="P7" s="163" t="n">
        <f aca="false">H7+N7</f>
        <v>2790678.49610647</v>
      </c>
      <c r="Q7" s="3" t="n">
        <f aca="false">282.06-O7</f>
        <v>27.0341122366339</v>
      </c>
      <c r="R7" s="3" t="n">
        <f aca="false">672416.85-P7</f>
        <v>-2118261.64610647</v>
      </c>
    </row>
    <row r="8" customFormat="false" ht="15.75" hidden="false" customHeight="true" outlineLevel="0" collapsed="false">
      <c r="A8" s="1" t="n">
        <v>5</v>
      </c>
      <c r="B8" s="39" t="str">
        <f aca="false">Paysheet!A8</f>
        <v>AES-E054</v>
      </c>
      <c r="C8" s="40" t="str">
        <f aca="false">Paysheet!B8</f>
        <v>Tapiwa</v>
      </c>
      <c r="D8" s="41" t="str">
        <f aca="false">Paysheet!C8</f>
        <v>Shumba</v>
      </c>
      <c r="E8" s="163" t="str">
        <f aca="false">Paysheet!BU8</f>
        <v>FBC</v>
      </c>
      <c r="F8" s="39" t="str">
        <f aca="false">Paysheet!BV8</f>
        <v>Gweru</v>
      </c>
      <c r="G8" s="39" t="str">
        <f aca="false">Paysheet!BW8</f>
        <v>9577830686343</v>
      </c>
      <c r="H8" s="163" t="n">
        <f aca="false">Paysheet!BM8</f>
        <v>2082933.91485029</v>
      </c>
      <c r="I8" s="163" t="str">
        <f aca="false">Paysheet!BX8</f>
        <v>FBC</v>
      </c>
      <c r="J8" s="39" t="str">
        <f aca="false">Paysheet!BY8</f>
        <v>Gweru</v>
      </c>
      <c r="K8" s="39" t="str">
        <f aca="false">Paysheet!BZ8</f>
        <v>7241498528903</v>
      </c>
      <c r="L8" s="163" t="n">
        <f aca="false">Paysheet!BL8</f>
        <v>129.310066329056</v>
      </c>
      <c r="M8" s="48" t="n">
        <v>73.43</v>
      </c>
      <c r="N8" s="48" t="n">
        <v>292266.66</v>
      </c>
      <c r="O8" s="163" t="n">
        <f aca="false">L8+M8</f>
        <v>202.740066329056</v>
      </c>
      <c r="P8" s="163" t="n">
        <f aca="false">H8+N8</f>
        <v>2375200.57485029</v>
      </c>
      <c r="Q8" s="3" t="n">
        <f aca="false">207.06-O8</f>
        <v>4.31993367094441</v>
      </c>
      <c r="R8" s="3" t="n">
        <f aca="false">1005465.12-P8</f>
        <v>-1369735.45485029</v>
      </c>
    </row>
    <row r="9" customFormat="false" ht="15.75" hidden="false" customHeight="true" outlineLevel="0" collapsed="false">
      <c r="A9" s="1" t="n">
        <v>6</v>
      </c>
      <c r="B9" s="39" t="str">
        <f aca="false">Paysheet!A9</f>
        <v>AES-E057</v>
      </c>
      <c r="C9" s="40" t="str">
        <f aca="false">Paysheet!B9</f>
        <v>Energy</v>
      </c>
      <c r="D9" s="41" t="str">
        <f aca="false">Paysheet!C9</f>
        <v>Mudenda</v>
      </c>
      <c r="E9" s="163" t="str">
        <f aca="false">Paysheet!BU9</f>
        <v>FBC</v>
      </c>
      <c r="F9" s="39" t="str">
        <f aca="false">Paysheet!BV9</f>
        <v>Gweru</v>
      </c>
      <c r="G9" s="39" t="str">
        <f aca="false">Paysheet!BW9</f>
        <v>4362736323263</v>
      </c>
      <c r="H9" s="163" t="n">
        <f aca="false">Paysheet!BM9</f>
        <v>2603199.23514191</v>
      </c>
      <c r="I9" s="163" t="str">
        <f aca="false">Paysheet!BX9</f>
        <v>FBC</v>
      </c>
      <c r="J9" s="39" t="str">
        <f aca="false">Paysheet!BY9</f>
        <v>Gweru</v>
      </c>
      <c r="K9" s="39" t="str">
        <f aca="false">Paysheet!BZ9</f>
        <v>5243795393319</v>
      </c>
      <c r="L9" s="163" t="n">
        <f aca="false">Paysheet!BL9</f>
        <v>161.623772817205</v>
      </c>
      <c r="M9" s="48" t="n">
        <v>94.92</v>
      </c>
      <c r="N9" s="48" t="n">
        <v>418269.45</v>
      </c>
      <c r="O9" s="163" t="n">
        <f aca="false">L9+M9</f>
        <v>256.543772817205</v>
      </c>
      <c r="P9" s="163" t="n">
        <f aca="false">H9+N9</f>
        <v>3021468.68514191</v>
      </c>
    </row>
    <row r="10" customFormat="false" ht="15.75" hidden="false" customHeight="true" outlineLevel="0" collapsed="false">
      <c r="A10" s="1" t="n">
        <v>7</v>
      </c>
      <c r="B10" s="39" t="str">
        <f aca="false">Paysheet!A10</f>
        <v>AES-E055</v>
      </c>
      <c r="C10" s="40" t="str">
        <f aca="false">Paysheet!B10</f>
        <v>Perfect</v>
      </c>
      <c r="D10" s="41" t="str">
        <f aca="false">Paysheet!C10</f>
        <v>Mhererwa</v>
      </c>
      <c r="E10" s="163" t="str">
        <f aca="false">Paysheet!BU10</f>
        <v>ZB</v>
      </c>
      <c r="F10" s="39" t="str">
        <f aca="false">Paysheet!BV10</f>
        <v>Shurugwi</v>
      </c>
      <c r="G10" s="39" t="str">
        <f aca="false">Paysheet!BW10</f>
        <v>9378152371743</v>
      </c>
      <c r="H10" s="163" t="n">
        <f aca="false">Paysheet!BM10</f>
        <v>2082933.91485029</v>
      </c>
      <c r="I10" s="163" t="str">
        <f aca="false">Paysheet!BX10</f>
        <v>FBC</v>
      </c>
      <c r="J10" s="39" t="str">
        <f aca="false">Paysheet!BY10</f>
        <v>Gweru</v>
      </c>
      <c r="K10" s="39" t="str">
        <f aca="false">Paysheet!BZ10</f>
        <v>8883373049733</v>
      </c>
      <c r="L10" s="163" t="n">
        <f aca="false">Paysheet!BL10</f>
        <v>129.310066329056</v>
      </c>
      <c r="M10" s="48" t="n">
        <v>80.56</v>
      </c>
      <c r="N10" s="48" t="n">
        <v>323181.65</v>
      </c>
      <c r="O10" s="163" t="n">
        <f aca="false">L10+M10</f>
        <v>209.870066329056</v>
      </c>
      <c r="P10" s="163" t="n">
        <f aca="false">H10+N10</f>
        <v>2406115.56485029</v>
      </c>
      <c r="Q10" s="3" t="n">
        <f aca="false">221.24-O10</f>
        <v>11.3699336709444</v>
      </c>
      <c r="R10" s="3" t="n">
        <f aca="false">764848.8-P10</f>
        <v>-1641266.76485029</v>
      </c>
    </row>
    <row r="11" customFormat="false" ht="15.75" hidden="false" customHeight="true" outlineLevel="0" collapsed="false">
      <c r="A11" s="1" t="n">
        <v>8</v>
      </c>
      <c r="B11" s="39" t="str">
        <f aca="false">Paysheet!A11</f>
        <v>AES-E056</v>
      </c>
      <c r="C11" s="40" t="str">
        <f aca="false">Paysheet!B11</f>
        <v>Tanyaradzwa</v>
      </c>
      <c r="D11" s="41" t="str">
        <f aca="false">Paysheet!C11</f>
        <v>Ndoro</v>
      </c>
      <c r="E11" s="163" t="str">
        <f aca="false">Paysheet!BU11</f>
        <v>ZB</v>
      </c>
      <c r="F11" s="39" t="str">
        <f aca="false">Paysheet!BV11</f>
        <v>Shurugwi</v>
      </c>
      <c r="G11" s="39" t="str">
        <f aca="false">Paysheet!BW11</f>
        <v>6386933976899</v>
      </c>
      <c r="H11" s="163" t="n">
        <f aca="false">Paysheet!BM11</f>
        <v>2082933.91485029</v>
      </c>
      <c r="I11" s="163" t="str">
        <f aca="false">Paysheet!BX11</f>
        <v>FBC</v>
      </c>
      <c r="J11" s="39" t="str">
        <f aca="false">Paysheet!BY11</f>
        <v>Gweru</v>
      </c>
      <c r="K11" s="39" t="str">
        <f aca="false">Paysheet!BZ11</f>
        <v>9325231550423</v>
      </c>
      <c r="L11" s="163" t="n">
        <f aca="false">Paysheet!BL11</f>
        <v>129.310066329056</v>
      </c>
      <c r="M11" s="48" t="n">
        <v>65.36</v>
      </c>
      <c r="N11" s="48" t="n">
        <v>268616.88</v>
      </c>
      <c r="O11" s="163" t="n">
        <f aca="false">L11+M11</f>
        <v>194.670066329056</v>
      </c>
      <c r="P11" s="163" t="n">
        <f aca="false">H11+N11</f>
        <v>2351550.79485029</v>
      </c>
      <c r="Q11" s="3" t="n">
        <f aca="false">202.24-O11</f>
        <v>7.56993367094441</v>
      </c>
      <c r="R11" s="3" t="n">
        <f aca="false">699963.89-P11</f>
        <v>-1651586.90485029</v>
      </c>
    </row>
    <row r="12" customFormat="false" ht="15.75" hidden="false" customHeight="true" outlineLevel="0" collapsed="false">
      <c r="A12" s="1" t="n">
        <v>9</v>
      </c>
      <c r="B12" s="39" t="str">
        <f aca="false">Paysheet!A12</f>
        <v>AES-E059</v>
      </c>
      <c r="C12" s="40" t="str">
        <f aca="false">Paysheet!B12</f>
        <v>Perfect</v>
      </c>
      <c r="D12" s="41" t="str">
        <f aca="false">Paysheet!C12</f>
        <v>Chinouriri</v>
      </c>
      <c r="E12" s="163" t="str">
        <f aca="false">Paysheet!BU12</f>
        <v>ZB</v>
      </c>
      <c r="F12" s="39" t="str">
        <f aca="false">Paysheet!BV12</f>
        <v>Gweru</v>
      </c>
      <c r="G12" s="39" t="str">
        <f aca="false">Paysheet!BW12</f>
        <v>6817749619277</v>
      </c>
      <c r="H12" s="163" t="n">
        <f aca="false">Paysheet!BM12</f>
        <v>2699773.27740304</v>
      </c>
      <c r="I12" s="163" t="str">
        <f aca="false">Paysheet!BX12</f>
        <v>FBC</v>
      </c>
      <c r="J12" s="39" t="str">
        <f aca="false">Paysheet!BY12</f>
        <v>Gweru</v>
      </c>
      <c r="K12" s="39" t="str">
        <f aca="false">Paysheet!BZ12</f>
        <v>5765067552342</v>
      </c>
      <c r="L12" s="163" t="n">
        <f aca="false">Paysheet!BL12</f>
        <v>167.603044066417</v>
      </c>
      <c r="M12" s="48" t="n">
        <v>107.94</v>
      </c>
      <c r="N12" s="48" t="n">
        <v>427012.64</v>
      </c>
      <c r="O12" s="163" t="n">
        <f aca="false">L12+M12</f>
        <v>275.543044066417</v>
      </c>
      <c r="P12" s="163" t="n">
        <f aca="false">H12+N12</f>
        <v>3126785.91740304</v>
      </c>
      <c r="Q12" s="3" t="n">
        <f aca="false">282.91-O12</f>
        <v>7.3669559335828</v>
      </c>
      <c r="R12" s="3" t="n">
        <f aca="false">974743.85-P12</f>
        <v>-2152042.06740304</v>
      </c>
    </row>
    <row r="13" customFormat="false" ht="15.75" hidden="false" customHeight="true" outlineLevel="0" collapsed="false">
      <c r="A13" s="1" t="n">
        <v>10</v>
      </c>
      <c r="B13" s="39" t="str">
        <f aca="false">Paysheet!A13</f>
        <v>AES-E058</v>
      </c>
      <c r="C13" s="40" t="str">
        <f aca="false">Paysheet!B13</f>
        <v>Wisdom</v>
      </c>
      <c r="D13" s="41" t="str">
        <f aca="false">Paysheet!C13</f>
        <v>Mavhunga</v>
      </c>
      <c r="E13" s="163" t="str">
        <f aca="false">Paysheet!BU13</f>
        <v>ZB</v>
      </c>
      <c r="F13" s="39" t="str">
        <f aca="false">Paysheet!BV13</f>
        <v>Shurugwi</v>
      </c>
      <c r="G13" s="39" t="str">
        <f aca="false">Paysheet!BW13</f>
        <v>4387532121887</v>
      </c>
      <c r="H13" s="163" t="n">
        <f aca="false">Paysheet!BM13</f>
        <v>2082933.91485029</v>
      </c>
      <c r="I13" s="163" t="str">
        <f aca="false">Paysheet!BX13</f>
        <v>FBC</v>
      </c>
      <c r="J13" s="39" t="str">
        <f aca="false">Paysheet!BY13</f>
        <v>Gweru</v>
      </c>
      <c r="K13" s="39" t="str">
        <f aca="false">Paysheet!BZ13</f>
        <v>3101594275846</v>
      </c>
      <c r="L13" s="163" t="n">
        <f aca="false">Paysheet!BL13</f>
        <v>129.310066329056</v>
      </c>
      <c r="M13" s="48" t="n">
        <v>73.2</v>
      </c>
      <c r="N13" s="48" t="n">
        <v>290702.3</v>
      </c>
      <c r="O13" s="163" t="n">
        <f aca="false">L13+M13</f>
        <v>202.510066329056</v>
      </c>
      <c r="P13" s="163" t="n">
        <f aca="false">H13+N13</f>
        <v>2373636.21485029</v>
      </c>
      <c r="Q13" s="3" t="n">
        <f aca="false">206.83-O13</f>
        <v>4.31993367094444</v>
      </c>
      <c r="R13" s="3" t="n">
        <f aca="false">711439.9-P13</f>
        <v>-1662196.31485029</v>
      </c>
    </row>
    <row r="14" customFormat="false" ht="15.75" hidden="false" customHeight="true" outlineLevel="0" collapsed="false">
      <c r="A14" s="1" t="n">
        <v>11</v>
      </c>
      <c r="B14" s="39" t="str">
        <f aca="false">Paysheet!A14</f>
        <v>AES-E060</v>
      </c>
      <c r="C14" s="40" t="str">
        <f aca="false">Paysheet!B14</f>
        <v>Makanaka </v>
      </c>
      <c r="D14" s="41" t="str">
        <f aca="false">Paysheet!C14</f>
        <v>Dziva</v>
      </c>
      <c r="E14" s="163" t="str">
        <f aca="false">Paysheet!BU14</f>
        <v>FBC</v>
      </c>
      <c r="F14" s="39" t="str">
        <f aca="false">Paysheet!BV14</f>
        <v>Gweru BS</v>
      </c>
      <c r="G14" s="39" t="str">
        <f aca="false">Paysheet!BW14</f>
        <v>4806163686472</v>
      </c>
      <c r="H14" s="163" t="n">
        <f aca="false">Paysheet!BM14</f>
        <v>2082933.91485029</v>
      </c>
      <c r="I14" s="163" t="str">
        <f aca="false">Paysheet!BX14</f>
        <v>FBC</v>
      </c>
      <c r="J14" s="39" t="str">
        <f aca="false">Paysheet!BY14</f>
        <v>Headoffice</v>
      </c>
      <c r="K14" s="39" t="str">
        <f aca="false">Paysheet!BZ14</f>
        <v>9520092430792</v>
      </c>
      <c r="L14" s="163" t="n">
        <f aca="false">Paysheet!BL14</f>
        <v>129.310066329056</v>
      </c>
      <c r="M14" s="48" t="n">
        <v>84.46</v>
      </c>
      <c r="N14" s="48" t="n">
        <v>278259.66</v>
      </c>
      <c r="O14" s="163" t="n">
        <f aca="false">L14+M14</f>
        <v>213.770066329056</v>
      </c>
      <c r="P14" s="163" t="n">
        <f aca="false">H14+N14</f>
        <v>2361193.57485029</v>
      </c>
      <c r="Q14" s="3" t="n">
        <f aca="false">222.29-O14</f>
        <v>8.51993367094443</v>
      </c>
      <c r="R14" s="3" t="n">
        <f aca="false">761071.8-P14</f>
        <v>-1600121.77485029</v>
      </c>
    </row>
    <row r="15" customFormat="false" ht="15.75" hidden="true" customHeight="true" outlineLevel="0" collapsed="false">
      <c r="A15" s="1" t="n">
        <v>12</v>
      </c>
      <c r="B15" s="39" t="n">
        <f aca="false">Paysheet!A15</f>
        <v>0</v>
      </c>
      <c r="C15" s="40" t="n">
        <f aca="false">Paysheet!B15</f>
        <v>0</v>
      </c>
      <c r="D15" s="41" t="n">
        <f aca="false">Paysheet!C15</f>
        <v>0</v>
      </c>
      <c r="E15" s="163" t="n">
        <f aca="false">Paysheet!BU15</f>
        <v>0</v>
      </c>
      <c r="F15" s="39" t="n">
        <f aca="false">Paysheet!BV15</f>
        <v>0</v>
      </c>
      <c r="G15" s="39" t="n">
        <f aca="false">Paysheet!BW15</f>
        <v>0</v>
      </c>
      <c r="H15" s="163" t="n">
        <f aca="false">Paysheet!BM15</f>
        <v>0</v>
      </c>
      <c r="I15" s="163" t="n">
        <f aca="false">Paysheet!BX15</f>
        <v>0</v>
      </c>
      <c r="J15" s="39" t="n">
        <f aca="false">Paysheet!BY15</f>
        <v>0</v>
      </c>
      <c r="K15" s="39" t="n">
        <f aca="false">Paysheet!BZ15</f>
        <v>0</v>
      </c>
      <c r="L15" s="163" t="n">
        <f aca="false">Paysheet!BL15</f>
        <v>0</v>
      </c>
    </row>
    <row r="16" customFormat="false" ht="15.75" hidden="true" customHeight="true" outlineLevel="0" collapsed="false">
      <c r="A16" s="1" t="n">
        <v>13</v>
      </c>
      <c r="B16" s="39" t="n">
        <f aca="false">Paysheet!A16</f>
        <v>0</v>
      </c>
      <c r="C16" s="40" t="n">
        <f aca="false">Paysheet!B16</f>
        <v>0</v>
      </c>
      <c r="D16" s="41" t="n">
        <f aca="false">Paysheet!C16</f>
        <v>0</v>
      </c>
      <c r="E16" s="163" t="n">
        <f aca="false">Paysheet!BU16</f>
        <v>0</v>
      </c>
      <c r="F16" s="39" t="n">
        <f aca="false">Paysheet!BV16</f>
        <v>0</v>
      </c>
      <c r="G16" s="39" t="n">
        <f aca="false">Paysheet!BW16</f>
        <v>0</v>
      </c>
      <c r="H16" s="163" t="n">
        <f aca="false">Paysheet!BM16</f>
        <v>0</v>
      </c>
      <c r="I16" s="163" t="n">
        <f aca="false">Paysheet!BX16</f>
        <v>0</v>
      </c>
      <c r="J16" s="39" t="n">
        <f aca="false">Paysheet!BY16</f>
        <v>0</v>
      </c>
      <c r="K16" s="39" t="n">
        <f aca="false">Paysheet!BZ16</f>
        <v>0</v>
      </c>
      <c r="L16" s="163" t="n">
        <f aca="false">Paysheet!BL16</f>
        <v>0</v>
      </c>
    </row>
    <row r="17" customFormat="false" ht="15.75" hidden="true" customHeight="true" outlineLevel="0" collapsed="false">
      <c r="A17" s="1" t="n">
        <v>14</v>
      </c>
      <c r="B17" s="39" t="n">
        <f aca="false">Paysheet!A17</f>
        <v>0</v>
      </c>
      <c r="C17" s="40" t="n">
        <f aca="false">Paysheet!B17</f>
        <v>0</v>
      </c>
      <c r="D17" s="41" t="n">
        <f aca="false">Paysheet!C17</f>
        <v>0</v>
      </c>
      <c r="E17" s="163" t="n">
        <f aca="false">Paysheet!BU17</f>
        <v>0</v>
      </c>
      <c r="F17" s="39" t="n">
        <f aca="false">Paysheet!BV17</f>
        <v>0</v>
      </c>
      <c r="G17" s="39" t="n">
        <f aca="false">Paysheet!BW17</f>
        <v>0</v>
      </c>
      <c r="H17" s="163" t="n">
        <f aca="false">Paysheet!BM17</f>
        <v>0</v>
      </c>
      <c r="I17" s="163" t="n">
        <f aca="false">Paysheet!BX17</f>
        <v>0</v>
      </c>
      <c r="J17" s="39" t="n">
        <f aca="false">Paysheet!BY17</f>
        <v>0</v>
      </c>
      <c r="K17" s="39" t="n">
        <f aca="false">Paysheet!BZ17</f>
        <v>0</v>
      </c>
      <c r="L17" s="163" t="n">
        <f aca="false">Paysheet!BL17</f>
        <v>0</v>
      </c>
    </row>
    <row r="18" customFormat="false" ht="15.75" hidden="true" customHeight="true" outlineLevel="0" collapsed="false">
      <c r="A18" s="1" t="n">
        <v>15</v>
      </c>
      <c r="B18" s="39" t="n">
        <f aca="false">Paysheet!A18</f>
        <v>0</v>
      </c>
      <c r="C18" s="40" t="n">
        <f aca="false">Paysheet!B18</f>
        <v>0</v>
      </c>
      <c r="D18" s="41" t="n">
        <f aca="false">Paysheet!C18</f>
        <v>0</v>
      </c>
      <c r="E18" s="163" t="n">
        <f aca="false">Paysheet!BU18</f>
        <v>0</v>
      </c>
      <c r="F18" s="39" t="n">
        <f aca="false">Paysheet!BV18</f>
        <v>0</v>
      </c>
      <c r="G18" s="39" t="n">
        <f aca="false">Paysheet!BW18</f>
        <v>0</v>
      </c>
      <c r="H18" s="163" t="n">
        <f aca="false">Paysheet!BM18</f>
        <v>0</v>
      </c>
      <c r="I18" s="163" t="n">
        <f aca="false">Paysheet!BX18</f>
        <v>0</v>
      </c>
      <c r="J18" s="39" t="n">
        <f aca="false">Paysheet!BY18</f>
        <v>0</v>
      </c>
      <c r="K18" s="39" t="n">
        <f aca="false">Paysheet!BZ18</f>
        <v>0</v>
      </c>
      <c r="L18" s="163" t="n">
        <f aca="false">Paysheet!BL18</f>
        <v>0</v>
      </c>
    </row>
    <row r="19" customFormat="false" ht="15.75" hidden="true" customHeight="true" outlineLevel="0" collapsed="false">
      <c r="A19" s="1" t="n">
        <v>16</v>
      </c>
      <c r="B19" s="39" t="n">
        <f aca="false">Paysheet!A19</f>
        <v>0</v>
      </c>
      <c r="C19" s="40" t="n">
        <f aca="false">Paysheet!B19</f>
        <v>0</v>
      </c>
      <c r="D19" s="41" t="n">
        <f aca="false">Paysheet!C19</f>
        <v>0</v>
      </c>
      <c r="E19" s="163" t="n">
        <f aca="false">Paysheet!BU19</f>
        <v>0</v>
      </c>
      <c r="F19" s="39" t="n">
        <f aca="false">Paysheet!BV19</f>
        <v>0</v>
      </c>
      <c r="G19" s="39" t="n">
        <f aca="false">Paysheet!BW19</f>
        <v>0</v>
      </c>
      <c r="H19" s="163" t="n">
        <f aca="false">Paysheet!BM19</f>
        <v>0</v>
      </c>
      <c r="I19" s="163" t="n">
        <f aca="false">Paysheet!BX19</f>
        <v>0</v>
      </c>
      <c r="J19" s="39" t="n">
        <f aca="false">Paysheet!BY19</f>
        <v>0</v>
      </c>
      <c r="K19" s="39" t="n">
        <f aca="false">Paysheet!BZ19</f>
        <v>0</v>
      </c>
      <c r="L19" s="163" t="n">
        <f aca="false">Paysheet!BL19</f>
        <v>0</v>
      </c>
    </row>
    <row r="20" customFormat="false" ht="15.75" hidden="false" customHeight="true" outlineLevel="0" collapsed="false">
      <c r="H20" s="164" t="n">
        <f aca="false">SUM(H4:H19)</f>
        <v>26155617.4401673</v>
      </c>
      <c r="I20" s="27"/>
      <c r="J20" s="27"/>
      <c r="K20" s="27"/>
      <c r="L20" s="164" t="n">
        <f aca="false">SUM(L4:L19)</f>
        <v>1615.10240684431</v>
      </c>
      <c r="M20" s="77" t="n">
        <f aca="false">SUM(M4:M19)</f>
        <v>1018.03</v>
      </c>
      <c r="N20" s="77" t="n">
        <f aca="false">SUM(N4:N19)</f>
        <v>4030273.87</v>
      </c>
      <c r="O20" s="164" t="n">
        <f aca="false">SUM(O4:O14)</f>
        <v>2633.13240684431</v>
      </c>
      <c r="P20" s="164" t="n">
        <f aca="false">SUM(P4:P14)</f>
        <v>30185891.3101673</v>
      </c>
    </row>
    <row r="21" customFormat="false" ht="15.75" hidden="false" customHeight="true" outlineLevel="0" collapsed="false"/>
  </sheetData>
  <mergeCells count="4">
    <mergeCell ref="B1:L1"/>
    <mergeCell ref="B2:L2"/>
    <mergeCell ref="M2:N2"/>
    <mergeCell ref="O2:P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2" activeCellId="0" sqref="G6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20"/>
    <col collapsed="false" customWidth="true" hidden="false" outlineLevel="0" max="3" min="3" style="1" width="14.86"/>
    <col collapsed="false" customWidth="true" hidden="false" outlineLevel="0" max="4" min="4" style="4" width="22"/>
    <col collapsed="false" customWidth="true" hidden="false" outlineLevel="0" max="5" min="5" style="1" width="21.43"/>
    <col collapsed="false" customWidth="true" hidden="false" outlineLevel="0" max="6" min="6" style="1" width="12.86"/>
  </cols>
  <sheetData>
    <row r="3" customFormat="false" ht="15" hidden="false" customHeight="false" outlineLevel="0" collapsed="false">
      <c r="A3" s="39"/>
      <c r="B3" s="26" t="s">
        <v>26</v>
      </c>
      <c r="C3" s="26" t="s">
        <v>27</v>
      </c>
      <c r="D3" s="161" t="s">
        <v>223</v>
      </c>
      <c r="E3" s="26" t="s">
        <v>224</v>
      </c>
      <c r="F3" s="26" t="s">
        <v>42</v>
      </c>
    </row>
    <row r="4" customFormat="false" ht="15.75" hidden="false" customHeight="true" outlineLevel="0" collapsed="false">
      <c r="A4" s="39" t="str">
        <f aca="false">Paysheet!A4</f>
        <v>AES-E050</v>
      </c>
      <c r="B4" s="40" t="str">
        <f aca="false">Paysheet!B4</f>
        <v>Clever </v>
      </c>
      <c r="C4" s="40" t="str">
        <f aca="false">Paysheet!C4</f>
        <v>Chakabva</v>
      </c>
      <c r="D4" s="48" t="n">
        <f aca="false">Paysheet!AK4</f>
        <v>23320.755</v>
      </c>
      <c r="E4" s="163" t="n">
        <f aca="false">D4</f>
        <v>23320.755</v>
      </c>
      <c r="F4" s="163" t="n">
        <f aca="false">SUM(D4:E4)</f>
        <v>46641.51</v>
      </c>
    </row>
    <row r="5" customFormat="false" ht="15.75" hidden="false" customHeight="true" outlineLevel="0" collapsed="false">
      <c r="A5" s="39" t="str">
        <f aca="false">Paysheet!A5</f>
        <v>AES-E052</v>
      </c>
      <c r="B5" s="40" t="str">
        <f aca="false">Paysheet!B5</f>
        <v>Tatenda </v>
      </c>
      <c r="C5" s="40" t="str">
        <f aca="false">Paysheet!C5</f>
        <v>Masuku</v>
      </c>
      <c r="D5" s="48" t="n">
        <f aca="false">Paysheet!AK5</f>
        <v>23320.755</v>
      </c>
      <c r="E5" s="163" t="n">
        <f aca="false">D5</f>
        <v>23320.755</v>
      </c>
      <c r="F5" s="163" t="n">
        <f aca="false">SUM(D5:E5)</f>
        <v>46641.51</v>
      </c>
    </row>
    <row r="6" customFormat="false" ht="15.75" hidden="false" customHeight="true" outlineLevel="0" collapsed="false">
      <c r="A6" s="39" t="str">
        <f aca="false">Paysheet!A6</f>
        <v>AES-E051</v>
      </c>
      <c r="B6" s="40" t="str">
        <f aca="false">Paysheet!B6</f>
        <v>Kupakwashe</v>
      </c>
      <c r="C6" s="40" t="str">
        <f aca="false">Paysheet!C6</f>
        <v>Matongo</v>
      </c>
      <c r="D6" s="48" t="n">
        <f aca="false">Paysheet!AK6</f>
        <v>23320.755</v>
      </c>
      <c r="E6" s="163" t="n">
        <f aca="false">D6</f>
        <v>23320.755</v>
      </c>
      <c r="F6" s="163" t="n">
        <f aca="false">SUM(D6:E6)</f>
        <v>46641.51</v>
      </c>
    </row>
    <row r="7" customFormat="false" ht="15.75" hidden="false" customHeight="true" outlineLevel="0" collapsed="false">
      <c r="A7" s="39" t="str">
        <f aca="false">Paysheet!A7</f>
        <v>AES-E053</v>
      </c>
      <c r="B7" s="40" t="str">
        <f aca="false">Paysheet!B7</f>
        <v>Panashe</v>
      </c>
      <c r="C7" s="40" t="str">
        <f aca="false">Paysheet!C7</f>
        <v>Gorejena</v>
      </c>
      <c r="D7" s="48" t="n">
        <f aca="false">Paysheet!AK7</f>
        <v>23320.755</v>
      </c>
      <c r="E7" s="163" t="n">
        <f aca="false">D7</f>
        <v>23320.755</v>
      </c>
      <c r="F7" s="163" t="n">
        <f aca="false">SUM(D7:E7)</f>
        <v>46641.51</v>
      </c>
    </row>
    <row r="8" customFormat="false" ht="15.75" hidden="false" customHeight="true" outlineLevel="0" collapsed="false">
      <c r="A8" s="39" t="str">
        <f aca="false">Paysheet!A8</f>
        <v>AES-E054</v>
      </c>
      <c r="B8" s="40" t="str">
        <f aca="false">Paysheet!B8</f>
        <v>Tapiwa</v>
      </c>
      <c r="C8" s="40" t="str">
        <f aca="false">Paysheet!C8</f>
        <v>Shumba</v>
      </c>
      <c r="D8" s="48" t="n">
        <f aca="false">Paysheet!AK8</f>
        <v>23320.755</v>
      </c>
      <c r="E8" s="163" t="n">
        <f aca="false">D8</f>
        <v>23320.755</v>
      </c>
      <c r="F8" s="163" t="n">
        <f aca="false">SUM(D8:E8)</f>
        <v>46641.51</v>
      </c>
    </row>
    <row r="9" customFormat="false" ht="15.75" hidden="false" customHeight="true" outlineLevel="0" collapsed="false">
      <c r="A9" s="39" t="str">
        <f aca="false">Paysheet!A9</f>
        <v>AES-E057</v>
      </c>
      <c r="B9" s="40" t="str">
        <f aca="false">Paysheet!B9</f>
        <v>Energy</v>
      </c>
      <c r="C9" s="40" t="str">
        <f aca="false">Paysheet!C9</f>
        <v>Mudenda</v>
      </c>
      <c r="D9" s="48" t="n">
        <f aca="false">Paysheet!AK9</f>
        <v>23320.755</v>
      </c>
      <c r="E9" s="163" t="n">
        <f aca="false">D9</f>
        <v>23320.755</v>
      </c>
      <c r="F9" s="163" t="n">
        <f aca="false">SUM(D9:E9)</f>
        <v>46641.51</v>
      </c>
    </row>
    <row r="10" customFormat="false" ht="15.75" hidden="false" customHeight="true" outlineLevel="0" collapsed="false">
      <c r="A10" s="39" t="str">
        <f aca="false">Paysheet!A10</f>
        <v>AES-E055</v>
      </c>
      <c r="B10" s="40" t="str">
        <f aca="false">Paysheet!B10</f>
        <v>Perfect</v>
      </c>
      <c r="C10" s="40" t="str">
        <f aca="false">Paysheet!C10</f>
        <v>Mhererwa</v>
      </c>
      <c r="D10" s="48" t="n">
        <f aca="false">Paysheet!AK10</f>
        <v>23320.755</v>
      </c>
      <c r="E10" s="163" t="n">
        <f aca="false">D10</f>
        <v>23320.755</v>
      </c>
      <c r="F10" s="163" t="n">
        <f aca="false">SUM(D10:E10)</f>
        <v>46641.51</v>
      </c>
    </row>
    <row r="11" customFormat="false" ht="15.75" hidden="false" customHeight="true" outlineLevel="0" collapsed="false">
      <c r="A11" s="39" t="str">
        <f aca="false">Paysheet!A11</f>
        <v>AES-E056</v>
      </c>
      <c r="B11" s="40" t="str">
        <f aca="false">Paysheet!B11</f>
        <v>Tanyaradzwa</v>
      </c>
      <c r="C11" s="40" t="str">
        <f aca="false">Paysheet!C11</f>
        <v>Ndoro</v>
      </c>
      <c r="D11" s="48" t="n">
        <f aca="false">Paysheet!AK11</f>
        <v>23320.755</v>
      </c>
      <c r="E11" s="163" t="n">
        <f aca="false">D11</f>
        <v>23320.755</v>
      </c>
      <c r="F11" s="163" t="n">
        <f aca="false">SUM(D11:E11)</f>
        <v>46641.51</v>
      </c>
    </row>
    <row r="12" customFormat="false" ht="15.75" hidden="false" customHeight="true" outlineLevel="0" collapsed="false">
      <c r="A12" s="39" t="str">
        <f aca="false">Paysheet!A12</f>
        <v>AES-E059</v>
      </c>
      <c r="B12" s="40" t="str">
        <f aca="false">Paysheet!B12</f>
        <v>Perfect</v>
      </c>
      <c r="C12" s="40" t="str">
        <f aca="false">Paysheet!C12</f>
        <v>Chinouriri</v>
      </c>
      <c r="D12" s="48" t="n">
        <f aca="false">Paysheet!AK12</f>
        <v>23320.755</v>
      </c>
      <c r="E12" s="163" t="n">
        <f aca="false">D12</f>
        <v>23320.755</v>
      </c>
      <c r="F12" s="163" t="n">
        <f aca="false">SUM(D12:E12)</f>
        <v>46641.51</v>
      </c>
    </row>
    <row r="13" customFormat="false" ht="15.75" hidden="false" customHeight="true" outlineLevel="0" collapsed="false">
      <c r="A13" s="39" t="str">
        <f aca="false">Paysheet!A13</f>
        <v>AES-E058</v>
      </c>
      <c r="B13" s="40" t="str">
        <f aca="false">Paysheet!B13</f>
        <v>Wisdom</v>
      </c>
      <c r="C13" s="40" t="str">
        <f aca="false">Paysheet!C13</f>
        <v>Mavhunga</v>
      </c>
      <c r="D13" s="48" t="n">
        <f aca="false">Paysheet!AK13</f>
        <v>23320.755</v>
      </c>
      <c r="E13" s="163" t="n">
        <f aca="false">D13</f>
        <v>23320.755</v>
      </c>
      <c r="F13" s="163" t="n">
        <f aca="false">SUM(D13:E13)</f>
        <v>46641.51</v>
      </c>
    </row>
    <row r="14" customFormat="false" ht="15.75" hidden="false" customHeight="true" outlineLevel="0" collapsed="false">
      <c r="A14" s="39" t="str">
        <f aca="false">Paysheet!A14</f>
        <v>AES-E060</v>
      </c>
      <c r="B14" s="40" t="str">
        <f aca="false">Paysheet!B14</f>
        <v>Makanaka </v>
      </c>
      <c r="C14" s="40" t="str">
        <f aca="false">Paysheet!C14</f>
        <v>Dziva</v>
      </c>
      <c r="D14" s="48" t="n">
        <f aca="false">Paysheet!AK14</f>
        <v>23320.755</v>
      </c>
      <c r="E14" s="163" t="n">
        <f aca="false">D14</f>
        <v>23320.755</v>
      </c>
      <c r="F14" s="163" t="n">
        <f aca="false">SUM(D14:E14)</f>
        <v>46641.51</v>
      </c>
    </row>
    <row r="15" customFormat="false" ht="15.75" hidden="true" customHeight="true" outlineLevel="0" collapsed="false">
      <c r="A15" s="39" t="n">
        <f aca="false">Paysheet!A15</f>
        <v>0</v>
      </c>
      <c r="B15" s="40" t="n">
        <f aca="false">Paysheet!B15</f>
        <v>0</v>
      </c>
      <c r="C15" s="40" t="n">
        <f aca="false">Paysheet!C15</f>
        <v>0</v>
      </c>
      <c r="D15" s="48" t="n">
        <f aca="false">Paysheet!AK15</f>
        <v>0</v>
      </c>
      <c r="E15" s="163" t="n">
        <f aca="false">D15</f>
        <v>0</v>
      </c>
      <c r="F15" s="163" t="n">
        <f aca="false">SUM(D15:E15)</f>
        <v>0</v>
      </c>
    </row>
    <row r="16" customFormat="false" ht="15.75" hidden="true" customHeight="true" outlineLevel="0" collapsed="false">
      <c r="A16" s="39" t="n">
        <f aca="false">Paysheet!A16</f>
        <v>0</v>
      </c>
      <c r="B16" s="40" t="n">
        <f aca="false">Paysheet!B16</f>
        <v>0</v>
      </c>
      <c r="C16" s="40" t="n">
        <f aca="false">Paysheet!C16</f>
        <v>0</v>
      </c>
      <c r="D16" s="48" t="n">
        <f aca="false">Paysheet!AK16</f>
        <v>0</v>
      </c>
      <c r="E16" s="163" t="n">
        <f aca="false">D16</f>
        <v>0</v>
      </c>
      <c r="F16" s="163" t="n">
        <f aca="false">SUM(D16:E16)</f>
        <v>0</v>
      </c>
    </row>
    <row r="17" customFormat="false" ht="15.75" hidden="true" customHeight="true" outlineLevel="0" collapsed="false">
      <c r="A17" s="39" t="n">
        <f aca="false">Paysheet!A17</f>
        <v>0</v>
      </c>
      <c r="B17" s="40" t="n">
        <f aca="false">Paysheet!B17</f>
        <v>0</v>
      </c>
      <c r="C17" s="40" t="n">
        <f aca="false">Paysheet!C17</f>
        <v>0</v>
      </c>
      <c r="D17" s="48" t="n">
        <f aca="false">Paysheet!AK17</f>
        <v>0</v>
      </c>
      <c r="E17" s="163" t="n">
        <f aca="false">D17</f>
        <v>0</v>
      </c>
      <c r="F17" s="163" t="n">
        <f aca="false">SUM(D17:E17)</f>
        <v>0</v>
      </c>
    </row>
    <row r="18" customFormat="false" ht="15.75" hidden="true" customHeight="true" outlineLevel="0" collapsed="false">
      <c r="A18" s="39" t="n">
        <f aca="false">Paysheet!A18</f>
        <v>0</v>
      </c>
      <c r="B18" s="40" t="n">
        <f aca="false">Paysheet!B18</f>
        <v>0</v>
      </c>
      <c r="C18" s="40" t="n">
        <f aca="false">Paysheet!C18</f>
        <v>0</v>
      </c>
      <c r="D18" s="48" t="n">
        <f aca="false">Paysheet!AK18</f>
        <v>0</v>
      </c>
      <c r="E18" s="163" t="n">
        <f aca="false">D18</f>
        <v>0</v>
      </c>
      <c r="F18" s="163" t="n">
        <f aca="false">SUM(D18:E18)</f>
        <v>0</v>
      </c>
    </row>
    <row r="19" customFormat="false" ht="15.75" hidden="true" customHeight="true" outlineLevel="0" collapsed="false">
      <c r="A19" s="39" t="n">
        <f aca="false">Paysheet!A19</f>
        <v>0</v>
      </c>
      <c r="B19" s="40" t="n">
        <f aca="false">Paysheet!B19</f>
        <v>0</v>
      </c>
      <c r="C19" s="40" t="n">
        <f aca="false">Paysheet!C19</f>
        <v>0</v>
      </c>
      <c r="D19" s="48" t="n">
        <f aca="false">Paysheet!AK19</f>
        <v>0</v>
      </c>
      <c r="E19" s="163" t="n">
        <f aca="false">D19</f>
        <v>0</v>
      </c>
      <c r="F19" s="163" t="n">
        <f aca="false">SUM(D19:E19)</f>
        <v>0</v>
      </c>
    </row>
    <row r="20" customFormat="false" ht="15.75" hidden="true" customHeight="true" outlineLevel="0" collapsed="false">
      <c r="A20" s="39" t="n">
        <f aca="false">Paysheet!A20</f>
        <v>0</v>
      </c>
      <c r="B20" s="40" t="n">
        <f aca="false">Paysheet!B20</f>
        <v>0</v>
      </c>
      <c r="C20" s="40" t="n">
        <f aca="false">Paysheet!C20</f>
        <v>0</v>
      </c>
      <c r="D20" s="48" t="n">
        <f aca="false">Paysheet!AK20</f>
        <v>0</v>
      </c>
      <c r="E20" s="163" t="n">
        <f aca="false">D20</f>
        <v>0</v>
      </c>
      <c r="F20" s="163" t="n">
        <f aca="false">SUM(D20:E20)</f>
        <v>0</v>
      </c>
    </row>
    <row r="21" customFormat="false" ht="15.75" hidden="true" customHeight="true" outlineLevel="0" collapsed="false">
      <c r="A21" s="39" t="n">
        <f aca="false">Paysheet!A21</f>
        <v>0</v>
      </c>
      <c r="B21" s="40" t="n">
        <f aca="false">Paysheet!B21</f>
        <v>0</v>
      </c>
      <c r="C21" s="40" t="n">
        <f aca="false">Paysheet!C21</f>
        <v>0</v>
      </c>
      <c r="D21" s="48" t="n">
        <f aca="false">Paysheet!AK21</f>
        <v>0</v>
      </c>
      <c r="E21" s="163" t="n">
        <f aca="false">D21</f>
        <v>0</v>
      </c>
      <c r="F21" s="163" t="n">
        <f aca="false">SUM(D21:E21)</f>
        <v>0</v>
      </c>
    </row>
    <row r="22" customFormat="false" ht="15.75" hidden="true" customHeight="true" outlineLevel="0" collapsed="false">
      <c r="A22" s="39" t="n">
        <f aca="false">Paysheet!A22</f>
        <v>0</v>
      </c>
      <c r="B22" s="40" t="n">
        <f aca="false">Paysheet!B22</f>
        <v>0</v>
      </c>
      <c r="C22" s="40" t="n">
        <f aca="false">Paysheet!C22</f>
        <v>0</v>
      </c>
      <c r="D22" s="48" t="n">
        <f aca="false">Paysheet!AK22</f>
        <v>0</v>
      </c>
      <c r="E22" s="163" t="n">
        <f aca="false">D22</f>
        <v>0</v>
      </c>
      <c r="F22" s="163" t="n">
        <f aca="false">SUM(D22:E22)</f>
        <v>0</v>
      </c>
    </row>
    <row r="23" customFormat="false" ht="15.75" hidden="true" customHeight="true" outlineLevel="0" collapsed="false">
      <c r="A23" s="39" t="n">
        <f aca="false">Paysheet!A23</f>
        <v>0</v>
      </c>
      <c r="B23" s="40" t="n">
        <f aca="false">Paysheet!B23</f>
        <v>0</v>
      </c>
      <c r="C23" s="40" t="n">
        <f aca="false">Paysheet!C23</f>
        <v>0</v>
      </c>
      <c r="D23" s="48" t="n">
        <f aca="false">Paysheet!AK23</f>
        <v>0</v>
      </c>
      <c r="E23" s="163" t="n">
        <f aca="false">D23</f>
        <v>0</v>
      </c>
      <c r="F23" s="163" t="n">
        <f aca="false">SUM(D23:E23)</f>
        <v>0</v>
      </c>
    </row>
    <row r="24" customFormat="false" ht="15.75" hidden="true" customHeight="true" outlineLevel="0" collapsed="false">
      <c r="A24" s="39" t="n">
        <f aca="false">Paysheet!A24</f>
        <v>0</v>
      </c>
      <c r="B24" s="40" t="n">
        <f aca="false">Paysheet!B24</f>
        <v>0</v>
      </c>
      <c r="C24" s="40" t="n">
        <f aca="false">Paysheet!C24</f>
        <v>0</v>
      </c>
      <c r="D24" s="48" t="n">
        <f aca="false">Paysheet!AK24</f>
        <v>0</v>
      </c>
      <c r="E24" s="163" t="n">
        <f aca="false">D24</f>
        <v>0</v>
      </c>
      <c r="F24" s="163" t="n">
        <f aca="false">SUM(D24:E24)</f>
        <v>0</v>
      </c>
    </row>
    <row r="25" customFormat="false" ht="15.75" hidden="true" customHeight="true" outlineLevel="0" collapsed="false">
      <c r="A25" s="39" t="n">
        <f aca="false">Paysheet!A25</f>
        <v>0</v>
      </c>
      <c r="B25" s="40" t="n">
        <f aca="false">Paysheet!B25</f>
        <v>0</v>
      </c>
      <c r="C25" s="40" t="n">
        <f aca="false">Paysheet!C25</f>
        <v>0</v>
      </c>
      <c r="D25" s="48" t="n">
        <f aca="false">Paysheet!AK25</f>
        <v>0</v>
      </c>
      <c r="E25" s="163" t="n">
        <f aca="false">D25</f>
        <v>0</v>
      </c>
      <c r="F25" s="163" t="n">
        <f aca="false">SUM(D25:E25)</f>
        <v>0</v>
      </c>
    </row>
    <row r="26" customFormat="false" ht="15.75" hidden="true" customHeight="true" outlineLevel="0" collapsed="false">
      <c r="A26" s="39" t="n">
        <f aca="false">Paysheet!A26</f>
        <v>0</v>
      </c>
      <c r="B26" s="40" t="n">
        <f aca="false">Paysheet!B26</f>
        <v>0</v>
      </c>
      <c r="C26" s="40" t="n">
        <f aca="false">Paysheet!C26</f>
        <v>0</v>
      </c>
      <c r="D26" s="48" t="n">
        <f aca="false">Paysheet!AK26</f>
        <v>0</v>
      </c>
      <c r="E26" s="163" t="n">
        <f aca="false">D26</f>
        <v>0</v>
      </c>
      <c r="F26" s="163" t="n">
        <f aca="false">SUM(D26:E26)</f>
        <v>0</v>
      </c>
    </row>
    <row r="27" customFormat="false" ht="15.75" hidden="true" customHeight="true" outlineLevel="0" collapsed="false">
      <c r="A27" s="39" t="n">
        <f aca="false">Paysheet!A27</f>
        <v>0</v>
      </c>
      <c r="B27" s="40" t="n">
        <f aca="false">Paysheet!B27</f>
        <v>0</v>
      </c>
      <c r="C27" s="40" t="n">
        <f aca="false">Paysheet!C27</f>
        <v>0</v>
      </c>
      <c r="D27" s="48" t="n">
        <f aca="false">Paysheet!AK27</f>
        <v>0</v>
      </c>
      <c r="E27" s="163" t="n">
        <f aca="false">D27</f>
        <v>0</v>
      </c>
      <c r="F27" s="163" t="n">
        <f aca="false">SUM(D27:E27)</f>
        <v>0</v>
      </c>
    </row>
    <row r="28" customFormat="false" ht="15.75" hidden="true" customHeight="true" outlineLevel="0" collapsed="false">
      <c r="A28" s="39" t="n">
        <f aca="false">Paysheet!A28</f>
        <v>0</v>
      </c>
      <c r="B28" s="40" t="n">
        <f aca="false">Paysheet!B28</f>
        <v>0</v>
      </c>
      <c r="C28" s="40" t="n">
        <f aca="false">Paysheet!C28</f>
        <v>0</v>
      </c>
      <c r="D28" s="48" t="n">
        <f aca="false">Paysheet!AK28</f>
        <v>0</v>
      </c>
      <c r="E28" s="163" t="n">
        <f aca="false">D28</f>
        <v>0</v>
      </c>
      <c r="F28" s="163" t="n">
        <f aca="false">SUM(D28:E28)</f>
        <v>0</v>
      </c>
    </row>
    <row r="29" customFormat="false" ht="15.75" hidden="true" customHeight="true" outlineLevel="0" collapsed="false">
      <c r="A29" s="39" t="n">
        <f aca="false">Paysheet!A29</f>
        <v>0</v>
      </c>
      <c r="B29" s="40" t="n">
        <f aca="false">Paysheet!B29</f>
        <v>0</v>
      </c>
      <c r="C29" s="40" t="n">
        <f aca="false">Paysheet!C29</f>
        <v>0</v>
      </c>
      <c r="D29" s="48" t="n">
        <f aca="false">Paysheet!AK29</f>
        <v>0</v>
      </c>
      <c r="E29" s="163" t="n">
        <f aca="false">D29</f>
        <v>0</v>
      </c>
      <c r="F29" s="163" t="n">
        <f aca="false">SUM(D29:E29)</f>
        <v>0</v>
      </c>
    </row>
    <row r="30" customFormat="false" ht="15.75" hidden="true" customHeight="true" outlineLevel="0" collapsed="false">
      <c r="A30" s="39" t="n">
        <f aca="false">Paysheet!A30</f>
        <v>0</v>
      </c>
      <c r="B30" s="40" t="n">
        <f aca="false">Paysheet!B30</f>
        <v>0</v>
      </c>
      <c r="C30" s="40" t="n">
        <f aca="false">Paysheet!C30</f>
        <v>0</v>
      </c>
      <c r="D30" s="48" t="n">
        <f aca="false">Paysheet!AK30</f>
        <v>0</v>
      </c>
      <c r="E30" s="163" t="n">
        <f aca="false">D30</f>
        <v>0</v>
      </c>
      <c r="F30" s="163" t="n">
        <f aca="false">SUM(D30:E30)</f>
        <v>0</v>
      </c>
    </row>
    <row r="31" customFormat="false" ht="15.75" hidden="true" customHeight="true" outlineLevel="0" collapsed="false">
      <c r="A31" s="39" t="n">
        <f aca="false">Paysheet!A31</f>
        <v>0</v>
      </c>
      <c r="B31" s="40" t="n">
        <f aca="false">Paysheet!B31</f>
        <v>0</v>
      </c>
      <c r="C31" s="40" t="n">
        <f aca="false">Paysheet!C31</f>
        <v>0</v>
      </c>
      <c r="D31" s="48" t="n">
        <f aca="false">Paysheet!AK31</f>
        <v>0</v>
      </c>
      <c r="E31" s="163" t="n">
        <f aca="false">D31</f>
        <v>0</v>
      </c>
      <c r="F31" s="163" t="n">
        <f aca="false">SUM(D31:E31)</f>
        <v>0</v>
      </c>
    </row>
    <row r="32" customFormat="false" ht="15.75" hidden="true" customHeight="true" outlineLevel="0" collapsed="false">
      <c r="A32" s="39" t="n">
        <f aca="false">Paysheet!A32</f>
        <v>0</v>
      </c>
      <c r="B32" s="40" t="n">
        <f aca="false">Paysheet!B32</f>
        <v>0</v>
      </c>
      <c r="C32" s="40" t="n">
        <f aca="false">Paysheet!C32</f>
        <v>0</v>
      </c>
      <c r="D32" s="48" t="n">
        <f aca="false">Paysheet!AK32</f>
        <v>0</v>
      </c>
      <c r="E32" s="163" t="n">
        <f aca="false">D32</f>
        <v>0</v>
      </c>
      <c r="F32" s="163" t="n">
        <f aca="false">SUM(D32:E32)</f>
        <v>0</v>
      </c>
    </row>
    <row r="33" customFormat="false" ht="15.75" hidden="true" customHeight="true" outlineLevel="0" collapsed="false">
      <c r="A33" s="39" t="n">
        <f aca="false">Paysheet!A33</f>
        <v>0</v>
      </c>
      <c r="B33" s="40" t="n">
        <f aca="false">Paysheet!B33</f>
        <v>0</v>
      </c>
      <c r="C33" s="40" t="n">
        <f aca="false">Paysheet!C33</f>
        <v>0</v>
      </c>
      <c r="D33" s="48" t="n">
        <f aca="false">Paysheet!AK33</f>
        <v>0</v>
      </c>
      <c r="E33" s="163" t="n">
        <f aca="false">D33</f>
        <v>0</v>
      </c>
      <c r="F33" s="163" t="n">
        <f aca="false">SUM(D33:E33)</f>
        <v>0</v>
      </c>
    </row>
    <row r="34" customFormat="false" ht="15.75" hidden="true" customHeight="true" outlineLevel="0" collapsed="false">
      <c r="A34" s="39" t="n">
        <f aca="false">Paysheet!A34</f>
        <v>0</v>
      </c>
      <c r="B34" s="40" t="n">
        <f aca="false">Paysheet!B34</f>
        <v>0</v>
      </c>
      <c r="C34" s="40" t="n">
        <f aca="false">Paysheet!C34</f>
        <v>0</v>
      </c>
      <c r="D34" s="48" t="n">
        <f aca="false">Paysheet!AK34</f>
        <v>0</v>
      </c>
      <c r="E34" s="163" t="n">
        <f aca="false">D34</f>
        <v>0</v>
      </c>
      <c r="F34" s="163" t="n">
        <f aca="false">SUM(D34:E34)</f>
        <v>0</v>
      </c>
    </row>
    <row r="35" customFormat="false" ht="15.75" hidden="true" customHeight="true" outlineLevel="0" collapsed="false">
      <c r="A35" s="39" t="n">
        <f aca="false">Paysheet!A35</f>
        <v>0</v>
      </c>
      <c r="B35" s="40" t="n">
        <f aca="false">Paysheet!B35</f>
        <v>0</v>
      </c>
      <c r="C35" s="40" t="n">
        <f aca="false">Paysheet!C35</f>
        <v>0</v>
      </c>
      <c r="D35" s="48" t="n">
        <f aca="false">Paysheet!AK35</f>
        <v>0</v>
      </c>
      <c r="E35" s="163" t="n">
        <f aca="false">D35</f>
        <v>0</v>
      </c>
      <c r="F35" s="163" t="n">
        <f aca="false">SUM(D35:E35)</f>
        <v>0</v>
      </c>
    </row>
    <row r="36" customFormat="false" ht="15.75" hidden="true" customHeight="true" outlineLevel="0" collapsed="false">
      <c r="A36" s="39" t="n">
        <f aca="false">Paysheet!A36</f>
        <v>0</v>
      </c>
      <c r="B36" s="40" t="n">
        <f aca="false">Paysheet!B36</f>
        <v>0</v>
      </c>
      <c r="C36" s="40" t="n">
        <f aca="false">Paysheet!C36</f>
        <v>0</v>
      </c>
      <c r="D36" s="48" t="n">
        <f aca="false">Paysheet!AK36</f>
        <v>0</v>
      </c>
      <c r="E36" s="163" t="n">
        <f aca="false">D36</f>
        <v>0</v>
      </c>
      <c r="F36" s="163" t="n">
        <f aca="false">SUM(D36:E36)</f>
        <v>0</v>
      </c>
    </row>
    <row r="37" customFormat="false" ht="15.75" hidden="true" customHeight="true" outlineLevel="0" collapsed="false">
      <c r="A37" s="39" t="n">
        <f aca="false">Paysheet!A37</f>
        <v>0</v>
      </c>
      <c r="B37" s="40" t="n">
        <f aca="false">Paysheet!B37</f>
        <v>0</v>
      </c>
      <c r="C37" s="40" t="n">
        <f aca="false">Paysheet!C37</f>
        <v>0</v>
      </c>
      <c r="D37" s="48" t="n">
        <f aca="false">Paysheet!AK37</f>
        <v>0</v>
      </c>
      <c r="E37" s="163" t="n">
        <f aca="false">D37</f>
        <v>0</v>
      </c>
      <c r="F37" s="163" t="n">
        <f aca="false">SUM(D37:E37)</f>
        <v>0</v>
      </c>
    </row>
    <row r="38" customFormat="false" ht="15.75" hidden="true" customHeight="true" outlineLevel="0" collapsed="false">
      <c r="A38" s="39" t="n">
        <f aca="false">Paysheet!A38</f>
        <v>0</v>
      </c>
      <c r="B38" s="40" t="n">
        <f aca="false">Paysheet!B38</f>
        <v>0</v>
      </c>
      <c r="C38" s="40" t="n">
        <f aca="false">Paysheet!C38</f>
        <v>0</v>
      </c>
      <c r="D38" s="48" t="n">
        <f aca="false">Paysheet!AK38</f>
        <v>0</v>
      </c>
      <c r="E38" s="163" t="n">
        <f aca="false">D38</f>
        <v>0</v>
      </c>
      <c r="F38" s="163" t="n">
        <f aca="false">SUM(D38:E38)</f>
        <v>0</v>
      </c>
    </row>
    <row r="39" customFormat="false" ht="15.75" hidden="true" customHeight="true" outlineLevel="0" collapsed="false">
      <c r="A39" s="39" t="n">
        <f aca="false">Paysheet!A39</f>
        <v>0</v>
      </c>
      <c r="B39" s="40" t="n">
        <f aca="false">Paysheet!B39</f>
        <v>0</v>
      </c>
      <c r="C39" s="40" t="n">
        <f aca="false">Paysheet!C39</f>
        <v>0</v>
      </c>
      <c r="D39" s="48" t="n">
        <f aca="false">Paysheet!AK39</f>
        <v>0</v>
      </c>
      <c r="E39" s="163" t="n">
        <f aca="false">D39</f>
        <v>0</v>
      </c>
      <c r="F39" s="163" t="n">
        <f aca="false">SUM(D39:E39)</f>
        <v>0</v>
      </c>
    </row>
    <row r="40" customFormat="false" ht="15.75" hidden="true" customHeight="true" outlineLevel="0" collapsed="false">
      <c r="A40" s="39" t="n">
        <f aca="false">Paysheet!A40</f>
        <v>0</v>
      </c>
      <c r="B40" s="40" t="n">
        <f aca="false">Paysheet!B40</f>
        <v>0</v>
      </c>
      <c r="C40" s="40" t="n">
        <f aca="false">Paysheet!C40</f>
        <v>0</v>
      </c>
      <c r="D40" s="48" t="n">
        <f aca="false">Paysheet!AK40</f>
        <v>0</v>
      </c>
      <c r="E40" s="163" t="n">
        <f aca="false">D40</f>
        <v>0</v>
      </c>
      <c r="F40" s="163" t="n">
        <f aca="false">SUM(D40:E40)</f>
        <v>0</v>
      </c>
    </row>
    <row r="41" customFormat="false" ht="15.75" hidden="true" customHeight="true" outlineLevel="0" collapsed="false">
      <c r="A41" s="39" t="n">
        <f aca="false">Paysheet!A41</f>
        <v>0</v>
      </c>
      <c r="B41" s="40" t="n">
        <f aca="false">Paysheet!B41</f>
        <v>0</v>
      </c>
      <c r="C41" s="40" t="n">
        <f aca="false">Paysheet!C41</f>
        <v>0</v>
      </c>
      <c r="D41" s="48" t="n">
        <f aca="false">Paysheet!AK41</f>
        <v>0</v>
      </c>
      <c r="E41" s="163" t="n">
        <f aca="false">D41</f>
        <v>0</v>
      </c>
      <c r="F41" s="163" t="n">
        <f aca="false">SUM(D41:E41)</f>
        <v>0</v>
      </c>
    </row>
    <row r="42" customFormat="false" ht="15.75" hidden="true" customHeight="true" outlineLevel="0" collapsed="false">
      <c r="A42" s="39" t="n">
        <f aca="false">Paysheet!A42</f>
        <v>0</v>
      </c>
      <c r="B42" s="40" t="n">
        <f aca="false">Paysheet!B42</f>
        <v>0</v>
      </c>
      <c r="C42" s="40" t="n">
        <f aca="false">Paysheet!C42</f>
        <v>0</v>
      </c>
      <c r="D42" s="48" t="n">
        <f aca="false">Paysheet!AK42</f>
        <v>0</v>
      </c>
      <c r="E42" s="163" t="n">
        <f aca="false">D42</f>
        <v>0</v>
      </c>
      <c r="F42" s="163" t="n">
        <f aca="false">SUM(D42:E42)</f>
        <v>0</v>
      </c>
    </row>
    <row r="43" customFormat="false" ht="15.75" hidden="true" customHeight="true" outlineLevel="0" collapsed="false">
      <c r="A43" s="39" t="n">
        <f aca="false">Paysheet!A43</f>
        <v>0</v>
      </c>
      <c r="B43" s="40" t="n">
        <f aca="false">Paysheet!B43</f>
        <v>0</v>
      </c>
      <c r="C43" s="40" t="n">
        <f aca="false">Paysheet!C43</f>
        <v>0</v>
      </c>
      <c r="D43" s="48" t="n">
        <f aca="false">Paysheet!AK43</f>
        <v>0</v>
      </c>
      <c r="E43" s="163" t="n">
        <f aca="false">D43</f>
        <v>0</v>
      </c>
      <c r="F43" s="163" t="n">
        <f aca="false">SUM(D43:E43)</f>
        <v>0</v>
      </c>
    </row>
    <row r="44" customFormat="false" ht="15.75" hidden="true" customHeight="true" outlineLevel="0" collapsed="false">
      <c r="A44" s="39" t="n">
        <f aca="false">Paysheet!A44</f>
        <v>0</v>
      </c>
      <c r="B44" s="40" t="n">
        <f aca="false">Paysheet!B44</f>
        <v>0</v>
      </c>
      <c r="C44" s="40" t="n">
        <f aca="false">Paysheet!C44</f>
        <v>0</v>
      </c>
      <c r="D44" s="48" t="n">
        <f aca="false">Paysheet!AK44</f>
        <v>0</v>
      </c>
      <c r="E44" s="163" t="n">
        <f aca="false">D44</f>
        <v>0</v>
      </c>
      <c r="F44" s="163" t="n">
        <f aca="false">SUM(D44:E44)</f>
        <v>0</v>
      </c>
    </row>
    <row r="45" customFormat="false" ht="15.75" hidden="true" customHeight="true" outlineLevel="0" collapsed="false">
      <c r="A45" s="39" t="n">
        <f aca="false">Paysheet!A45</f>
        <v>0</v>
      </c>
      <c r="B45" s="40" t="n">
        <f aca="false">Paysheet!B45</f>
        <v>0</v>
      </c>
      <c r="C45" s="40" t="n">
        <f aca="false">Paysheet!C45</f>
        <v>0</v>
      </c>
      <c r="D45" s="48" t="n">
        <f aca="false">Paysheet!AK45</f>
        <v>0</v>
      </c>
      <c r="E45" s="163" t="n">
        <f aca="false">D45</f>
        <v>0</v>
      </c>
      <c r="F45" s="163" t="n">
        <f aca="false">SUM(D45:E45)</f>
        <v>0</v>
      </c>
    </row>
    <row r="46" customFormat="false" ht="15.75" hidden="true" customHeight="true" outlineLevel="0" collapsed="false">
      <c r="A46" s="39" t="n">
        <f aca="false">Paysheet!A46</f>
        <v>0</v>
      </c>
      <c r="B46" s="40" t="n">
        <f aca="false">Paysheet!B46</f>
        <v>0</v>
      </c>
      <c r="C46" s="40" t="n">
        <f aca="false">Paysheet!C46</f>
        <v>0</v>
      </c>
      <c r="D46" s="48" t="n">
        <f aca="false">Paysheet!AK46</f>
        <v>0</v>
      </c>
      <c r="E46" s="163" t="n">
        <f aca="false">D46</f>
        <v>0</v>
      </c>
      <c r="F46" s="163" t="n">
        <f aca="false">SUM(D46:E46)</f>
        <v>0</v>
      </c>
    </row>
    <row r="47" customFormat="false" ht="15.75" hidden="true" customHeight="true" outlineLevel="0" collapsed="false">
      <c r="A47" s="39" t="n">
        <f aca="false">Paysheet!A47</f>
        <v>0</v>
      </c>
      <c r="B47" s="40" t="n">
        <f aca="false">Paysheet!B47</f>
        <v>0</v>
      </c>
      <c r="C47" s="40" t="n">
        <f aca="false">Paysheet!C47</f>
        <v>0</v>
      </c>
      <c r="D47" s="48" t="n">
        <f aca="false">Paysheet!AK47</f>
        <v>0</v>
      </c>
      <c r="E47" s="163" t="n">
        <f aca="false">D47</f>
        <v>0</v>
      </c>
      <c r="F47" s="163" t="n">
        <f aca="false">SUM(D47:E47)</f>
        <v>0</v>
      </c>
    </row>
    <row r="48" customFormat="false" ht="15.75" hidden="true" customHeight="true" outlineLevel="0" collapsed="false">
      <c r="A48" s="39" t="n">
        <f aca="false">Paysheet!A48</f>
        <v>0</v>
      </c>
      <c r="B48" s="40" t="n">
        <f aca="false">Paysheet!B48</f>
        <v>0</v>
      </c>
      <c r="C48" s="40" t="n">
        <f aca="false">Paysheet!C48</f>
        <v>0</v>
      </c>
      <c r="D48" s="48" t="n">
        <f aca="false">Paysheet!AK48</f>
        <v>0</v>
      </c>
      <c r="E48" s="163" t="n">
        <f aca="false">D48</f>
        <v>0</v>
      </c>
      <c r="F48" s="163" t="n">
        <f aca="false">SUM(D48:E48)</f>
        <v>0</v>
      </c>
    </row>
    <row r="49" customFormat="false" ht="15.75" hidden="true" customHeight="true" outlineLevel="0" collapsed="false">
      <c r="A49" s="39" t="n">
        <f aca="false">Paysheet!A49</f>
        <v>0</v>
      </c>
      <c r="B49" s="40" t="n">
        <f aca="false">Paysheet!B49</f>
        <v>0</v>
      </c>
      <c r="C49" s="40" t="n">
        <f aca="false">Paysheet!C49</f>
        <v>0</v>
      </c>
      <c r="D49" s="48" t="n">
        <f aca="false">Paysheet!AK49</f>
        <v>0</v>
      </c>
      <c r="E49" s="163" t="n">
        <f aca="false">D49</f>
        <v>0</v>
      </c>
      <c r="F49" s="163" t="n">
        <f aca="false">SUM(D49:E49)</f>
        <v>0</v>
      </c>
    </row>
    <row r="50" customFormat="false" ht="15.75" hidden="true" customHeight="true" outlineLevel="0" collapsed="false">
      <c r="A50" s="39" t="n">
        <f aca="false">Paysheet!A50</f>
        <v>0</v>
      </c>
      <c r="B50" s="40" t="n">
        <f aca="false">Paysheet!B50</f>
        <v>0</v>
      </c>
      <c r="C50" s="40" t="n">
        <f aca="false">Paysheet!C50</f>
        <v>0</v>
      </c>
      <c r="D50" s="48" t="n">
        <f aca="false">Paysheet!AK50</f>
        <v>0</v>
      </c>
      <c r="E50" s="163" t="n">
        <f aca="false">D50</f>
        <v>0</v>
      </c>
      <c r="F50" s="163" t="n">
        <f aca="false">SUM(D50:E50)</f>
        <v>0</v>
      </c>
    </row>
    <row r="51" customFormat="false" ht="15.75" hidden="true" customHeight="true" outlineLevel="0" collapsed="false">
      <c r="A51" s="39" t="n">
        <f aca="false">Paysheet!A51</f>
        <v>0</v>
      </c>
      <c r="B51" s="40" t="n">
        <f aca="false">Paysheet!B51</f>
        <v>0</v>
      </c>
      <c r="C51" s="40" t="n">
        <f aca="false">Paysheet!C51</f>
        <v>0</v>
      </c>
      <c r="D51" s="48" t="n">
        <f aca="false">Paysheet!AK51</f>
        <v>0</v>
      </c>
      <c r="E51" s="163" t="n">
        <f aca="false">D51</f>
        <v>0</v>
      </c>
      <c r="F51" s="163" t="n">
        <f aca="false">SUM(D51:E51)</f>
        <v>0</v>
      </c>
    </row>
    <row r="52" customFormat="false" ht="15.75" hidden="true" customHeight="true" outlineLevel="0" collapsed="false">
      <c r="A52" s="39" t="n">
        <f aca="false">Paysheet!A52</f>
        <v>0</v>
      </c>
      <c r="B52" s="40" t="n">
        <f aca="false">Paysheet!B52</f>
        <v>0</v>
      </c>
      <c r="C52" s="40" t="n">
        <f aca="false">Paysheet!C52</f>
        <v>0</v>
      </c>
      <c r="D52" s="48" t="n">
        <f aca="false">Paysheet!AK52</f>
        <v>0</v>
      </c>
      <c r="E52" s="163" t="n">
        <f aca="false">D52</f>
        <v>0</v>
      </c>
      <c r="F52" s="163" t="n">
        <f aca="false">SUM(D52:E52)</f>
        <v>0</v>
      </c>
    </row>
    <row r="53" customFormat="false" ht="15.75" hidden="true" customHeight="true" outlineLevel="0" collapsed="false">
      <c r="A53" s="39" t="n">
        <f aca="false">Paysheet!A53</f>
        <v>0</v>
      </c>
      <c r="B53" s="40" t="n">
        <f aca="false">Paysheet!B53</f>
        <v>0</v>
      </c>
      <c r="C53" s="40" t="n">
        <f aca="false">Paysheet!C53</f>
        <v>0</v>
      </c>
      <c r="D53" s="48" t="n">
        <f aca="false">Paysheet!AK53</f>
        <v>0</v>
      </c>
      <c r="E53" s="163" t="n">
        <f aca="false">D53</f>
        <v>0</v>
      </c>
      <c r="F53" s="163" t="n">
        <f aca="false">SUM(D53:E53)</f>
        <v>0</v>
      </c>
    </row>
    <row r="54" customFormat="false" ht="15.75" hidden="true" customHeight="true" outlineLevel="0" collapsed="false">
      <c r="A54" s="39" t="n">
        <f aca="false">Paysheet!A54</f>
        <v>0</v>
      </c>
      <c r="B54" s="40" t="n">
        <f aca="false">Paysheet!B54</f>
        <v>0</v>
      </c>
      <c r="C54" s="40" t="n">
        <f aca="false">Paysheet!C54</f>
        <v>0</v>
      </c>
      <c r="D54" s="48" t="n">
        <f aca="false">Paysheet!AK54</f>
        <v>0</v>
      </c>
      <c r="E54" s="163" t="n">
        <f aca="false">D54</f>
        <v>0</v>
      </c>
      <c r="F54" s="163" t="n">
        <f aca="false">SUM(D54:E54)</f>
        <v>0</v>
      </c>
    </row>
    <row r="55" customFormat="false" ht="15.75" hidden="true" customHeight="true" outlineLevel="0" collapsed="false">
      <c r="A55" s="39" t="n">
        <f aca="false">Paysheet!A55</f>
        <v>0</v>
      </c>
      <c r="B55" s="40" t="n">
        <f aca="false">Paysheet!B55</f>
        <v>0</v>
      </c>
      <c r="C55" s="40" t="n">
        <f aca="false">Paysheet!C55</f>
        <v>0</v>
      </c>
      <c r="D55" s="48" t="n">
        <f aca="false">Paysheet!AK55</f>
        <v>0</v>
      </c>
      <c r="E55" s="163" t="n">
        <f aca="false">D55</f>
        <v>0</v>
      </c>
      <c r="F55" s="163" t="n">
        <f aca="false">SUM(D55:E55)</f>
        <v>0</v>
      </c>
    </row>
    <row r="56" customFormat="false" ht="15.75" hidden="true" customHeight="true" outlineLevel="0" collapsed="false">
      <c r="A56" s="39" t="n">
        <f aca="false">Paysheet!A56</f>
        <v>0</v>
      </c>
      <c r="B56" s="40" t="n">
        <f aca="false">Paysheet!B56</f>
        <v>0</v>
      </c>
      <c r="C56" s="40"/>
      <c r="D56" s="48"/>
      <c r="E56" s="163" t="n">
        <f aca="false">D56</f>
        <v>0</v>
      </c>
      <c r="F56" s="163"/>
    </row>
    <row r="57" customFormat="false" ht="15.75" hidden="true" customHeight="true" outlineLevel="0" collapsed="false">
      <c r="A57" s="39" t="n">
        <f aca="false">Paysheet!A57</f>
        <v>0</v>
      </c>
      <c r="B57" s="40" t="n">
        <f aca="false">Paysheet!B57</f>
        <v>0</v>
      </c>
      <c r="C57" s="40" t="n">
        <f aca="false">Paysheet!C57</f>
        <v>0</v>
      </c>
      <c r="D57" s="48" t="n">
        <f aca="false">Paysheet!AK57</f>
        <v>0</v>
      </c>
      <c r="E57" s="163" t="n">
        <f aca="false">D57</f>
        <v>0</v>
      </c>
      <c r="F57" s="163"/>
    </row>
    <row r="58" customFormat="false" ht="15.75" hidden="true" customHeight="true" outlineLevel="0" collapsed="false">
      <c r="A58" s="39" t="n">
        <f aca="false">Paysheet!A58</f>
        <v>0</v>
      </c>
      <c r="B58" s="40" t="n">
        <f aca="false">Paysheet!B58</f>
        <v>0</v>
      </c>
      <c r="C58" s="40" t="n">
        <f aca="false">Paysheet!C58</f>
        <v>0</v>
      </c>
      <c r="D58" s="48" t="n">
        <f aca="false">Paysheet!AK58</f>
        <v>0</v>
      </c>
      <c r="E58" s="163" t="n">
        <f aca="false">D58</f>
        <v>0</v>
      </c>
      <c r="F58" s="163"/>
    </row>
    <row r="59" customFormat="false" ht="15.75" hidden="true" customHeight="true" outlineLevel="0" collapsed="false">
      <c r="A59" s="39" t="n">
        <f aca="false">Paysheet!A59</f>
        <v>0</v>
      </c>
      <c r="B59" s="40" t="n">
        <f aca="false">Paysheet!B59</f>
        <v>0</v>
      </c>
      <c r="C59" s="40" t="n">
        <f aca="false">Paysheet!C59</f>
        <v>0</v>
      </c>
      <c r="D59" s="48" t="n">
        <f aca="false">Paysheet!AK59</f>
        <v>0</v>
      </c>
      <c r="E59" s="163" t="n">
        <f aca="false">D59</f>
        <v>0</v>
      </c>
      <c r="F59" s="163"/>
    </row>
    <row r="60" customFormat="false" ht="15.75" hidden="true" customHeight="true" outlineLevel="0" collapsed="false">
      <c r="A60" s="39" t="n">
        <f aca="false">Paysheet!A60</f>
        <v>0</v>
      </c>
      <c r="B60" s="40" t="n">
        <f aca="false">Paysheet!B60</f>
        <v>0</v>
      </c>
      <c r="C60" s="40" t="n">
        <f aca="false">Paysheet!C60</f>
        <v>0</v>
      </c>
      <c r="D60" s="48" t="n">
        <f aca="false">Paysheet!AK60</f>
        <v>0</v>
      </c>
      <c r="E60" s="163" t="n">
        <f aca="false">D60</f>
        <v>0</v>
      </c>
      <c r="F60" s="163"/>
    </row>
    <row r="61" customFormat="false" ht="15.75" hidden="false" customHeight="true" outlineLevel="0" collapsed="false">
      <c r="A61" s="39"/>
      <c r="B61" s="40"/>
      <c r="C61" s="62"/>
      <c r="D61" s="161" t="n">
        <f aca="false">SUM(D4:D60)</f>
        <v>256528.305</v>
      </c>
      <c r="E61" s="165" t="n">
        <f aca="false">D61</f>
        <v>256528.305</v>
      </c>
      <c r="F61" s="165" t="n">
        <f aca="false">SUM(F4:F60)</f>
        <v>513056.61</v>
      </c>
    </row>
    <row r="62" customFormat="false" ht="15" hidden="false" customHeight="false" outlineLevel="0" collapsed="false">
      <c r="E62" s="1" t="s">
        <v>42</v>
      </c>
      <c r="F62" s="3" t="n">
        <f aca="false">F61</f>
        <v>513056.61</v>
      </c>
    </row>
    <row r="63" customFormat="false" ht="15" hidden="false" customHeight="false" outlineLevel="0" collapsed="false">
      <c r="E63" s="1" t="s">
        <v>225</v>
      </c>
      <c r="F63" s="3" t="n">
        <f aca="false">F62*0.0177</f>
        <v>9081.101997</v>
      </c>
    </row>
    <row r="64" customFormat="false" ht="15.75" hidden="false" customHeight="true" outlineLevel="0" collapsed="false">
      <c r="E64" s="27" t="s">
        <v>226</v>
      </c>
      <c r="F64" s="164" t="n">
        <f aca="false">F62+F63</f>
        <v>522137.711997</v>
      </c>
    </row>
    <row r="65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2.29"/>
    <col collapsed="false" customWidth="true" hidden="false" outlineLevel="0" max="3" min="3" style="1" width="13.29"/>
    <col collapsed="false" customWidth="true" hidden="false" outlineLevel="0" max="4" min="4" style="1" width="11.43"/>
    <col collapsed="false" customWidth="true" hidden="false" outlineLevel="0" max="6" min="5" style="1" width="11.14"/>
    <col collapsed="false" customWidth="true" hidden="false" outlineLevel="0" max="7" min="7" style="1" width="12.86"/>
    <col collapsed="false" customWidth="true" hidden="false" outlineLevel="0" max="8" min="8" style="1" width="11.29"/>
    <col collapsed="false" customWidth="true" hidden="false" outlineLevel="0" max="9" min="9" style="1" width="15.14"/>
  </cols>
  <sheetData>
    <row r="1" customFormat="false" ht="15" hidden="false" customHeight="false" outlineLevel="0" collapsed="false">
      <c r="A1" s="166" t="s">
        <v>227</v>
      </c>
      <c r="B1" s="166"/>
      <c r="C1" s="166"/>
      <c r="D1" s="167" t="s">
        <v>23</v>
      </c>
      <c r="E1" s="167"/>
      <c r="F1" s="167"/>
      <c r="G1" s="168" t="s">
        <v>22</v>
      </c>
      <c r="H1" s="168"/>
      <c r="I1" s="168"/>
    </row>
    <row r="2" customFormat="false" ht="15" hidden="false" customHeight="false" outlineLevel="0" collapsed="false">
      <c r="A2" s="39"/>
      <c r="B2" s="26" t="s">
        <v>26</v>
      </c>
      <c r="C2" s="26" t="s">
        <v>27</v>
      </c>
      <c r="D2" s="26" t="s">
        <v>189</v>
      </c>
      <c r="E2" s="26" t="s">
        <v>63</v>
      </c>
      <c r="F2" s="169" t="s">
        <v>42</v>
      </c>
      <c r="G2" s="26" t="s">
        <v>189</v>
      </c>
      <c r="H2" s="26" t="s">
        <v>63</v>
      </c>
      <c r="I2" s="169" t="s">
        <v>42</v>
      </c>
    </row>
    <row r="3" customFormat="false" ht="15.75" hidden="false" customHeight="true" outlineLevel="0" collapsed="false">
      <c r="A3" s="39" t="str">
        <f aca="false">Paysheet!A4</f>
        <v>AES-E050</v>
      </c>
      <c r="B3" s="40" t="str">
        <f aca="false">Paysheet!B4</f>
        <v>Clever </v>
      </c>
      <c r="C3" s="40" t="str">
        <f aca="false">Paysheet!C4</f>
        <v>Chakabva</v>
      </c>
      <c r="D3" s="163" t="n">
        <f aca="false">Paysheet!AW4</f>
        <v>70.8337639055142</v>
      </c>
      <c r="E3" s="163" t="n">
        <f aca="false">Paysheet!AX4</f>
        <v>2.12501291716543</v>
      </c>
      <c r="F3" s="170" t="n">
        <f aca="false">D3+E3</f>
        <v>72.9587768226796</v>
      </c>
      <c r="G3" s="163" t="n">
        <f aca="false">Paysheet!AY4</f>
        <v>1143652.96665318</v>
      </c>
      <c r="H3" s="163" t="n">
        <f aca="false">Paysheet!AZ4</f>
        <v>34309.5889995955</v>
      </c>
      <c r="I3" s="170" t="n">
        <f aca="false">G3+H3</f>
        <v>1177962.55565278</v>
      </c>
    </row>
    <row r="4" customFormat="false" ht="15.75" hidden="false" customHeight="true" outlineLevel="0" collapsed="false">
      <c r="A4" s="39" t="str">
        <f aca="false">Paysheet!A5</f>
        <v>AES-E052</v>
      </c>
      <c r="B4" s="40" t="str">
        <f aca="false">Paysheet!B5</f>
        <v>Tatenda </v>
      </c>
      <c r="C4" s="40" t="str">
        <f aca="false">Paysheet!C5</f>
        <v>Masuku</v>
      </c>
      <c r="D4" s="163" t="n">
        <f aca="false">Paysheet!AW5</f>
        <v>29.3642049207839</v>
      </c>
      <c r="E4" s="163" t="n">
        <f aca="false">Paysheet!AX5</f>
        <v>0.880926147623517</v>
      </c>
      <c r="F4" s="170" t="n">
        <f aca="false">D4+E4</f>
        <v>30.2451310684074</v>
      </c>
      <c r="G4" s="163" t="n">
        <f aca="false">Paysheet!AY5</f>
        <v>473000.285658126</v>
      </c>
      <c r="H4" s="163" t="n">
        <f aca="false">Paysheet!AZ5</f>
        <v>14190.0085697438</v>
      </c>
      <c r="I4" s="170" t="n">
        <f aca="false">G4+H4</f>
        <v>487190.29422787</v>
      </c>
    </row>
    <row r="5" customFormat="false" ht="15.75" hidden="false" customHeight="true" outlineLevel="0" collapsed="false">
      <c r="A5" s="39" t="str">
        <f aca="false">Paysheet!A6</f>
        <v>AES-E051</v>
      </c>
      <c r="B5" s="40" t="str">
        <f aca="false">Paysheet!B6</f>
        <v>Kupakwashe</v>
      </c>
      <c r="C5" s="40" t="str">
        <f aca="false">Paysheet!C6</f>
        <v>Matongo</v>
      </c>
      <c r="D5" s="163" t="n">
        <f aca="false">Paysheet!AW6</f>
        <v>27.9870629193701</v>
      </c>
      <c r="E5" s="163" t="n">
        <f aca="false">Paysheet!AX6</f>
        <v>0.839611887581104</v>
      </c>
      <c r="F5" s="170" t="n">
        <f aca="false">D5+E5</f>
        <v>28.8266748069512</v>
      </c>
      <c r="G5" s="163" t="n">
        <f aca="false">Paysheet!AY6</f>
        <v>450892.488209636</v>
      </c>
      <c r="H5" s="163" t="n">
        <f aca="false">Paysheet!AZ6</f>
        <v>13526.7746462891</v>
      </c>
      <c r="I5" s="170" t="n">
        <f aca="false">G5+H5</f>
        <v>464419.262855925</v>
      </c>
    </row>
    <row r="6" customFormat="false" ht="15.75" hidden="false" customHeight="true" outlineLevel="0" collapsed="false">
      <c r="A6" s="39" t="str">
        <f aca="false">Paysheet!A7</f>
        <v>AES-E053</v>
      </c>
      <c r="B6" s="40" t="str">
        <f aca="false">Paysheet!B7</f>
        <v>Panashe</v>
      </c>
      <c r="C6" s="40" t="str">
        <f aca="false">Paysheet!C7</f>
        <v>Gorejena</v>
      </c>
      <c r="D6" s="163" t="n">
        <f aca="false">Paysheet!AW7</f>
        <v>35.1810026320582</v>
      </c>
      <c r="E6" s="163" t="n">
        <f aca="false">Paysheet!AX7</f>
        <v>1.05543007896175</v>
      </c>
      <c r="F6" s="170" t="n">
        <f aca="false">D6+E6</f>
        <v>36.23643271102</v>
      </c>
      <c r="G6" s="163" t="n">
        <f aca="false">Paysheet!AY7</f>
        <v>566698.899077232</v>
      </c>
      <c r="H6" s="163" t="n">
        <f aca="false">Paysheet!AZ7</f>
        <v>17000.966972317</v>
      </c>
      <c r="I6" s="170" t="n">
        <f aca="false">G6+H6</f>
        <v>583699.866049549</v>
      </c>
    </row>
    <row r="7" customFormat="false" ht="15.75" hidden="false" customHeight="true" outlineLevel="0" collapsed="false">
      <c r="A7" s="39" t="str">
        <f aca="false">Paysheet!A8</f>
        <v>AES-E054</v>
      </c>
      <c r="B7" s="40" t="str">
        <f aca="false">Paysheet!B8</f>
        <v>Tapiwa</v>
      </c>
      <c r="C7" s="40" t="str">
        <f aca="false">Paysheet!C8</f>
        <v>Shumba</v>
      </c>
      <c r="D7" s="163" t="n">
        <f aca="false">Paysheet!AW8</f>
        <v>29.3642049207839</v>
      </c>
      <c r="E7" s="163" t="n">
        <f aca="false">Paysheet!AX8</f>
        <v>0.880926147623517</v>
      </c>
      <c r="F7" s="170" t="n">
        <f aca="false">D7+E7</f>
        <v>30.2451310684074</v>
      </c>
      <c r="G7" s="163" t="n">
        <f aca="false">Paysheet!AY8</f>
        <v>473000.285658126</v>
      </c>
      <c r="H7" s="163" t="n">
        <f aca="false">Paysheet!AZ8</f>
        <v>14190.0085697438</v>
      </c>
      <c r="I7" s="170" t="n">
        <f aca="false">G7+H7</f>
        <v>487190.29422787</v>
      </c>
    </row>
    <row r="8" customFormat="false" ht="15.75" hidden="false" customHeight="true" outlineLevel="0" collapsed="false">
      <c r="A8" s="39" t="str">
        <f aca="false">Paysheet!A9</f>
        <v>AES-E057</v>
      </c>
      <c r="B8" s="40" t="str">
        <f aca="false">Paysheet!B9</f>
        <v>Energy</v>
      </c>
      <c r="C8" s="40" t="str">
        <f aca="false">Paysheet!C9</f>
        <v>Mudenda</v>
      </c>
      <c r="D8" s="163" t="n">
        <f aca="false">Paysheet!AW9</f>
        <v>40.2433052310202</v>
      </c>
      <c r="E8" s="163" t="n">
        <f aca="false">Paysheet!AX9</f>
        <v>1.20729915693061</v>
      </c>
      <c r="F8" s="170" t="n">
        <f aca="false">D8+E8</f>
        <v>41.4506043879508</v>
      </c>
      <c r="G8" s="163" t="n">
        <f aca="false">Paysheet!AY9</f>
        <v>648180.274293303</v>
      </c>
      <c r="H8" s="163" t="n">
        <f aca="false">Paysheet!AZ9</f>
        <v>19445.4082287991</v>
      </c>
      <c r="I8" s="170" t="n">
        <f aca="false">G8+H8</f>
        <v>667625.682522102</v>
      </c>
    </row>
    <row r="9" customFormat="false" ht="15.75" hidden="false" customHeight="true" outlineLevel="0" collapsed="false">
      <c r="A9" s="39" t="str">
        <f aca="false">Paysheet!A10</f>
        <v>AES-E055</v>
      </c>
      <c r="B9" s="40" t="str">
        <f aca="false">Paysheet!B10</f>
        <v>Perfect</v>
      </c>
      <c r="C9" s="40" t="str">
        <f aca="false">Paysheet!C10</f>
        <v>Mhererwa</v>
      </c>
      <c r="D9" s="163" t="n">
        <f aca="false">Paysheet!AW10</f>
        <v>29.3642049207839</v>
      </c>
      <c r="E9" s="163" t="n">
        <f aca="false">Paysheet!AX10</f>
        <v>0.880926147623517</v>
      </c>
      <c r="F9" s="170" t="n">
        <f aca="false">D9+E9</f>
        <v>30.2451310684074</v>
      </c>
      <c r="G9" s="163" t="n">
        <f aca="false">Paysheet!AY10</f>
        <v>473000.285658126</v>
      </c>
      <c r="H9" s="163" t="n">
        <f aca="false">Paysheet!AZ10</f>
        <v>14190.0085697438</v>
      </c>
      <c r="I9" s="170" t="n">
        <f aca="false">G9+H9</f>
        <v>487190.29422787</v>
      </c>
    </row>
    <row r="10" customFormat="false" ht="15.75" hidden="false" customHeight="true" outlineLevel="0" collapsed="false">
      <c r="A10" s="39" t="str">
        <f aca="false">Paysheet!A11</f>
        <v>AES-E056</v>
      </c>
      <c r="B10" s="40" t="str">
        <f aca="false">Paysheet!B11</f>
        <v>Tanyaradzwa</v>
      </c>
      <c r="C10" s="40" t="str">
        <f aca="false">Paysheet!C11</f>
        <v>Ndoro</v>
      </c>
      <c r="D10" s="163" t="n">
        <f aca="false">Paysheet!AW11</f>
        <v>29.3642049207839</v>
      </c>
      <c r="E10" s="163" t="n">
        <f aca="false">Paysheet!AX11</f>
        <v>0.880926147623517</v>
      </c>
      <c r="F10" s="170" t="n">
        <f aca="false">D10+E10</f>
        <v>30.2451310684074</v>
      </c>
      <c r="G10" s="163" t="n">
        <f aca="false">Paysheet!AY11</f>
        <v>473000.285658126</v>
      </c>
      <c r="H10" s="163" t="n">
        <f aca="false">Paysheet!AZ11</f>
        <v>14190.0085697438</v>
      </c>
      <c r="I10" s="170" t="n">
        <f aca="false">G10+H10</f>
        <v>487190.29422787</v>
      </c>
    </row>
    <row r="11" customFormat="false" ht="15.75" hidden="false" customHeight="true" outlineLevel="0" collapsed="false">
      <c r="A11" s="39" t="str">
        <f aca="false">Paysheet!A12</f>
        <v>AES-E059</v>
      </c>
      <c r="B11" s="40" t="str">
        <f aca="false">Paysheet!B12</f>
        <v>Perfect</v>
      </c>
      <c r="C11" s="40" t="str">
        <f aca="false">Paysheet!C12</f>
        <v>Chinouriri</v>
      </c>
      <c r="D11" s="163" t="n">
        <f aca="false">Paysheet!AW12</f>
        <v>42.2575144364149</v>
      </c>
      <c r="E11" s="163" t="n">
        <f aca="false">Paysheet!AX12</f>
        <v>1.26772543309245</v>
      </c>
      <c r="F11" s="170" t="n">
        <f aca="false">D11+E11</f>
        <v>43.5252398695074</v>
      </c>
      <c r="G11" s="163" t="n">
        <f aca="false">Paysheet!AY12</f>
        <v>680689.953338178</v>
      </c>
      <c r="H11" s="163" t="n">
        <f aca="false">Paysheet!AZ12</f>
        <v>20420.6986001453</v>
      </c>
      <c r="I11" s="170" t="n">
        <f aca="false">G11+H11</f>
        <v>701110.651938323</v>
      </c>
    </row>
    <row r="12" customFormat="false" ht="15.75" hidden="false" customHeight="true" outlineLevel="0" collapsed="false">
      <c r="A12" s="39" t="str">
        <f aca="false">Paysheet!A13</f>
        <v>AES-E058</v>
      </c>
      <c r="B12" s="40" t="str">
        <f aca="false">Paysheet!B13</f>
        <v>Wisdom</v>
      </c>
      <c r="C12" s="40" t="str">
        <f aca="false">Paysheet!C13</f>
        <v>Mavhunga</v>
      </c>
      <c r="D12" s="163" t="n">
        <f aca="false">Paysheet!AW13</f>
        <v>29.3642049207839</v>
      </c>
      <c r="E12" s="163" t="n">
        <f aca="false">Paysheet!AX13</f>
        <v>0.880926147623517</v>
      </c>
      <c r="F12" s="170" t="n">
        <f aca="false">D12+E12</f>
        <v>30.2451310684074</v>
      </c>
      <c r="G12" s="163" t="n">
        <f aca="false">Paysheet!AY13</f>
        <v>473000.285658126</v>
      </c>
      <c r="H12" s="163" t="n">
        <f aca="false">Paysheet!AZ13</f>
        <v>14190.0085697438</v>
      </c>
      <c r="I12" s="170" t="n">
        <f aca="false">G12+H12</f>
        <v>487190.29422787</v>
      </c>
    </row>
    <row r="13" customFormat="false" ht="15.75" hidden="false" customHeight="true" outlineLevel="0" collapsed="false">
      <c r="A13" s="39" t="str">
        <f aca="false">Paysheet!A14</f>
        <v>AES-E060</v>
      </c>
      <c r="B13" s="40" t="str">
        <f aca="false">Paysheet!B14</f>
        <v>Makanaka </v>
      </c>
      <c r="C13" s="40" t="str">
        <f aca="false">Paysheet!C14</f>
        <v>Dziva</v>
      </c>
      <c r="D13" s="163" t="n">
        <f aca="false">Paysheet!AW14</f>
        <v>29.3642049207839</v>
      </c>
      <c r="E13" s="163" t="n">
        <f aca="false">Paysheet!AX14</f>
        <v>0.880926147623517</v>
      </c>
      <c r="F13" s="170" t="n">
        <f aca="false">D13+E13</f>
        <v>30.2451310684074</v>
      </c>
      <c r="G13" s="163" t="n">
        <f aca="false">Paysheet!AY14</f>
        <v>473000.285658126</v>
      </c>
      <c r="H13" s="163" t="n">
        <f aca="false">Paysheet!AZ14</f>
        <v>14190.0085697438</v>
      </c>
      <c r="I13" s="170" t="n">
        <f aca="false">G13+H13</f>
        <v>487190.29422787</v>
      </c>
    </row>
    <row r="14" customFormat="false" ht="15.75" hidden="true" customHeight="true" outlineLevel="0" collapsed="false">
      <c r="A14" s="39" t="n">
        <f aca="false">Paysheet!A15</f>
        <v>0</v>
      </c>
      <c r="B14" s="40" t="n">
        <f aca="false">Paysheet!B15</f>
        <v>0</v>
      </c>
      <c r="C14" s="40" t="n">
        <f aca="false">Paysheet!C15</f>
        <v>0</v>
      </c>
      <c r="D14" s="163" t="n">
        <f aca="false">Paysheet!AW15</f>
        <v>0</v>
      </c>
      <c r="E14" s="163" t="n">
        <f aca="false">Paysheet!AX15</f>
        <v>0</v>
      </c>
      <c r="F14" s="170" t="n">
        <f aca="false">D14+E14</f>
        <v>0</v>
      </c>
      <c r="G14" s="163" t="n">
        <f aca="false">Paysheet!AY15</f>
        <v>0</v>
      </c>
      <c r="H14" s="163" t="n">
        <f aca="false">Paysheet!AZ15</f>
        <v>0</v>
      </c>
      <c r="I14" s="170" t="n">
        <f aca="false">G14+H14</f>
        <v>0</v>
      </c>
    </row>
    <row r="15" customFormat="false" ht="15.75" hidden="true" customHeight="true" outlineLevel="0" collapsed="false">
      <c r="A15" s="39" t="n">
        <f aca="false">Paysheet!A16</f>
        <v>0</v>
      </c>
      <c r="B15" s="40" t="n">
        <f aca="false">Paysheet!B16</f>
        <v>0</v>
      </c>
      <c r="C15" s="40" t="n">
        <f aca="false">Paysheet!C16</f>
        <v>0</v>
      </c>
      <c r="D15" s="163" t="n">
        <f aca="false">Paysheet!AW16</f>
        <v>0</v>
      </c>
      <c r="E15" s="163" t="n">
        <f aca="false">Paysheet!AX16</f>
        <v>0</v>
      </c>
      <c r="F15" s="170" t="n">
        <f aca="false">D15+E15</f>
        <v>0</v>
      </c>
      <c r="G15" s="163" t="n">
        <f aca="false">Paysheet!AY16</f>
        <v>0</v>
      </c>
      <c r="H15" s="163" t="n">
        <f aca="false">Paysheet!AZ16</f>
        <v>0</v>
      </c>
      <c r="I15" s="170" t="n">
        <f aca="false">G15+H15</f>
        <v>0</v>
      </c>
    </row>
    <row r="16" customFormat="false" ht="15.75" hidden="true" customHeight="true" outlineLevel="0" collapsed="false">
      <c r="A16" s="39" t="n">
        <f aca="false">Paysheet!A17</f>
        <v>0</v>
      </c>
      <c r="B16" s="40" t="n">
        <f aca="false">Paysheet!B17</f>
        <v>0</v>
      </c>
      <c r="C16" s="40" t="n">
        <f aca="false">Paysheet!C17</f>
        <v>0</v>
      </c>
      <c r="D16" s="163" t="n">
        <f aca="false">Paysheet!AW17</f>
        <v>0</v>
      </c>
      <c r="E16" s="163" t="n">
        <f aca="false">Paysheet!AX17</f>
        <v>0</v>
      </c>
      <c r="F16" s="170" t="n">
        <f aca="false">D16+E16</f>
        <v>0</v>
      </c>
      <c r="G16" s="163" t="n">
        <f aca="false">Paysheet!AY17</f>
        <v>0</v>
      </c>
      <c r="H16" s="163" t="n">
        <f aca="false">Paysheet!AZ17</f>
        <v>0</v>
      </c>
      <c r="I16" s="170" t="n">
        <f aca="false">G16+H16</f>
        <v>0</v>
      </c>
    </row>
    <row r="17" customFormat="false" ht="15.75" hidden="true" customHeight="true" outlineLevel="0" collapsed="false">
      <c r="A17" s="39" t="n">
        <f aca="false">Paysheet!A18</f>
        <v>0</v>
      </c>
      <c r="B17" s="40" t="n">
        <f aca="false">Paysheet!B18</f>
        <v>0</v>
      </c>
      <c r="C17" s="40" t="n">
        <f aca="false">Paysheet!C18</f>
        <v>0</v>
      </c>
      <c r="D17" s="163" t="n">
        <f aca="false">Paysheet!AW18</f>
        <v>0</v>
      </c>
      <c r="E17" s="163" t="n">
        <f aca="false">Paysheet!AX18</f>
        <v>0</v>
      </c>
      <c r="F17" s="170" t="n">
        <f aca="false">D17+E17</f>
        <v>0</v>
      </c>
      <c r="G17" s="163" t="n">
        <f aca="false">Paysheet!AY18</f>
        <v>0</v>
      </c>
      <c r="H17" s="163" t="n">
        <f aca="false">Paysheet!AZ18</f>
        <v>0</v>
      </c>
      <c r="I17" s="170" t="n">
        <f aca="false">G17+H17</f>
        <v>0</v>
      </c>
    </row>
    <row r="18" customFormat="false" ht="15.75" hidden="true" customHeight="true" outlineLevel="0" collapsed="false">
      <c r="A18" s="39" t="n">
        <f aca="false">Paysheet!A19</f>
        <v>0</v>
      </c>
      <c r="B18" s="40" t="n">
        <f aca="false">Paysheet!B19</f>
        <v>0</v>
      </c>
      <c r="C18" s="40" t="n">
        <f aca="false">Paysheet!C19</f>
        <v>0</v>
      </c>
      <c r="D18" s="163" t="n">
        <f aca="false">Paysheet!AW19</f>
        <v>0</v>
      </c>
      <c r="E18" s="163" t="n">
        <f aca="false">Paysheet!AX19</f>
        <v>0</v>
      </c>
      <c r="F18" s="170" t="n">
        <f aca="false">D18+E18</f>
        <v>0</v>
      </c>
      <c r="G18" s="163" t="n">
        <f aca="false">Paysheet!AY19</f>
        <v>0</v>
      </c>
      <c r="H18" s="163" t="n">
        <f aca="false">Paysheet!AZ19</f>
        <v>0</v>
      </c>
      <c r="I18" s="170" t="n">
        <f aca="false">G18+H18</f>
        <v>0</v>
      </c>
    </row>
    <row r="19" customFormat="false" ht="15.75" hidden="true" customHeight="true" outlineLevel="0" collapsed="false">
      <c r="A19" s="39" t="n">
        <f aca="false">Paysheet!A20</f>
        <v>0</v>
      </c>
      <c r="B19" s="40" t="n">
        <f aca="false">Paysheet!B20</f>
        <v>0</v>
      </c>
      <c r="C19" s="40" t="n">
        <f aca="false">Paysheet!C20</f>
        <v>0</v>
      </c>
      <c r="D19" s="163" t="n">
        <f aca="false">Paysheet!AW20</f>
        <v>0</v>
      </c>
      <c r="E19" s="163" t="n">
        <f aca="false">Paysheet!AX20</f>
        <v>0</v>
      </c>
      <c r="F19" s="170" t="n">
        <f aca="false">D19+E19</f>
        <v>0</v>
      </c>
      <c r="G19" s="163" t="n">
        <f aca="false">Paysheet!AY20</f>
        <v>0</v>
      </c>
      <c r="H19" s="163" t="n">
        <f aca="false">Paysheet!AZ20</f>
        <v>0</v>
      </c>
      <c r="I19" s="170" t="n">
        <f aca="false">G19+H19</f>
        <v>0</v>
      </c>
    </row>
    <row r="20" customFormat="false" ht="15.75" hidden="true" customHeight="true" outlineLevel="0" collapsed="false">
      <c r="A20" s="39" t="n">
        <f aca="false">Paysheet!A21</f>
        <v>0</v>
      </c>
      <c r="B20" s="40" t="n">
        <f aca="false">Paysheet!B21</f>
        <v>0</v>
      </c>
      <c r="C20" s="40" t="n">
        <f aca="false">Paysheet!C21</f>
        <v>0</v>
      </c>
      <c r="D20" s="163" t="n">
        <f aca="false">Paysheet!AW21</f>
        <v>0</v>
      </c>
      <c r="E20" s="163" t="n">
        <f aca="false">Paysheet!AX21</f>
        <v>0</v>
      </c>
      <c r="F20" s="170" t="n">
        <f aca="false">D20+E20</f>
        <v>0</v>
      </c>
      <c r="G20" s="163" t="n">
        <f aca="false">Paysheet!AY21</f>
        <v>0</v>
      </c>
      <c r="H20" s="163" t="n">
        <f aca="false">Paysheet!AZ21</f>
        <v>0</v>
      </c>
      <c r="I20" s="170" t="n">
        <f aca="false">G20+H20</f>
        <v>0</v>
      </c>
    </row>
    <row r="21" customFormat="false" ht="15.75" hidden="true" customHeight="true" outlineLevel="0" collapsed="false">
      <c r="A21" s="39" t="n">
        <f aca="false">Paysheet!A22</f>
        <v>0</v>
      </c>
      <c r="B21" s="40" t="n">
        <f aca="false">Paysheet!B22</f>
        <v>0</v>
      </c>
      <c r="C21" s="40" t="n">
        <f aca="false">Paysheet!C22</f>
        <v>0</v>
      </c>
      <c r="D21" s="163" t="n">
        <f aca="false">Paysheet!AW22</f>
        <v>0</v>
      </c>
      <c r="E21" s="163" t="n">
        <f aca="false">Paysheet!AX22</f>
        <v>0</v>
      </c>
      <c r="F21" s="170" t="n">
        <f aca="false">D21+E21</f>
        <v>0</v>
      </c>
      <c r="G21" s="163" t="n">
        <f aca="false">Paysheet!AY22</f>
        <v>0</v>
      </c>
      <c r="H21" s="163" t="n">
        <f aca="false">Paysheet!AZ22</f>
        <v>0</v>
      </c>
      <c r="I21" s="170" t="n">
        <f aca="false">G21+H21</f>
        <v>0</v>
      </c>
    </row>
    <row r="22" customFormat="false" ht="15.75" hidden="true" customHeight="true" outlineLevel="0" collapsed="false">
      <c r="A22" s="39" t="n">
        <f aca="false">Paysheet!A23</f>
        <v>0</v>
      </c>
      <c r="B22" s="40" t="n">
        <f aca="false">Paysheet!B23</f>
        <v>0</v>
      </c>
      <c r="C22" s="40" t="n">
        <f aca="false">Paysheet!C23</f>
        <v>0</v>
      </c>
      <c r="D22" s="163" t="n">
        <f aca="false">Paysheet!AW23</f>
        <v>0</v>
      </c>
      <c r="E22" s="163" t="n">
        <f aca="false">Paysheet!AX23</f>
        <v>0</v>
      </c>
      <c r="F22" s="170" t="n">
        <f aca="false">D22+E22</f>
        <v>0</v>
      </c>
      <c r="G22" s="163" t="n">
        <f aca="false">Paysheet!AY23</f>
        <v>0</v>
      </c>
      <c r="H22" s="163" t="n">
        <f aca="false">Paysheet!AZ23</f>
        <v>0</v>
      </c>
      <c r="I22" s="170" t="n">
        <f aca="false">G22+H22</f>
        <v>0</v>
      </c>
    </row>
    <row r="23" customFormat="false" ht="15.75" hidden="true" customHeight="true" outlineLevel="0" collapsed="false">
      <c r="A23" s="39" t="n">
        <f aca="false">Paysheet!A24</f>
        <v>0</v>
      </c>
      <c r="B23" s="40" t="n">
        <f aca="false">Paysheet!B24</f>
        <v>0</v>
      </c>
      <c r="C23" s="40" t="n">
        <f aca="false">Paysheet!C24</f>
        <v>0</v>
      </c>
      <c r="D23" s="163" t="n">
        <f aca="false">Paysheet!AW24</f>
        <v>0</v>
      </c>
      <c r="E23" s="163" t="n">
        <f aca="false">Paysheet!AX24</f>
        <v>0</v>
      </c>
      <c r="F23" s="170" t="n">
        <f aca="false">D23+E23</f>
        <v>0</v>
      </c>
      <c r="G23" s="163" t="n">
        <f aca="false">Paysheet!AY24</f>
        <v>0</v>
      </c>
      <c r="H23" s="163" t="n">
        <f aca="false">Paysheet!AZ24</f>
        <v>0</v>
      </c>
      <c r="I23" s="170" t="n">
        <f aca="false">G23+H23</f>
        <v>0</v>
      </c>
    </row>
    <row r="24" customFormat="false" ht="15.75" hidden="true" customHeight="true" outlineLevel="0" collapsed="false">
      <c r="A24" s="39" t="n">
        <f aca="false">Paysheet!A25</f>
        <v>0</v>
      </c>
      <c r="B24" s="40" t="n">
        <f aca="false">Paysheet!B25</f>
        <v>0</v>
      </c>
      <c r="C24" s="40" t="n">
        <f aca="false">Paysheet!C25</f>
        <v>0</v>
      </c>
      <c r="D24" s="163" t="n">
        <f aca="false">Paysheet!AW25</f>
        <v>0</v>
      </c>
      <c r="E24" s="163" t="n">
        <f aca="false">Paysheet!AX25</f>
        <v>0</v>
      </c>
      <c r="F24" s="170" t="n">
        <f aca="false">D24+E24</f>
        <v>0</v>
      </c>
      <c r="G24" s="163" t="n">
        <f aca="false">Paysheet!AY25</f>
        <v>0</v>
      </c>
      <c r="H24" s="163" t="n">
        <f aca="false">Paysheet!AZ25</f>
        <v>0</v>
      </c>
      <c r="I24" s="170" t="n">
        <f aca="false">G24+H24</f>
        <v>0</v>
      </c>
    </row>
    <row r="25" customFormat="false" ht="15.75" hidden="true" customHeight="true" outlineLevel="0" collapsed="false">
      <c r="A25" s="39" t="n">
        <f aca="false">Paysheet!A26</f>
        <v>0</v>
      </c>
      <c r="B25" s="40" t="n">
        <f aca="false">Paysheet!B26</f>
        <v>0</v>
      </c>
      <c r="C25" s="40" t="n">
        <f aca="false">Paysheet!C26</f>
        <v>0</v>
      </c>
      <c r="D25" s="163" t="n">
        <f aca="false">Paysheet!AW26</f>
        <v>0</v>
      </c>
      <c r="E25" s="163" t="n">
        <f aca="false">Paysheet!AX26</f>
        <v>0</v>
      </c>
      <c r="F25" s="170" t="n">
        <f aca="false">D25+E25</f>
        <v>0</v>
      </c>
      <c r="G25" s="163" t="n">
        <f aca="false">Paysheet!AY26</f>
        <v>0</v>
      </c>
      <c r="H25" s="163" t="n">
        <f aca="false">Paysheet!AZ26</f>
        <v>0</v>
      </c>
      <c r="I25" s="170" t="n">
        <f aca="false">G25+H25</f>
        <v>0</v>
      </c>
    </row>
    <row r="26" customFormat="false" ht="15.75" hidden="true" customHeight="true" outlineLevel="0" collapsed="false">
      <c r="A26" s="39" t="n">
        <f aca="false">Paysheet!A27</f>
        <v>0</v>
      </c>
      <c r="B26" s="40" t="n">
        <f aca="false">Paysheet!B27</f>
        <v>0</v>
      </c>
      <c r="C26" s="40" t="n">
        <f aca="false">Paysheet!C27</f>
        <v>0</v>
      </c>
      <c r="D26" s="163" t="n">
        <f aca="false">Paysheet!AW27</f>
        <v>0</v>
      </c>
      <c r="E26" s="163" t="n">
        <f aca="false">Paysheet!AX27</f>
        <v>0</v>
      </c>
      <c r="F26" s="170" t="n">
        <f aca="false">D26+E26</f>
        <v>0</v>
      </c>
      <c r="G26" s="163" t="n">
        <f aca="false">Paysheet!AY27</f>
        <v>0</v>
      </c>
      <c r="H26" s="163" t="n">
        <f aca="false">Paysheet!AZ27</f>
        <v>0</v>
      </c>
      <c r="I26" s="170" t="n">
        <f aca="false">G26+H26</f>
        <v>0</v>
      </c>
    </row>
    <row r="27" customFormat="false" ht="15.75" hidden="true" customHeight="true" outlineLevel="0" collapsed="false">
      <c r="A27" s="39" t="n">
        <f aca="false">Paysheet!A28</f>
        <v>0</v>
      </c>
      <c r="B27" s="40" t="n">
        <f aca="false">Paysheet!B28</f>
        <v>0</v>
      </c>
      <c r="C27" s="40" t="n">
        <f aca="false">Paysheet!C28</f>
        <v>0</v>
      </c>
      <c r="D27" s="163" t="n">
        <f aca="false">Paysheet!AW28</f>
        <v>0</v>
      </c>
      <c r="E27" s="163" t="n">
        <f aca="false">Paysheet!AX28</f>
        <v>0</v>
      </c>
      <c r="F27" s="170" t="n">
        <f aca="false">D27+E27</f>
        <v>0</v>
      </c>
      <c r="G27" s="163" t="n">
        <f aca="false">Paysheet!AY28</f>
        <v>0</v>
      </c>
      <c r="H27" s="163" t="n">
        <f aca="false">Paysheet!AZ28</f>
        <v>0</v>
      </c>
      <c r="I27" s="170" t="n">
        <f aca="false">G27+H27</f>
        <v>0</v>
      </c>
    </row>
    <row r="28" customFormat="false" ht="15.75" hidden="true" customHeight="true" outlineLevel="0" collapsed="false">
      <c r="A28" s="39" t="n">
        <f aca="false">Paysheet!A29</f>
        <v>0</v>
      </c>
      <c r="B28" s="40" t="n">
        <f aca="false">Paysheet!B29</f>
        <v>0</v>
      </c>
      <c r="C28" s="40" t="n">
        <f aca="false">Paysheet!C29</f>
        <v>0</v>
      </c>
      <c r="D28" s="163" t="n">
        <f aca="false">Paysheet!AW29</f>
        <v>0</v>
      </c>
      <c r="E28" s="163" t="n">
        <f aca="false">Paysheet!AX29</f>
        <v>0</v>
      </c>
      <c r="F28" s="170" t="n">
        <f aca="false">D28+E28</f>
        <v>0</v>
      </c>
      <c r="G28" s="163" t="n">
        <f aca="false">Paysheet!AY29</f>
        <v>0</v>
      </c>
      <c r="H28" s="163" t="n">
        <f aca="false">Paysheet!AZ29</f>
        <v>0</v>
      </c>
      <c r="I28" s="170" t="n">
        <f aca="false">G28+H28</f>
        <v>0</v>
      </c>
    </row>
    <row r="29" customFormat="false" ht="15.75" hidden="true" customHeight="true" outlineLevel="0" collapsed="false">
      <c r="A29" s="39" t="n">
        <f aca="false">Paysheet!A30</f>
        <v>0</v>
      </c>
      <c r="B29" s="40" t="n">
        <f aca="false">Paysheet!B30</f>
        <v>0</v>
      </c>
      <c r="C29" s="40" t="n">
        <f aca="false">Paysheet!C30</f>
        <v>0</v>
      </c>
      <c r="D29" s="163" t="n">
        <f aca="false">Paysheet!AW30</f>
        <v>0</v>
      </c>
      <c r="E29" s="163" t="n">
        <f aca="false">Paysheet!AX30</f>
        <v>0</v>
      </c>
      <c r="F29" s="170" t="n">
        <f aca="false">D29+E29</f>
        <v>0</v>
      </c>
      <c r="G29" s="163" t="n">
        <f aca="false">Paysheet!AY30</f>
        <v>0</v>
      </c>
      <c r="H29" s="163" t="n">
        <f aca="false">Paysheet!AZ30</f>
        <v>0</v>
      </c>
      <c r="I29" s="170" t="n">
        <f aca="false">G29+H29</f>
        <v>0</v>
      </c>
    </row>
    <row r="30" customFormat="false" ht="15.75" hidden="true" customHeight="true" outlineLevel="0" collapsed="false">
      <c r="A30" s="39" t="n">
        <f aca="false">Paysheet!A31</f>
        <v>0</v>
      </c>
      <c r="B30" s="40" t="n">
        <f aca="false">Paysheet!B31</f>
        <v>0</v>
      </c>
      <c r="C30" s="40" t="n">
        <f aca="false">Paysheet!C31</f>
        <v>0</v>
      </c>
      <c r="D30" s="163" t="n">
        <f aca="false">Paysheet!AW31</f>
        <v>0</v>
      </c>
      <c r="E30" s="163" t="n">
        <f aca="false">Paysheet!AX31</f>
        <v>0</v>
      </c>
      <c r="F30" s="170" t="n">
        <f aca="false">D30+E30</f>
        <v>0</v>
      </c>
      <c r="G30" s="163" t="n">
        <f aca="false">Paysheet!AY31</f>
        <v>0</v>
      </c>
      <c r="H30" s="163" t="n">
        <f aca="false">Paysheet!AZ31</f>
        <v>0</v>
      </c>
      <c r="I30" s="170" t="n">
        <f aca="false">G30+H30</f>
        <v>0</v>
      </c>
    </row>
    <row r="31" customFormat="false" ht="15.75" hidden="true" customHeight="true" outlineLevel="0" collapsed="false">
      <c r="A31" s="39" t="n">
        <f aca="false">Paysheet!A32</f>
        <v>0</v>
      </c>
      <c r="B31" s="40" t="n">
        <f aca="false">Paysheet!B32</f>
        <v>0</v>
      </c>
      <c r="C31" s="40" t="n">
        <f aca="false">Paysheet!C32</f>
        <v>0</v>
      </c>
      <c r="D31" s="163" t="n">
        <f aca="false">Paysheet!AW32</f>
        <v>0</v>
      </c>
      <c r="E31" s="163" t="n">
        <f aca="false">Paysheet!AX32</f>
        <v>0</v>
      </c>
      <c r="F31" s="170" t="n">
        <f aca="false">D31+E31</f>
        <v>0</v>
      </c>
      <c r="G31" s="163" t="n">
        <f aca="false">Paysheet!AY32</f>
        <v>0</v>
      </c>
      <c r="H31" s="163" t="n">
        <f aca="false">Paysheet!AZ32</f>
        <v>0</v>
      </c>
      <c r="I31" s="170" t="n">
        <f aca="false">G31+H31</f>
        <v>0</v>
      </c>
    </row>
    <row r="32" customFormat="false" ht="15.75" hidden="true" customHeight="true" outlineLevel="0" collapsed="false">
      <c r="A32" s="39" t="n">
        <f aca="false">Paysheet!A33</f>
        <v>0</v>
      </c>
      <c r="B32" s="40" t="n">
        <f aca="false">Paysheet!B33</f>
        <v>0</v>
      </c>
      <c r="C32" s="40" t="n">
        <f aca="false">Paysheet!C33</f>
        <v>0</v>
      </c>
      <c r="D32" s="163" t="n">
        <f aca="false">Paysheet!AW33</f>
        <v>0</v>
      </c>
      <c r="E32" s="163" t="n">
        <f aca="false">Paysheet!AX33</f>
        <v>0</v>
      </c>
      <c r="F32" s="170" t="n">
        <f aca="false">D32+E32</f>
        <v>0</v>
      </c>
      <c r="G32" s="163" t="n">
        <f aca="false">Paysheet!AY33</f>
        <v>0</v>
      </c>
      <c r="H32" s="163" t="n">
        <f aca="false">Paysheet!AZ33</f>
        <v>0</v>
      </c>
      <c r="I32" s="170" t="n">
        <f aca="false">G32+H32</f>
        <v>0</v>
      </c>
    </row>
    <row r="33" customFormat="false" ht="15.75" hidden="true" customHeight="true" outlineLevel="0" collapsed="false">
      <c r="A33" s="39" t="n">
        <f aca="false">Paysheet!A34</f>
        <v>0</v>
      </c>
      <c r="B33" s="40" t="n">
        <f aca="false">Paysheet!B34</f>
        <v>0</v>
      </c>
      <c r="C33" s="40" t="n">
        <f aca="false">Paysheet!C34</f>
        <v>0</v>
      </c>
      <c r="D33" s="163" t="n">
        <f aca="false">Paysheet!AW34</f>
        <v>0</v>
      </c>
      <c r="E33" s="163" t="n">
        <f aca="false">Paysheet!AX34</f>
        <v>0</v>
      </c>
      <c r="F33" s="170" t="n">
        <f aca="false">D33+E33</f>
        <v>0</v>
      </c>
      <c r="G33" s="163" t="n">
        <f aca="false">Paysheet!AY34</f>
        <v>0</v>
      </c>
      <c r="H33" s="163" t="n">
        <f aca="false">Paysheet!AZ34</f>
        <v>0</v>
      </c>
      <c r="I33" s="170" t="n">
        <f aca="false">G33+H33</f>
        <v>0</v>
      </c>
    </row>
    <row r="34" customFormat="false" ht="15.75" hidden="true" customHeight="true" outlineLevel="0" collapsed="false">
      <c r="A34" s="39" t="n">
        <f aca="false">Paysheet!A35</f>
        <v>0</v>
      </c>
      <c r="B34" s="40" t="n">
        <f aca="false">Paysheet!B35</f>
        <v>0</v>
      </c>
      <c r="C34" s="40" t="n">
        <f aca="false">Paysheet!C35</f>
        <v>0</v>
      </c>
      <c r="D34" s="163" t="n">
        <f aca="false">Paysheet!AW35</f>
        <v>0</v>
      </c>
      <c r="E34" s="163" t="n">
        <f aca="false">Paysheet!AX35</f>
        <v>0</v>
      </c>
      <c r="F34" s="170" t="n">
        <f aca="false">D34+E34</f>
        <v>0</v>
      </c>
      <c r="G34" s="163" t="n">
        <f aca="false">Paysheet!AY35</f>
        <v>0</v>
      </c>
      <c r="H34" s="163" t="n">
        <f aca="false">Paysheet!AZ35</f>
        <v>0</v>
      </c>
      <c r="I34" s="170" t="n">
        <f aca="false">G34+H34</f>
        <v>0</v>
      </c>
    </row>
    <row r="35" customFormat="false" ht="15.75" hidden="true" customHeight="true" outlineLevel="0" collapsed="false">
      <c r="A35" s="39" t="n">
        <f aca="false">Paysheet!A36</f>
        <v>0</v>
      </c>
      <c r="B35" s="40" t="n">
        <f aca="false">Paysheet!B36</f>
        <v>0</v>
      </c>
      <c r="C35" s="40" t="n">
        <f aca="false">Paysheet!C36</f>
        <v>0</v>
      </c>
      <c r="D35" s="163" t="n">
        <f aca="false">Paysheet!AW36</f>
        <v>0</v>
      </c>
      <c r="E35" s="163" t="n">
        <f aca="false">Paysheet!AX36</f>
        <v>0</v>
      </c>
      <c r="F35" s="170" t="n">
        <f aca="false">D35+E35</f>
        <v>0</v>
      </c>
      <c r="G35" s="163" t="n">
        <f aca="false">Paysheet!AY36</f>
        <v>0</v>
      </c>
      <c r="H35" s="163" t="n">
        <f aca="false">Paysheet!AZ36</f>
        <v>0</v>
      </c>
      <c r="I35" s="170" t="n">
        <f aca="false">G35+H35</f>
        <v>0</v>
      </c>
    </row>
    <row r="36" customFormat="false" ht="15.75" hidden="true" customHeight="true" outlineLevel="0" collapsed="false">
      <c r="A36" s="39" t="n">
        <f aca="false">Paysheet!A37</f>
        <v>0</v>
      </c>
      <c r="B36" s="40" t="n">
        <f aca="false">Paysheet!B37</f>
        <v>0</v>
      </c>
      <c r="C36" s="40" t="n">
        <f aca="false">Paysheet!C37</f>
        <v>0</v>
      </c>
      <c r="D36" s="163" t="n">
        <f aca="false">Paysheet!AW37</f>
        <v>0</v>
      </c>
      <c r="E36" s="163" t="n">
        <f aca="false">Paysheet!AX37</f>
        <v>0</v>
      </c>
      <c r="F36" s="170" t="n">
        <f aca="false">D36+E36</f>
        <v>0</v>
      </c>
      <c r="G36" s="163" t="n">
        <f aca="false">Paysheet!AY37</f>
        <v>0</v>
      </c>
      <c r="H36" s="163" t="n">
        <f aca="false">Paysheet!AZ37</f>
        <v>0</v>
      </c>
      <c r="I36" s="170" t="n">
        <f aca="false">G36+H36</f>
        <v>0</v>
      </c>
    </row>
    <row r="37" customFormat="false" ht="15.75" hidden="true" customHeight="true" outlineLevel="0" collapsed="false">
      <c r="A37" s="39" t="n">
        <f aca="false">Paysheet!A38</f>
        <v>0</v>
      </c>
      <c r="B37" s="40" t="n">
        <f aca="false">Paysheet!B38</f>
        <v>0</v>
      </c>
      <c r="C37" s="40" t="n">
        <f aca="false">Paysheet!C38</f>
        <v>0</v>
      </c>
      <c r="D37" s="163" t="n">
        <f aca="false">Paysheet!AW38</f>
        <v>0</v>
      </c>
      <c r="E37" s="163" t="n">
        <f aca="false">Paysheet!AX38</f>
        <v>0</v>
      </c>
      <c r="F37" s="170" t="n">
        <f aca="false">D37+E37</f>
        <v>0</v>
      </c>
      <c r="G37" s="163" t="n">
        <f aca="false">Paysheet!AY38</f>
        <v>0</v>
      </c>
      <c r="H37" s="163" t="n">
        <f aca="false">Paysheet!AZ38</f>
        <v>0</v>
      </c>
      <c r="I37" s="170" t="n">
        <f aca="false">G37+H37</f>
        <v>0</v>
      </c>
    </row>
    <row r="38" customFormat="false" ht="15.75" hidden="true" customHeight="true" outlineLevel="0" collapsed="false">
      <c r="A38" s="39" t="n">
        <f aca="false">Paysheet!A39</f>
        <v>0</v>
      </c>
      <c r="B38" s="40" t="n">
        <f aca="false">Paysheet!B39</f>
        <v>0</v>
      </c>
      <c r="C38" s="40" t="n">
        <f aca="false">Paysheet!C39</f>
        <v>0</v>
      </c>
      <c r="D38" s="163" t="n">
        <f aca="false">Paysheet!AW39</f>
        <v>0</v>
      </c>
      <c r="E38" s="163" t="n">
        <f aca="false">Paysheet!AX39</f>
        <v>0</v>
      </c>
      <c r="F38" s="170" t="n">
        <f aca="false">D38+E38</f>
        <v>0</v>
      </c>
      <c r="G38" s="163" t="n">
        <f aca="false">Paysheet!AY39</f>
        <v>0</v>
      </c>
      <c r="H38" s="163" t="n">
        <f aca="false">Paysheet!AZ39</f>
        <v>0</v>
      </c>
      <c r="I38" s="170" t="n">
        <f aca="false">G38+H38</f>
        <v>0</v>
      </c>
    </row>
    <row r="39" customFormat="false" ht="15.75" hidden="true" customHeight="true" outlineLevel="0" collapsed="false">
      <c r="A39" s="39" t="n">
        <f aca="false">Paysheet!A40</f>
        <v>0</v>
      </c>
      <c r="B39" s="40" t="n">
        <f aca="false">Paysheet!B40</f>
        <v>0</v>
      </c>
      <c r="C39" s="40" t="n">
        <f aca="false">Paysheet!C40</f>
        <v>0</v>
      </c>
      <c r="D39" s="163" t="n">
        <f aca="false">Paysheet!AW40</f>
        <v>0</v>
      </c>
      <c r="E39" s="163" t="n">
        <f aca="false">Paysheet!AX40</f>
        <v>0</v>
      </c>
      <c r="F39" s="170" t="n">
        <f aca="false">D39+E39</f>
        <v>0</v>
      </c>
      <c r="G39" s="163" t="n">
        <f aca="false">Paysheet!AY40</f>
        <v>0</v>
      </c>
      <c r="H39" s="163" t="n">
        <f aca="false">Paysheet!AZ40</f>
        <v>0</v>
      </c>
      <c r="I39" s="170" t="n">
        <f aca="false">G39+H39</f>
        <v>0</v>
      </c>
    </row>
    <row r="40" customFormat="false" ht="15.75" hidden="true" customHeight="true" outlineLevel="0" collapsed="false">
      <c r="A40" s="39" t="n">
        <f aca="false">Paysheet!A41</f>
        <v>0</v>
      </c>
      <c r="B40" s="40" t="n">
        <f aca="false">Paysheet!B41</f>
        <v>0</v>
      </c>
      <c r="C40" s="40" t="n">
        <f aca="false">Paysheet!C41</f>
        <v>0</v>
      </c>
      <c r="D40" s="163" t="n">
        <f aca="false">Paysheet!AW41</f>
        <v>0</v>
      </c>
      <c r="E40" s="163" t="n">
        <f aca="false">Paysheet!AX41</f>
        <v>0</v>
      </c>
      <c r="F40" s="170" t="n">
        <f aca="false">D40+E40</f>
        <v>0</v>
      </c>
      <c r="G40" s="163" t="n">
        <f aca="false">Paysheet!AY41</f>
        <v>0</v>
      </c>
      <c r="H40" s="163" t="n">
        <f aca="false">Paysheet!AZ41</f>
        <v>0</v>
      </c>
      <c r="I40" s="170" t="n">
        <f aca="false">G40+H40</f>
        <v>0</v>
      </c>
    </row>
    <row r="41" customFormat="false" ht="15.75" hidden="true" customHeight="true" outlineLevel="0" collapsed="false">
      <c r="A41" s="39" t="n">
        <f aca="false">Paysheet!A42</f>
        <v>0</v>
      </c>
      <c r="B41" s="40" t="n">
        <f aca="false">Paysheet!B42</f>
        <v>0</v>
      </c>
      <c r="C41" s="40" t="n">
        <f aca="false">Paysheet!C42</f>
        <v>0</v>
      </c>
      <c r="D41" s="163" t="n">
        <f aca="false">Paysheet!AW42</f>
        <v>0</v>
      </c>
      <c r="E41" s="163" t="n">
        <f aca="false">Paysheet!AX42</f>
        <v>0</v>
      </c>
      <c r="F41" s="170" t="n">
        <f aca="false">D41+E41</f>
        <v>0</v>
      </c>
      <c r="G41" s="163" t="n">
        <f aca="false">Paysheet!AY42</f>
        <v>0</v>
      </c>
      <c r="H41" s="163" t="n">
        <f aca="false">Paysheet!AZ42</f>
        <v>0</v>
      </c>
      <c r="I41" s="170" t="n">
        <f aca="false">G41+H41</f>
        <v>0</v>
      </c>
    </row>
    <row r="42" customFormat="false" ht="15.75" hidden="true" customHeight="true" outlineLevel="0" collapsed="false">
      <c r="A42" s="39" t="n">
        <f aca="false">Paysheet!A43</f>
        <v>0</v>
      </c>
      <c r="B42" s="40" t="n">
        <f aca="false">Paysheet!B43</f>
        <v>0</v>
      </c>
      <c r="C42" s="40" t="n">
        <f aca="false">Paysheet!C43</f>
        <v>0</v>
      </c>
      <c r="D42" s="163" t="n">
        <f aca="false">Paysheet!AW43</f>
        <v>0</v>
      </c>
      <c r="E42" s="163" t="n">
        <f aca="false">Paysheet!AX43</f>
        <v>0</v>
      </c>
      <c r="F42" s="170" t="n">
        <f aca="false">D42+E42</f>
        <v>0</v>
      </c>
      <c r="G42" s="163" t="n">
        <f aca="false">Paysheet!AY43</f>
        <v>0</v>
      </c>
      <c r="H42" s="163" t="n">
        <f aca="false">Paysheet!AZ43</f>
        <v>0</v>
      </c>
      <c r="I42" s="170" t="n">
        <f aca="false">G42+H42</f>
        <v>0</v>
      </c>
    </row>
    <row r="43" customFormat="false" ht="15.75" hidden="true" customHeight="true" outlineLevel="0" collapsed="false">
      <c r="A43" s="39" t="n">
        <f aca="false">Paysheet!A44</f>
        <v>0</v>
      </c>
      <c r="B43" s="40" t="n">
        <f aca="false">Paysheet!B44</f>
        <v>0</v>
      </c>
      <c r="C43" s="40" t="n">
        <f aca="false">Paysheet!C44</f>
        <v>0</v>
      </c>
      <c r="D43" s="163" t="n">
        <f aca="false">Paysheet!AW44</f>
        <v>0</v>
      </c>
      <c r="E43" s="163" t="n">
        <f aca="false">Paysheet!AX44</f>
        <v>0</v>
      </c>
      <c r="F43" s="170" t="n">
        <f aca="false">D43+E43</f>
        <v>0</v>
      </c>
      <c r="G43" s="163" t="n">
        <f aca="false">Paysheet!AY44</f>
        <v>0</v>
      </c>
      <c r="H43" s="163" t="n">
        <f aca="false">Paysheet!AZ44</f>
        <v>0</v>
      </c>
      <c r="I43" s="170" t="n">
        <f aca="false">G43+H43</f>
        <v>0</v>
      </c>
    </row>
    <row r="44" customFormat="false" ht="15.75" hidden="true" customHeight="true" outlineLevel="0" collapsed="false">
      <c r="A44" s="39" t="n">
        <f aca="false">Paysheet!A45</f>
        <v>0</v>
      </c>
      <c r="B44" s="40" t="n">
        <f aca="false">Paysheet!B45</f>
        <v>0</v>
      </c>
      <c r="C44" s="40" t="n">
        <f aca="false">Paysheet!C45</f>
        <v>0</v>
      </c>
      <c r="D44" s="163" t="n">
        <f aca="false">Paysheet!AW45</f>
        <v>0</v>
      </c>
      <c r="E44" s="163" t="n">
        <f aca="false">Paysheet!AX45</f>
        <v>0</v>
      </c>
      <c r="F44" s="170" t="n">
        <f aca="false">D44+E44</f>
        <v>0</v>
      </c>
      <c r="G44" s="163" t="n">
        <f aca="false">Paysheet!AY45</f>
        <v>0</v>
      </c>
      <c r="H44" s="163" t="n">
        <f aca="false">Paysheet!AZ45</f>
        <v>0</v>
      </c>
      <c r="I44" s="170" t="n">
        <f aca="false">G44+H44</f>
        <v>0</v>
      </c>
    </row>
    <row r="45" customFormat="false" ht="15.75" hidden="true" customHeight="true" outlineLevel="0" collapsed="false">
      <c r="A45" s="39" t="n">
        <f aca="false">Paysheet!A46</f>
        <v>0</v>
      </c>
      <c r="B45" s="40" t="n">
        <f aca="false">Paysheet!B46</f>
        <v>0</v>
      </c>
      <c r="C45" s="40" t="n">
        <f aca="false">Paysheet!C46</f>
        <v>0</v>
      </c>
      <c r="D45" s="163" t="n">
        <f aca="false">Paysheet!AW46</f>
        <v>0</v>
      </c>
      <c r="E45" s="163" t="n">
        <f aca="false">Paysheet!AX46</f>
        <v>0</v>
      </c>
      <c r="F45" s="170" t="n">
        <f aca="false">D45+E45</f>
        <v>0</v>
      </c>
      <c r="G45" s="163" t="n">
        <f aca="false">Paysheet!AY46</f>
        <v>0</v>
      </c>
      <c r="H45" s="163" t="n">
        <f aca="false">Paysheet!AZ46</f>
        <v>0</v>
      </c>
      <c r="I45" s="170" t="n">
        <f aca="false">G45+H45</f>
        <v>0</v>
      </c>
    </row>
    <row r="46" customFormat="false" ht="15.75" hidden="true" customHeight="true" outlineLevel="0" collapsed="false">
      <c r="A46" s="39" t="n">
        <f aca="false">Paysheet!A47</f>
        <v>0</v>
      </c>
      <c r="B46" s="40" t="n">
        <f aca="false">Paysheet!B47</f>
        <v>0</v>
      </c>
      <c r="C46" s="40" t="n">
        <f aca="false">Paysheet!C47</f>
        <v>0</v>
      </c>
      <c r="D46" s="163" t="n">
        <f aca="false">Paysheet!AW47</f>
        <v>0</v>
      </c>
      <c r="E46" s="163" t="n">
        <f aca="false">Paysheet!AX47</f>
        <v>0</v>
      </c>
      <c r="F46" s="170" t="n">
        <f aca="false">D46+E46</f>
        <v>0</v>
      </c>
      <c r="G46" s="163" t="n">
        <f aca="false">Paysheet!AY47</f>
        <v>0</v>
      </c>
      <c r="H46" s="163" t="n">
        <f aca="false">Paysheet!AZ47</f>
        <v>0</v>
      </c>
      <c r="I46" s="170" t="n">
        <f aca="false">G46+H46</f>
        <v>0</v>
      </c>
    </row>
    <row r="47" customFormat="false" ht="15.75" hidden="true" customHeight="true" outlineLevel="0" collapsed="false">
      <c r="A47" s="39" t="n">
        <f aca="false">Paysheet!A48</f>
        <v>0</v>
      </c>
      <c r="B47" s="40" t="n">
        <f aca="false">Paysheet!B48</f>
        <v>0</v>
      </c>
      <c r="C47" s="40" t="n">
        <f aca="false">Paysheet!C48</f>
        <v>0</v>
      </c>
      <c r="D47" s="163" t="n">
        <f aca="false">Paysheet!AW48</f>
        <v>0</v>
      </c>
      <c r="E47" s="163" t="n">
        <f aca="false">Paysheet!AX48</f>
        <v>0</v>
      </c>
      <c r="F47" s="170" t="n">
        <f aca="false">D47+E47</f>
        <v>0</v>
      </c>
      <c r="G47" s="163" t="n">
        <f aca="false">Paysheet!AY48</f>
        <v>0</v>
      </c>
      <c r="H47" s="163" t="n">
        <f aca="false">Paysheet!AZ48</f>
        <v>0</v>
      </c>
      <c r="I47" s="170" t="n">
        <f aca="false">G47+H47</f>
        <v>0</v>
      </c>
    </row>
    <row r="48" customFormat="false" ht="15.75" hidden="true" customHeight="true" outlineLevel="0" collapsed="false">
      <c r="A48" s="39" t="n">
        <f aca="false">Paysheet!A49</f>
        <v>0</v>
      </c>
      <c r="B48" s="40" t="n">
        <f aca="false">Paysheet!B49</f>
        <v>0</v>
      </c>
      <c r="C48" s="40" t="n">
        <f aca="false">Paysheet!C49</f>
        <v>0</v>
      </c>
      <c r="D48" s="163" t="n">
        <f aca="false">Paysheet!AW49</f>
        <v>0</v>
      </c>
      <c r="E48" s="163" t="n">
        <f aca="false">Paysheet!AX49</f>
        <v>0</v>
      </c>
      <c r="F48" s="170" t="n">
        <f aca="false">D48+E48</f>
        <v>0</v>
      </c>
      <c r="G48" s="163" t="n">
        <f aca="false">Paysheet!AY49</f>
        <v>0</v>
      </c>
      <c r="H48" s="163" t="n">
        <f aca="false">Paysheet!AZ49</f>
        <v>0</v>
      </c>
      <c r="I48" s="170" t="n">
        <f aca="false">G48+H48</f>
        <v>0</v>
      </c>
    </row>
    <row r="49" customFormat="false" ht="15.75" hidden="true" customHeight="true" outlineLevel="0" collapsed="false">
      <c r="A49" s="39" t="n">
        <f aca="false">Paysheet!A50</f>
        <v>0</v>
      </c>
      <c r="B49" s="40" t="n">
        <f aca="false">Paysheet!B50</f>
        <v>0</v>
      </c>
      <c r="C49" s="40" t="n">
        <f aca="false">Paysheet!C50</f>
        <v>0</v>
      </c>
      <c r="D49" s="163" t="n">
        <f aca="false">Paysheet!AW50</f>
        <v>0</v>
      </c>
      <c r="E49" s="163" t="n">
        <f aca="false">Paysheet!AX50</f>
        <v>0</v>
      </c>
      <c r="F49" s="170" t="n">
        <f aca="false">D49+E49</f>
        <v>0</v>
      </c>
      <c r="G49" s="163" t="n">
        <f aca="false">Paysheet!AY50</f>
        <v>0</v>
      </c>
      <c r="H49" s="163" t="n">
        <f aca="false">Paysheet!AZ50</f>
        <v>0</v>
      </c>
      <c r="I49" s="170" t="n">
        <f aca="false">G49+H49</f>
        <v>0</v>
      </c>
    </row>
    <row r="50" customFormat="false" ht="15.75" hidden="true" customHeight="true" outlineLevel="0" collapsed="false">
      <c r="A50" s="39" t="n">
        <f aca="false">Paysheet!A51</f>
        <v>0</v>
      </c>
      <c r="B50" s="40" t="n">
        <f aca="false">Paysheet!B51</f>
        <v>0</v>
      </c>
      <c r="C50" s="40" t="n">
        <f aca="false">Paysheet!C51</f>
        <v>0</v>
      </c>
      <c r="D50" s="163" t="n">
        <f aca="false">Paysheet!AW51</f>
        <v>0</v>
      </c>
      <c r="E50" s="163" t="n">
        <f aca="false">Paysheet!AX51</f>
        <v>0</v>
      </c>
      <c r="F50" s="170" t="n">
        <f aca="false">D50+E50</f>
        <v>0</v>
      </c>
      <c r="G50" s="163" t="n">
        <f aca="false">Paysheet!AY51</f>
        <v>0</v>
      </c>
      <c r="H50" s="163" t="n">
        <f aca="false">Paysheet!AZ51</f>
        <v>0</v>
      </c>
      <c r="I50" s="170" t="n">
        <f aca="false">G50+H50</f>
        <v>0</v>
      </c>
    </row>
    <row r="51" customFormat="false" ht="15.75" hidden="true" customHeight="true" outlineLevel="0" collapsed="false">
      <c r="A51" s="39" t="n">
        <f aca="false">Paysheet!A52</f>
        <v>0</v>
      </c>
      <c r="B51" s="40" t="n">
        <f aca="false">Paysheet!B52</f>
        <v>0</v>
      </c>
      <c r="C51" s="40" t="n">
        <f aca="false">Paysheet!C52</f>
        <v>0</v>
      </c>
      <c r="D51" s="163" t="n">
        <f aca="false">Paysheet!AW52</f>
        <v>0</v>
      </c>
      <c r="E51" s="163" t="n">
        <f aca="false">Paysheet!AX52</f>
        <v>0</v>
      </c>
      <c r="F51" s="170" t="n">
        <f aca="false">D51+E51</f>
        <v>0</v>
      </c>
      <c r="G51" s="163" t="n">
        <f aca="false">Paysheet!AY52</f>
        <v>0</v>
      </c>
      <c r="H51" s="163" t="n">
        <f aca="false">Paysheet!AZ52</f>
        <v>0</v>
      </c>
      <c r="I51" s="170" t="n">
        <f aca="false">G51+H51</f>
        <v>0</v>
      </c>
    </row>
    <row r="52" customFormat="false" ht="15.75" hidden="true" customHeight="true" outlineLevel="0" collapsed="false">
      <c r="A52" s="39" t="n">
        <f aca="false">Paysheet!A53</f>
        <v>0</v>
      </c>
      <c r="B52" s="40" t="n">
        <f aca="false">Paysheet!B53</f>
        <v>0</v>
      </c>
      <c r="C52" s="40" t="n">
        <f aca="false">Paysheet!C53</f>
        <v>0</v>
      </c>
      <c r="D52" s="163" t="n">
        <f aca="false">Paysheet!AW53</f>
        <v>0</v>
      </c>
      <c r="E52" s="163" t="n">
        <f aca="false">Paysheet!AX53</f>
        <v>0</v>
      </c>
      <c r="F52" s="170" t="n">
        <f aca="false">D52+E52</f>
        <v>0</v>
      </c>
      <c r="G52" s="163" t="n">
        <f aca="false">Paysheet!AY53</f>
        <v>0</v>
      </c>
      <c r="H52" s="163" t="n">
        <f aca="false">Paysheet!AZ53</f>
        <v>0</v>
      </c>
      <c r="I52" s="170" t="n">
        <f aca="false">G52+H52</f>
        <v>0</v>
      </c>
    </row>
    <row r="53" customFormat="false" ht="15.75" hidden="true" customHeight="true" outlineLevel="0" collapsed="false">
      <c r="A53" s="39" t="n">
        <f aca="false">Paysheet!A54</f>
        <v>0</v>
      </c>
      <c r="B53" s="40" t="n">
        <f aca="false">Paysheet!B54</f>
        <v>0</v>
      </c>
      <c r="C53" s="40" t="n">
        <f aca="false">Paysheet!C54</f>
        <v>0</v>
      </c>
      <c r="D53" s="163" t="n">
        <f aca="false">Paysheet!AW54</f>
        <v>0</v>
      </c>
      <c r="E53" s="163" t="n">
        <f aca="false">Paysheet!AX54</f>
        <v>0</v>
      </c>
      <c r="F53" s="170" t="n">
        <f aca="false">D53+E53</f>
        <v>0</v>
      </c>
      <c r="G53" s="163" t="n">
        <f aca="false">Paysheet!AY54</f>
        <v>0</v>
      </c>
      <c r="H53" s="163" t="n">
        <f aca="false">Paysheet!AZ54</f>
        <v>0</v>
      </c>
      <c r="I53" s="170" t="n">
        <f aca="false">G53+H53</f>
        <v>0</v>
      </c>
    </row>
    <row r="54" customFormat="false" ht="15.75" hidden="true" customHeight="true" outlineLevel="0" collapsed="false">
      <c r="A54" s="39" t="n">
        <f aca="false">Paysheet!A55</f>
        <v>0</v>
      </c>
      <c r="B54" s="40" t="n">
        <f aca="false">Paysheet!B55</f>
        <v>0</v>
      </c>
      <c r="C54" s="40" t="n">
        <f aca="false">Paysheet!C55</f>
        <v>0</v>
      </c>
      <c r="D54" s="163" t="n">
        <f aca="false">Paysheet!AW55</f>
        <v>0</v>
      </c>
      <c r="E54" s="163" t="n">
        <f aca="false">Paysheet!AX55</f>
        <v>0</v>
      </c>
      <c r="F54" s="170" t="n">
        <f aca="false">D54+E54</f>
        <v>0</v>
      </c>
      <c r="G54" s="163" t="n">
        <f aca="false">Paysheet!AY55</f>
        <v>0</v>
      </c>
      <c r="H54" s="163" t="n">
        <f aca="false">Paysheet!AZ55</f>
        <v>0</v>
      </c>
      <c r="I54" s="170" t="n">
        <f aca="false">G54+H54</f>
        <v>0</v>
      </c>
    </row>
    <row r="55" customFormat="false" ht="15.75" hidden="true" customHeight="true" outlineLevel="0" collapsed="false">
      <c r="A55" s="39" t="n">
        <f aca="false">Paysheet!A56</f>
        <v>0</v>
      </c>
      <c r="B55" s="40" t="n">
        <f aca="false">Paysheet!B56</f>
        <v>0</v>
      </c>
      <c r="C55" s="40"/>
      <c r="D55" s="163"/>
      <c r="E55" s="163"/>
      <c r="F55" s="170"/>
      <c r="G55" s="163"/>
      <c r="H55" s="163"/>
      <c r="I55" s="170" t="n">
        <f aca="false">G55+H55</f>
        <v>0</v>
      </c>
    </row>
    <row r="56" customFormat="false" ht="15.75" hidden="true" customHeight="true" outlineLevel="0" collapsed="false">
      <c r="A56" s="39" t="n">
        <f aca="false">Paysheet!A57</f>
        <v>0</v>
      </c>
      <c r="B56" s="40" t="n">
        <f aca="false">Paysheet!B57</f>
        <v>0</v>
      </c>
      <c r="C56" s="40" t="n">
        <f aca="false">Paysheet!C57</f>
        <v>0</v>
      </c>
      <c r="D56" s="163" t="n">
        <f aca="false">Paysheet!AW57</f>
        <v>0</v>
      </c>
      <c r="E56" s="163" t="n">
        <f aca="false">Paysheet!AX57</f>
        <v>0</v>
      </c>
      <c r="F56" s="170" t="n">
        <f aca="false">D56+E56</f>
        <v>0</v>
      </c>
      <c r="G56" s="163" t="n">
        <f aca="false">Paysheet!AY57</f>
        <v>0</v>
      </c>
      <c r="H56" s="163" t="n">
        <f aca="false">Paysheet!AZ57</f>
        <v>0</v>
      </c>
      <c r="I56" s="170" t="n">
        <f aca="false">G56+H56</f>
        <v>0</v>
      </c>
    </row>
    <row r="57" customFormat="false" ht="15.75" hidden="true" customHeight="true" outlineLevel="0" collapsed="false">
      <c r="A57" s="39" t="n">
        <f aca="false">Paysheet!A58</f>
        <v>0</v>
      </c>
      <c r="B57" s="40" t="n">
        <f aca="false">Paysheet!B58</f>
        <v>0</v>
      </c>
      <c r="C57" s="40" t="n">
        <f aca="false">Paysheet!C58</f>
        <v>0</v>
      </c>
      <c r="D57" s="163" t="n">
        <f aca="false">Paysheet!AW58</f>
        <v>0</v>
      </c>
      <c r="E57" s="163" t="n">
        <f aca="false">Paysheet!AX58</f>
        <v>0</v>
      </c>
      <c r="F57" s="170" t="n">
        <f aca="false">D57+E57</f>
        <v>0</v>
      </c>
      <c r="G57" s="163" t="n">
        <f aca="false">Paysheet!AY58</f>
        <v>0</v>
      </c>
      <c r="H57" s="163" t="n">
        <f aca="false">Paysheet!AZ58</f>
        <v>0</v>
      </c>
      <c r="I57" s="170" t="n">
        <f aca="false">G57+H57</f>
        <v>0</v>
      </c>
    </row>
    <row r="58" customFormat="false" ht="15.75" hidden="true" customHeight="true" outlineLevel="0" collapsed="false">
      <c r="A58" s="39" t="n">
        <f aca="false">Paysheet!A59</f>
        <v>0</v>
      </c>
      <c r="B58" s="40" t="n">
        <f aca="false">Paysheet!B59</f>
        <v>0</v>
      </c>
      <c r="C58" s="40" t="n">
        <f aca="false">Paysheet!C59</f>
        <v>0</v>
      </c>
      <c r="D58" s="163" t="n">
        <f aca="false">Paysheet!AW59</f>
        <v>0</v>
      </c>
      <c r="E58" s="163" t="n">
        <f aca="false">Paysheet!AX59</f>
        <v>0</v>
      </c>
      <c r="F58" s="170" t="n">
        <f aca="false">D58+E58</f>
        <v>0</v>
      </c>
      <c r="G58" s="163" t="n">
        <f aca="false">Paysheet!AY59</f>
        <v>0</v>
      </c>
      <c r="H58" s="163" t="n">
        <f aca="false">Paysheet!AZ59</f>
        <v>0</v>
      </c>
      <c r="I58" s="170" t="n">
        <f aca="false">G58+H58</f>
        <v>0</v>
      </c>
    </row>
    <row r="59" customFormat="false" ht="15.75" hidden="true" customHeight="true" outlineLevel="0" collapsed="false">
      <c r="A59" s="39" t="n">
        <f aca="false">Paysheet!A60</f>
        <v>0</v>
      </c>
      <c r="B59" s="40" t="n">
        <f aca="false">Paysheet!B60</f>
        <v>0</v>
      </c>
      <c r="C59" s="40" t="n">
        <f aca="false">Paysheet!C60</f>
        <v>0</v>
      </c>
      <c r="D59" s="163" t="n">
        <f aca="false">Paysheet!AW60</f>
        <v>0</v>
      </c>
      <c r="E59" s="163" t="n">
        <f aca="false">Paysheet!AX60</f>
        <v>0</v>
      </c>
      <c r="F59" s="170" t="n">
        <f aca="false">D59+E59</f>
        <v>0</v>
      </c>
      <c r="G59" s="163" t="n">
        <f aca="false">Paysheet!AY60</f>
        <v>0</v>
      </c>
      <c r="H59" s="163" t="n">
        <f aca="false">Paysheet!AZ60</f>
        <v>0</v>
      </c>
      <c r="I59" s="170" t="n">
        <f aca="false">G59+H59</f>
        <v>0</v>
      </c>
    </row>
    <row r="60" customFormat="false" ht="15.75" hidden="true" customHeight="true" outlineLevel="0" collapsed="false">
      <c r="A60" s="39" t="n">
        <f aca="false">Paysheet!A61</f>
        <v>0</v>
      </c>
      <c r="B60" s="40" t="n">
        <f aca="false">Paysheet!B61</f>
        <v>0</v>
      </c>
      <c r="C60" s="40" t="n">
        <f aca="false">Paysheet!C61</f>
        <v>0</v>
      </c>
      <c r="D60" s="163" t="n">
        <f aca="false">Paysheet!AW61</f>
        <v>0</v>
      </c>
      <c r="E60" s="163" t="n">
        <f aca="false">Paysheet!AX61</f>
        <v>0</v>
      </c>
      <c r="F60" s="170" t="n">
        <f aca="false">D60+E60</f>
        <v>0</v>
      </c>
      <c r="G60" s="163" t="n">
        <f aca="false">Paysheet!AY61</f>
        <v>0</v>
      </c>
      <c r="H60" s="163" t="n">
        <f aca="false">Paysheet!AZ61</f>
        <v>0</v>
      </c>
      <c r="I60" s="170" t="n">
        <f aca="false">G60+H60</f>
        <v>0</v>
      </c>
    </row>
    <row r="61" customFormat="false" ht="15.75" hidden="true" customHeight="true" outlineLevel="0" collapsed="false">
      <c r="A61" s="39" t="n">
        <f aca="false">Paysheet!A62</f>
        <v>0</v>
      </c>
      <c r="B61" s="40" t="n">
        <f aca="false">Paysheet!B62</f>
        <v>0</v>
      </c>
      <c r="C61" s="40" t="n">
        <f aca="false">Paysheet!C62</f>
        <v>0</v>
      </c>
      <c r="D61" s="163" t="n">
        <f aca="false">Paysheet!AW62</f>
        <v>0</v>
      </c>
      <c r="E61" s="163" t="n">
        <f aca="false">Paysheet!AX62</f>
        <v>0</v>
      </c>
      <c r="F61" s="170" t="n">
        <f aca="false">D61+E61</f>
        <v>0</v>
      </c>
      <c r="G61" s="163" t="n">
        <f aca="false">Paysheet!AY62</f>
        <v>0</v>
      </c>
      <c r="H61" s="163" t="n">
        <f aca="false">Paysheet!AZ62</f>
        <v>0</v>
      </c>
      <c r="I61" s="170" t="n">
        <f aca="false">G61+H61</f>
        <v>0</v>
      </c>
    </row>
    <row r="62" customFormat="false" ht="15.75" hidden="true" customHeight="true" outlineLevel="0" collapsed="false">
      <c r="A62" s="39" t="n">
        <f aca="false">Paysheet!A63</f>
        <v>0</v>
      </c>
      <c r="B62" s="40" t="n">
        <f aca="false">Paysheet!B63</f>
        <v>0</v>
      </c>
      <c r="C62" s="40" t="n">
        <f aca="false">Paysheet!C63</f>
        <v>0</v>
      </c>
      <c r="D62" s="163" t="n">
        <f aca="false">Paysheet!AW63</f>
        <v>0</v>
      </c>
      <c r="E62" s="163" t="n">
        <f aca="false">Paysheet!AX63</f>
        <v>0</v>
      </c>
      <c r="F62" s="170" t="n">
        <f aca="false">D62+E62</f>
        <v>0</v>
      </c>
      <c r="G62" s="163" t="n">
        <f aca="false">Paysheet!AY63</f>
        <v>0</v>
      </c>
      <c r="H62" s="163" t="n">
        <f aca="false">Paysheet!AZ63</f>
        <v>0</v>
      </c>
      <c r="I62" s="170" t="n">
        <f aca="false">G62+H62</f>
        <v>0</v>
      </c>
    </row>
    <row r="63" customFormat="false" ht="15.75" hidden="true" customHeight="true" outlineLevel="0" collapsed="false">
      <c r="A63" s="39" t="n">
        <f aca="false">Paysheet!A64</f>
        <v>0</v>
      </c>
      <c r="B63" s="40" t="n">
        <f aca="false">Paysheet!B64</f>
        <v>0</v>
      </c>
      <c r="C63" s="40" t="n">
        <f aca="false">Paysheet!C64</f>
        <v>0</v>
      </c>
      <c r="D63" s="163" t="n">
        <f aca="false">Paysheet!AW64</f>
        <v>0</v>
      </c>
      <c r="E63" s="163" t="n">
        <f aca="false">Paysheet!AX64</f>
        <v>0</v>
      </c>
      <c r="F63" s="170" t="n">
        <f aca="false">D63+E63</f>
        <v>0</v>
      </c>
      <c r="G63" s="163" t="n">
        <f aca="false">Paysheet!AY64</f>
        <v>0</v>
      </c>
      <c r="H63" s="163" t="n">
        <f aca="false">Paysheet!AZ64</f>
        <v>0</v>
      </c>
      <c r="I63" s="170" t="n">
        <f aca="false">G63+H63</f>
        <v>0</v>
      </c>
    </row>
    <row r="64" customFormat="false" ht="15.75" hidden="true" customHeight="true" outlineLevel="0" collapsed="false">
      <c r="A64" s="39" t="n">
        <f aca="false">Paysheet!A65</f>
        <v>0</v>
      </c>
      <c r="B64" s="40" t="n">
        <f aca="false">Paysheet!B65</f>
        <v>0</v>
      </c>
      <c r="C64" s="40" t="n">
        <f aca="false">Paysheet!C65</f>
        <v>0</v>
      </c>
      <c r="D64" s="163" t="n">
        <f aca="false">Paysheet!AW65</f>
        <v>0</v>
      </c>
      <c r="E64" s="163" t="n">
        <f aca="false">Paysheet!AX65</f>
        <v>0</v>
      </c>
      <c r="F64" s="170" t="n">
        <f aca="false">D64+E64</f>
        <v>0</v>
      </c>
      <c r="G64" s="163" t="n">
        <f aca="false">Paysheet!AY65</f>
        <v>0</v>
      </c>
      <c r="H64" s="163" t="n">
        <f aca="false">Paysheet!AZ65</f>
        <v>0</v>
      </c>
      <c r="I64" s="170" t="n">
        <f aca="false">G64+H64</f>
        <v>0</v>
      </c>
    </row>
    <row r="65" customFormat="false" ht="15.75" hidden="true" customHeight="true" outlineLevel="0" collapsed="false">
      <c r="A65" s="39" t="n">
        <f aca="false">Paysheet!A66</f>
        <v>0</v>
      </c>
      <c r="B65" s="40" t="n">
        <f aca="false">Paysheet!B66</f>
        <v>0</v>
      </c>
      <c r="C65" s="40" t="n">
        <f aca="false">Paysheet!C66</f>
        <v>0</v>
      </c>
      <c r="D65" s="163" t="n">
        <f aca="false">Paysheet!AW66</f>
        <v>0</v>
      </c>
      <c r="E65" s="163" t="n">
        <f aca="false">Paysheet!AX66</f>
        <v>0</v>
      </c>
      <c r="F65" s="170" t="n">
        <f aca="false">D65+E65</f>
        <v>0</v>
      </c>
      <c r="G65" s="163" t="n">
        <f aca="false">Paysheet!AY66</f>
        <v>0</v>
      </c>
      <c r="H65" s="163" t="n">
        <f aca="false">Paysheet!AZ66</f>
        <v>0</v>
      </c>
      <c r="I65" s="170" t="n">
        <f aca="false">G65+H65</f>
        <v>0</v>
      </c>
    </row>
    <row r="66" customFormat="false" ht="15.75" hidden="false" customHeight="true" outlineLevel="0" collapsed="false">
      <c r="C66" s="27" t="s">
        <v>42</v>
      </c>
      <c r="D66" s="164" t="n">
        <f aca="false">SUM(D3:D65)</f>
        <v>392.687878649081</v>
      </c>
      <c r="E66" s="164" t="n">
        <f aca="false">SUM(E3:E65)</f>
        <v>11.7806363594724</v>
      </c>
      <c r="F66" s="171" t="n">
        <f aca="false">SUM(F3:F65)</f>
        <v>404.468515008554</v>
      </c>
      <c r="G66" s="164" t="n">
        <f aca="false">SUM(G3:G65)</f>
        <v>6328116.29552029</v>
      </c>
      <c r="H66" s="164" t="n">
        <f aca="false">SUM(H3:H65)</f>
        <v>189843.488865609</v>
      </c>
      <c r="I66" s="171" t="n">
        <f aca="false">SUM(I3:I65)</f>
        <v>6517959.7843859</v>
      </c>
    </row>
    <row r="67" customFormat="false" ht="15.75" hidden="false" customHeight="true" outlineLevel="0" collapsed="false"/>
  </sheetData>
  <mergeCells count="3">
    <mergeCell ref="A1:C1"/>
    <mergeCell ref="D1:F1"/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I20" activeCellId="0" sqref="I20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1.85"/>
    <col collapsed="false" customWidth="true" hidden="false" outlineLevel="0" max="3" min="3" style="1" width="23.71"/>
    <col collapsed="false" customWidth="true" hidden="false" outlineLevel="0" max="4" min="4" style="1" width="10.29"/>
    <col collapsed="false" customWidth="true" hidden="false" outlineLevel="0" max="5" min="5" style="1" width="14.71"/>
    <col collapsed="false" customWidth="true" hidden="false" outlineLevel="0" max="6" min="6" style="1" width="11.71"/>
    <col collapsed="false" customWidth="true" hidden="false" outlineLevel="0" max="7" min="7" style="4" width="16.85"/>
    <col collapsed="false" customWidth="true" hidden="false" outlineLevel="0" max="8" min="8" style="1" width="13.86"/>
    <col collapsed="false" customWidth="true" hidden="false" outlineLevel="0" max="9" min="9" style="1" width="13.71"/>
  </cols>
  <sheetData>
    <row r="1" customFormat="false" ht="15" hidden="false" customHeight="false" outlineLevel="0" collapsed="false">
      <c r="C1" s="1" t="s">
        <v>228</v>
      </c>
    </row>
    <row r="2" customFormat="false" ht="15" hidden="false" customHeight="false" outlineLevel="0" collapsed="false">
      <c r="D2" s="27" t="s">
        <v>9</v>
      </c>
      <c r="F2" s="1" t="s">
        <v>229</v>
      </c>
      <c r="G2" s="4" t="n">
        <v>1404.8039</v>
      </c>
    </row>
    <row r="3" customFormat="false" ht="15" hidden="false" customHeight="false" outlineLevel="0" collapsed="false">
      <c r="A3" s="26" t="s">
        <v>25</v>
      </c>
      <c r="B3" s="26" t="s">
        <v>26</v>
      </c>
      <c r="C3" s="26" t="s">
        <v>27</v>
      </c>
      <c r="D3" s="172" t="s">
        <v>23</v>
      </c>
      <c r="E3" s="172" t="s">
        <v>22</v>
      </c>
      <c r="F3" s="172" t="s">
        <v>230</v>
      </c>
      <c r="G3" s="162" t="s">
        <v>231</v>
      </c>
      <c r="H3" s="172" t="s">
        <v>232</v>
      </c>
      <c r="I3" s="172" t="s">
        <v>233</v>
      </c>
    </row>
    <row r="4" customFormat="false" ht="15.75" hidden="false" customHeight="true" outlineLevel="0" collapsed="false">
      <c r="A4" s="39" t="s">
        <v>86</v>
      </c>
      <c r="B4" s="40" t="s">
        <v>87</v>
      </c>
      <c r="C4" s="41" t="s">
        <v>88</v>
      </c>
      <c r="D4" s="173" t="n">
        <f aca="false">Paysheet!AI4</f>
        <v>322.183097596154</v>
      </c>
      <c r="E4" s="163" t="n">
        <f aca="false">Paysheet!AJ4</f>
        <v>5219126.96067297</v>
      </c>
      <c r="F4" s="163" t="n">
        <f aca="false">NSSA!E4</f>
        <v>23320.755</v>
      </c>
      <c r="G4" s="48" t="n">
        <f aca="false">D4*$G$2</f>
        <v>452604.072017158</v>
      </c>
      <c r="H4" s="163" t="n">
        <f aca="false">E4+F4+G4</f>
        <v>5695051.78769013</v>
      </c>
      <c r="I4" s="163" t="n">
        <f aca="false">H4*0.01</f>
        <v>56950.5178769013</v>
      </c>
    </row>
    <row r="5" customFormat="false" ht="15.75" hidden="false" customHeight="true" outlineLevel="0" collapsed="false">
      <c r="A5" s="39" t="s">
        <v>98</v>
      </c>
      <c r="B5" s="57" t="s">
        <v>99</v>
      </c>
      <c r="C5" s="41" t="s">
        <v>100</v>
      </c>
      <c r="D5" s="173" t="n">
        <f aca="false">Paysheet!AI5</f>
        <v>160.565252884615</v>
      </c>
      <c r="E5" s="163" t="n">
        <f aca="false">Paysheet!AJ5</f>
        <v>2595057.47967809</v>
      </c>
      <c r="F5" s="163" t="n">
        <f aca="false">NSSA!E5</f>
        <v>23320.755</v>
      </c>
      <c r="G5" s="48" t="n">
        <f aca="false">D5*$G$2</f>
        <v>225562.693456794</v>
      </c>
      <c r="H5" s="163" t="n">
        <f aca="false">E5+F5+G5</f>
        <v>2843940.92813488</v>
      </c>
      <c r="I5" s="163" t="n">
        <f aca="false">H5*0.01</f>
        <v>28439.4092813488</v>
      </c>
    </row>
    <row r="6" customFormat="false" ht="15.75" hidden="false" customHeight="true" outlineLevel="0" collapsed="false">
      <c r="A6" s="39" t="s">
        <v>106</v>
      </c>
      <c r="B6" s="57" t="s">
        <v>107</v>
      </c>
      <c r="C6" s="41" t="s">
        <v>108</v>
      </c>
      <c r="D6" s="173" t="n">
        <f aca="false">Paysheet!AI6</f>
        <v>155.051769230769</v>
      </c>
      <c r="E6" s="163" t="n">
        <f aca="false">Paysheet!AJ6</f>
        <v>2505948.49290822</v>
      </c>
      <c r="F6" s="163" t="n">
        <f aca="false">NSSA!E6</f>
        <v>23320.755</v>
      </c>
      <c r="G6" s="48" t="n">
        <f aca="false">D6*$G$2</f>
        <v>217817.330117285</v>
      </c>
      <c r="H6" s="163" t="n">
        <f aca="false">E6+F6+G6</f>
        <v>2747086.5780255</v>
      </c>
      <c r="I6" s="163" t="n">
        <f aca="false">H6*0.01</f>
        <v>27470.865780255</v>
      </c>
    </row>
    <row r="7" customFormat="false" ht="15.75" hidden="false" customHeight="true" outlineLevel="0" collapsed="false">
      <c r="A7" s="39" t="s">
        <v>114</v>
      </c>
      <c r="B7" s="57" t="s">
        <v>115</v>
      </c>
      <c r="C7" s="41" t="s">
        <v>116</v>
      </c>
      <c r="D7" s="173" t="n">
        <f aca="false">Paysheet!AI7</f>
        <v>183.832375961538</v>
      </c>
      <c r="E7" s="163" t="n">
        <f aca="false">Paysheet!AJ7</f>
        <v>2971100.99274595</v>
      </c>
      <c r="F7" s="163" t="n">
        <f aca="false">NSSA!E7</f>
        <v>23320.755</v>
      </c>
      <c r="G7" s="48" t="n">
        <f aca="false">D7*$G$2</f>
        <v>258248.438697035</v>
      </c>
      <c r="H7" s="163" t="n">
        <f aca="false">E7+F7+G7</f>
        <v>3252670.18644298</v>
      </c>
      <c r="I7" s="163" t="n">
        <f aca="false">H7*0.01</f>
        <v>32526.7018644298</v>
      </c>
    </row>
    <row r="8" customFormat="false" ht="15.75" hidden="false" customHeight="true" outlineLevel="0" collapsed="false">
      <c r="A8" s="39" t="s">
        <v>123</v>
      </c>
      <c r="B8" s="57" t="s">
        <v>124</v>
      </c>
      <c r="C8" s="41" t="s">
        <v>125</v>
      </c>
      <c r="D8" s="173" t="n">
        <f aca="false">Paysheet!AI8</f>
        <v>160.565252884615</v>
      </c>
      <c r="E8" s="163" t="n">
        <f aca="false">Paysheet!AJ8</f>
        <v>2595057.47967809</v>
      </c>
      <c r="F8" s="163" t="n">
        <f aca="false">NSSA!E8</f>
        <v>23320.755</v>
      </c>
      <c r="G8" s="48" t="n">
        <f aca="false">D8*$G$2</f>
        <v>225562.693456794</v>
      </c>
      <c r="H8" s="163" t="n">
        <f aca="false">E8+F8+G8</f>
        <v>2843940.92813488</v>
      </c>
      <c r="I8" s="163" t="n">
        <f aca="false">H8*0.01</f>
        <v>28439.4092813488</v>
      </c>
    </row>
    <row r="9" customFormat="false" ht="15.75" hidden="false" customHeight="true" outlineLevel="0" collapsed="false">
      <c r="A9" s="39" t="s">
        <v>130</v>
      </c>
      <c r="B9" s="57" t="s">
        <v>131</v>
      </c>
      <c r="C9" s="41" t="s">
        <v>132</v>
      </c>
      <c r="D9" s="173" t="n">
        <f aca="false">Paysheet!AI9</f>
        <v>204.084432692308</v>
      </c>
      <c r="E9" s="163" t="n">
        <f aca="false">Paysheet!AJ9</f>
        <v>3298414.9685525</v>
      </c>
      <c r="F9" s="163" t="n">
        <f aca="false">NSSA!E9</f>
        <v>23320.755</v>
      </c>
      <c r="G9" s="48" t="n">
        <f aca="false">D9*$G$2</f>
        <v>286698.606975441</v>
      </c>
      <c r="H9" s="163" t="n">
        <f aca="false">E9+F9+G9</f>
        <v>3608434.33052794</v>
      </c>
      <c r="I9" s="163" t="n">
        <f aca="false">H9*0.01</f>
        <v>36084.3433052794</v>
      </c>
    </row>
    <row r="10" customFormat="false" ht="15.75" hidden="false" customHeight="true" outlineLevel="0" collapsed="false">
      <c r="A10" s="39" t="s">
        <v>138</v>
      </c>
      <c r="B10" s="57" t="s">
        <v>139</v>
      </c>
      <c r="C10" s="41" t="s">
        <v>140</v>
      </c>
      <c r="D10" s="173" t="n">
        <f aca="false">Paysheet!AI10</f>
        <v>160.565252884615</v>
      </c>
      <c r="E10" s="163" t="n">
        <f aca="false">Paysheet!AJ10</f>
        <v>2595057.47967809</v>
      </c>
      <c r="F10" s="163" t="n">
        <f aca="false">NSSA!E10</f>
        <v>23320.755</v>
      </c>
      <c r="G10" s="48" t="n">
        <f aca="false">D10*$G$2</f>
        <v>225562.693456794</v>
      </c>
      <c r="H10" s="163" t="n">
        <f aca="false">E10+F10+G10</f>
        <v>2843940.92813488</v>
      </c>
      <c r="I10" s="163" t="n">
        <f aca="false">H10*0.01</f>
        <v>28439.4092813488</v>
      </c>
    </row>
    <row r="11" customFormat="false" ht="15.75" hidden="false" customHeight="true" outlineLevel="0" collapsed="false">
      <c r="A11" s="39" t="s">
        <v>148</v>
      </c>
      <c r="B11" s="57" t="s">
        <v>149</v>
      </c>
      <c r="C11" s="41" t="s">
        <v>150</v>
      </c>
      <c r="D11" s="173" t="n">
        <f aca="false">Paysheet!AI11</f>
        <v>160.565252884615</v>
      </c>
      <c r="E11" s="163" t="n">
        <f aca="false">Paysheet!AJ11</f>
        <v>2595057.47967809</v>
      </c>
      <c r="F11" s="163" t="n">
        <f aca="false">NSSA!E11</f>
        <v>23320.755</v>
      </c>
      <c r="G11" s="48" t="n">
        <f aca="false">D11*$G$2</f>
        <v>225562.693456794</v>
      </c>
      <c r="H11" s="163" t="n">
        <f aca="false">E11+F11+G11</f>
        <v>2843940.92813488</v>
      </c>
      <c r="I11" s="163" t="n">
        <f aca="false">H11*0.01</f>
        <v>28439.4092813488</v>
      </c>
    </row>
    <row r="12" customFormat="false" ht="15.75" hidden="false" customHeight="true" outlineLevel="0" collapsed="false">
      <c r="A12" s="39" t="s">
        <v>154</v>
      </c>
      <c r="B12" s="57" t="s">
        <v>139</v>
      </c>
      <c r="C12" s="41" t="s">
        <v>155</v>
      </c>
      <c r="D12" s="173" t="n">
        <f aca="false">Paysheet!AI12</f>
        <v>212.138339423077</v>
      </c>
      <c r="E12" s="163" t="n">
        <f aca="false">Paysheet!AJ12</f>
        <v>3428582.30256051</v>
      </c>
      <c r="F12" s="163" t="n">
        <f aca="false">NSSA!E12</f>
        <v>23320.755</v>
      </c>
      <c r="G12" s="48" t="n">
        <f aca="false">D12*$G$2</f>
        <v>298012.766561062</v>
      </c>
      <c r="H12" s="163" t="n">
        <f aca="false">E12+F12+G12</f>
        <v>3749915.82412157</v>
      </c>
      <c r="I12" s="163" t="n">
        <f aca="false">H12*0.01</f>
        <v>37499.1582412157</v>
      </c>
    </row>
    <row r="13" customFormat="false" ht="15.75" hidden="false" customHeight="true" outlineLevel="0" collapsed="false">
      <c r="A13" s="39" t="s">
        <v>161</v>
      </c>
      <c r="B13" s="57" t="s">
        <v>162</v>
      </c>
      <c r="C13" s="41" t="s">
        <v>163</v>
      </c>
      <c r="D13" s="173" t="n">
        <f aca="false">Paysheet!AI13</f>
        <v>160.565252884615</v>
      </c>
      <c r="E13" s="163" t="n">
        <f aca="false">Paysheet!AJ13</f>
        <v>2595057.47967809</v>
      </c>
      <c r="F13" s="163" t="n">
        <f aca="false">NSSA!E13</f>
        <v>23320.755</v>
      </c>
      <c r="G13" s="48" t="n">
        <f aca="false">D13*$G$2</f>
        <v>225562.693456794</v>
      </c>
      <c r="H13" s="163" t="n">
        <f aca="false">E13+F13+G13</f>
        <v>2843940.92813488</v>
      </c>
      <c r="I13" s="163" t="n">
        <f aca="false">H13*0.01</f>
        <v>28439.4092813488</v>
      </c>
    </row>
    <row r="14" customFormat="false" ht="15.75" hidden="false" customHeight="true" outlineLevel="0" collapsed="false">
      <c r="A14" s="39" t="s">
        <v>168</v>
      </c>
      <c r="B14" s="57" t="s">
        <v>169</v>
      </c>
      <c r="C14" s="41" t="s">
        <v>170</v>
      </c>
      <c r="D14" s="173" t="n">
        <f aca="false">Paysheet!AI14</f>
        <v>160.565252884615</v>
      </c>
      <c r="E14" s="163" t="n">
        <f aca="false">Paysheet!AJ14</f>
        <v>2595057.47967809</v>
      </c>
      <c r="F14" s="163" t="n">
        <f aca="false">NSSA!E14</f>
        <v>23320.755</v>
      </c>
      <c r="G14" s="48" t="n">
        <f aca="false">D14*$G$2</f>
        <v>225562.693456794</v>
      </c>
      <c r="H14" s="163" t="n">
        <f aca="false">E14+F14+G14</f>
        <v>2843940.92813488</v>
      </c>
      <c r="I14" s="163" t="n">
        <f aca="false">H14*0.01</f>
        <v>28439.4092813488</v>
      </c>
    </row>
    <row r="15" customFormat="false" ht="15.75" hidden="false" customHeight="true" outlineLevel="0" collapsed="false">
      <c r="D15" s="164" t="n">
        <f aca="false">SUM(D4:D14)</f>
        <v>2040.68153221154</v>
      </c>
      <c r="E15" s="164" t="n">
        <f aca="false">SUM(E4:E14)</f>
        <v>32993518.5955087</v>
      </c>
      <c r="F15" s="164" t="n">
        <f aca="false">SUM(F4:F14)</f>
        <v>256528.305</v>
      </c>
      <c r="G15" s="77" t="n">
        <f aca="false">SUM(G4:G14)</f>
        <v>2866757.37510875</v>
      </c>
      <c r="H15" s="164" t="n">
        <f aca="false">SUM(H4:H14)</f>
        <v>36116804.2756174</v>
      </c>
      <c r="I15" s="164" t="n">
        <f aca="false">SUM(I4:I14)</f>
        <v>361168.042756174</v>
      </c>
    </row>
    <row r="16" customFormat="false" ht="15.75" hidden="false" customHeight="true" outlineLevel="0" collapsed="false"/>
    <row r="19" customFormat="false" ht="15" hidden="false" customHeight="false" outlineLevel="0" collapsed="false">
      <c r="E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2021-08-24T18:54:55Z</dcterms:created>
  <dc:creator>Beaven</dc:creator>
  <dc:description/>
  <dc:language>en-US</dc:language>
  <cp:lastModifiedBy>Beaven</cp:lastModifiedBy>
  <cp:lastPrinted>2023-07-13T09:43:51Z</cp:lastPrinted>
  <dcterms:modified xsi:type="dcterms:W3CDTF">2026-07-24T16:02:33Z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